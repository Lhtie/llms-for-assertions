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hxlh\Documents\UW-Madison\research\llms-for-assertions\"/>
    </mc:Choice>
  </mc:AlternateContent>
  <xr:revisionPtr revIDLastSave="0" documentId="13_ncr:1_{9F37A60C-0B80-48AD-9132-43E46782207F}" xr6:coauthVersionLast="47" xr6:coauthVersionMax="47" xr10:uidLastSave="{00000000-0000-0000-0000-000000000000}"/>
  <bookViews>
    <workbookView xWindow="-110" yWindow="-110" windowWidth="38620" windowHeight="21100" xr2:uid="{00000000-000D-0000-FFFF-FFFF00000000}"/>
  </bookViews>
  <sheets>
    <sheet name="All" sheetId="1" r:id="rId1"/>
    <sheet name="All w Obs" sheetId="2" r:id="rId2"/>
    <sheet name="JDK" sheetId="3" r:id="rId3"/>
    <sheet name="Apache-Collections" sheetId="4" r:id="rId4"/>
    <sheet name="Guava" sheetId="5" r:id="rId5"/>
    <sheet name="GraphStream" sheetId="6" r:id="rId6"/>
    <sheet name="JGraphT" sheetId="7" r:id="rId7"/>
    <sheet name="Naturalness" sheetId="8" r:id="rId8"/>
    <sheet name="Buggycodes" sheetId="9" r:id="rId9"/>
    <sheet name="Buggyasrt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43" i="8" l="1"/>
  <c r="AP43" i="8"/>
  <c r="AO43" i="8"/>
  <c r="AN43" i="8"/>
  <c r="AF43" i="8"/>
  <c r="AE43" i="8"/>
  <c r="AD43" i="8"/>
  <c r="AC43" i="8"/>
  <c r="U43" i="8"/>
  <c r="T43" i="8"/>
  <c r="S43" i="8"/>
  <c r="R43" i="8"/>
  <c r="AQ42" i="8"/>
  <c r="AP42" i="8"/>
  <c r="AO42" i="8"/>
  <c r="AN42" i="8"/>
  <c r="AF42" i="8"/>
  <c r="AE42" i="8"/>
  <c r="AD42" i="8"/>
  <c r="AC42" i="8"/>
  <c r="U42" i="8"/>
  <c r="T42" i="8"/>
  <c r="S42" i="8"/>
  <c r="R42" i="8"/>
  <c r="AQ41" i="8"/>
  <c r="AP41" i="8"/>
  <c r="AO41" i="8"/>
  <c r="AN41" i="8"/>
  <c r="AF41" i="8"/>
  <c r="AE41" i="8"/>
  <c r="AD41" i="8"/>
  <c r="AC41" i="8"/>
  <c r="U41" i="8"/>
  <c r="T41" i="8"/>
  <c r="S41" i="8"/>
  <c r="R41" i="8"/>
  <c r="AQ40" i="8"/>
  <c r="AP40" i="8"/>
  <c r="AO40" i="8"/>
  <c r="AN40" i="8"/>
  <c r="AF40" i="8"/>
  <c r="AE40" i="8"/>
  <c r="AD40" i="8"/>
  <c r="AC40" i="8"/>
  <c r="U40" i="8"/>
  <c r="T40" i="8"/>
  <c r="S40" i="8"/>
  <c r="R40" i="8"/>
  <c r="AQ39" i="8"/>
  <c r="AP39" i="8"/>
  <c r="AO39" i="8"/>
  <c r="AN39" i="8"/>
  <c r="AF39" i="8"/>
  <c r="AE39" i="8"/>
  <c r="AD39" i="8"/>
  <c r="AC39" i="8"/>
  <c r="U39" i="8"/>
  <c r="T39" i="8"/>
  <c r="S39" i="8"/>
  <c r="R39" i="8"/>
  <c r="AQ38" i="8"/>
  <c r="AP38" i="8"/>
  <c r="AO38" i="8"/>
  <c r="AN38" i="8"/>
  <c r="AF38" i="8"/>
  <c r="AE38" i="8"/>
  <c r="AD38" i="8"/>
  <c r="AC38" i="8"/>
  <c r="U38" i="8"/>
  <c r="T38" i="8"/>
  <c r="S38" i="8"/>
  <c r="R38" i="8"/>
  <c r="AQ37" i="8"/>
  <c r="AP37" i="8"/>
  <c r="AO37" i="8"/>
  <c r="AN37" i="8"/>
  <c r="AF37" i="8"/>
  <c r="AE37" i="8"/>
  <c r="AD37" i="8"/>
  <c r="AC37" i="8"/>
  <c r="U37" i="8"/>
  <c r="T37" i="8"/>
  <c r="S37" i="8"/>
  <c r="R37" i="8"/>
  <c r="AQ36" i="8"/>
  <c r="AP36" i="8"/>
  <c r="AO36" i="8"/>
  <c r="AN36" i="8"/>
  <c r="AF36" i="8"/>
  <c r="AE36" i="8"/>
  <c r="AD36" i="8"/>
  <c r="AC36" i="8"/>
  <c r="U36" i="8"/>
  <c r="T36" i="8"/>
  <c r="S36" i="8"/>
  <c r="R36" i="8"/>
  <c r="AQ35" i="8"/>
  <c r="AP35" i="8"/>
  <c r="AO35" i="8"/>
  <c r="AN35" i="8"/>
  <c r="AF35" i="8"/>
  <c r="AE35" i="8"/>
  <c r="AD35" i="8"/>
  <c r="AC35" i="8"/>
  <c r="U35" i="8"/>
  <c r="T35" i="8"/>
  <c r="S35" i="8"/>
  <c r="R35" i="8"/>
  <c r="AQ34" i="8"/>
  <c r="AP34" i="8"/>
  <c r="AO34" i="8"/>
  <c r="AN34" i="8"/>
  <c r="AF34" i="8"/>
  <c r="AE34" i="8"/>
  <c r="AD34" i="8"/>
  <c r="AC34" i="8"/>
  <c r="U34" i="8"/>
  <c r="T34" i="8"/>
  <c r="S34" i="8"/>
  <c r="R34" i="8"/>
  <c r="AQ33" i="8"/>
  <c r="AP33" i="8"/>
  <c r="AO33" i="8"/>
  <c r="AN33" i="8"/>
  <c r="AF33" i="8"/>
  <c r="AE33" i="8"/>
  <c r="AD33" i="8"/>
  <c r="AC33" i="8"/>
  <c r="U33" i="8"/>
  <c r="T33" i="8"/>
  <c r="S33" i="8"/>
  <c r="R33" i="8"/>
  <c r="AQ32" i="8"/>
  <c r="AP32" i="8"/>
  <c r="AO32" i="8"/>
  <c r="AN32" i="8"/>
  <c r="AF32" i="8"/>
  <c r="AE32" i="8"/>
  <c r="AD32" i="8"/>
  <c r="AC32" i="8"/>
  <c r="U32" i="8"/>
  <c r="T32" i="8"/>
  <c r="S32" i="8"/>
  <c r="R32" i="8"/>
  <c r="AQ31" i="8"/>
  <c r="AP31" i="8"/>
  <c r="AO31" i="8"/>
  <c r="AN31" i="8"/>
  <c r="AF31" i="8"/>
  <c r="AE31" i="8"/>
  <c r="AD31" i="8"/>
  <c r="AC31" i="8"/>
  <c r="U31" i="8"/>
  <c r="T31" i="8"/>
  <c r="S31" i="8"/>
  <c r="R31" i="8"/>
  <c r="AQ30" i="8"/>
  <c r="AP30" i="8"/>
  <c r="AO30" i="8"/>
  <c r="AN30" i="8"/>
  <c r="AF30" i="8"/>
  <c r="AE30" i="8"/>
  <c r="AD30" i="8"/>
  <c r="AC30" i="8"/>
  <c r="U30" i="8"/>
  <c r="T30" i="8"/>
  <c r="S30" i="8"/>
  <c r="R30" i="8"/>
  <c r="AQ29" i="8"/>
  <c r="AP29" i="8"/>
  <c r="AO29" i="8"/>
  <c r="AN29" i="8"/>
  <c r="AF29" i="8"/>
  <c r="AE29" i="8"/>
  <c r="AD29" i="8"/>
  <c r="AC29" i="8"/>
  <c r="U29" i="8"/>
  <c r="T29" i="8"/>
  <c r="S29" i="8"/>
  <c r="R29" i="8"/>
  <c r="AQ28" i="8"/>
  <c r="AP28" i="8"/>
  <c r="AO28" i="8"/>
  <c r="AN28" i="8"/>
  <c r="AF28" i="8"/>
  <c r="AE28" i="8"/>
  <c r="AD28" i="8"/>
  <c r="AC28" i="8"/>
  <c r="U28" i="8"/>
  <c r="T28" i="8"/>
  <c r="S28" i="8"/>
  <c r="R28" i="8"/>
  <c r="AQ27" i="8"/>
  <c r="AP27" i="8"/>
  <c r="AO27" i="8"/>
  <c r="AN27" i="8"/>
  <c r="AF27" i="8"/>
  <c r="AE27" i="8"/>
  <c r="AD27" i="8"/>
  <c r="AC27" i="8"/>
  <c r="U27" i="8"/>
  <c r="T27" i="8"/>
  <c r="S27" i="8"/>
  <c r="R27" i="8"/>
  <c r="AQ26" i="8"/>
  <c r="AP26" i="8"/>
  <c r="AO26" i="8"/>
  <c r="AN26" i="8"/>
  <c r="AF26" i="8"/>
  <c r="AE26" i="8"/>
  <c r="AD26" i="8"/>
  <c r="AC26" i="8"/>
  <c r="U26" i="8"/>
  <c r="T26" i="8"/>
  <c r="S26" i="8"/>
  <c r="R26" i="8"/>
  <c r="AQ25" i="8"/>
  <c r="AP25" i="8"/>
  <c r="AO25" i="8"/>
  <c r="AN25" i="8"/>
  <c r="AF25" i="8"/>
  <c r="AE25" i="8"/>
  <c r="AD25" i="8"/>
  <c r="AC25" i="8"/>
  <c r="U25" i="8"/>
  <c r="T25" i="8"/>
  <c r="S25" i="8"/>
  <c r="R25" i="8"/>
  <c r="AQ24" i="8"/>
  <c r="AP24" i="8"/>
  <c r="AO24" i="8"/>
  <c r="AN24" i="8"/>
  <c r="AF24" i="8"/>
  <c r="AE24" i="8"/>
  <c r="AD24" i="8"/>
  <c r="AC24" i="8"/>
  <c r="U24" i="8"/>
  <c r="T24" i="8"/>
  <c r="S24" i="8"/>
  <c r="R24" i="8"/>
  <c r="AQ23" i="8"/>
  <c r="AP23" i="8"/>
  <c r="AO23" i="8"/>
  <c r="AN23" i="8"/>
  <c r="AF23" i="8"/>
  <c r="AE23" i="8"/>
  <c r="AD23" i="8"/>
  <c r="AC23" i="8"/>
  <c r="U23" i="8"/>
  <c r="T23" i="8"/>
  <c r="S23" i="8"/>
  <c r="R23" i="8"/>
  <c r="AQ22" i="8"/>
  <c r="AP22" i="8"/>
  <c r="AO22" i="8"/>
  <c r="AN22" i="8"/>
  <c r="AF22" i="8"/>
  <c r="AE22" i="8"/>
  <c r="AD22" i="8"/>
  <c r="AC22" i="8"/>
  <c r="U22" i="8"/>
  <c r="T22" i="8"/>
  <c r="S22" i="8"/>
  <c r="R22" i="8"/>
  <c r="AQ21" i="8"/>
  <c r="AP21" i="8"/>
  <c r="AO21" i="8"/>
  <c r="AN21" i="8"/>
  <c r="AF21" i="8"/>
  <c r="AE21" i="8"/>
  <c r="AD21" i="8"/>
  <c r="AC21" i="8"/>
  <c r="U21" i="8"/>
  <c r="T21" i="8"/>
  <c r="S21" i="8"/>
  <c r="R21" i="8"/>
  <c r="AQ20" i="8"/>
  <c r="AP20" i="8"/>
  <c r="AO20" i="8"/>
  <c r="AN20" i="8"/>
  <c r="AF20" i="8"/>
  <c r="AE20" i="8"/>
  <c r="AD20" i="8"/>
  <c r="AC20" i="8"/>
  <c r="U20" i="8"/>
  <c r="T20" i="8"/>
  <c r="S20" i="8"/>
  <c r="R20" i="8"/>
  <c r="AQ19" i="8"/>
  <c r="AP19" i="8"/>
  <c r="AO19" i="8"/>
  <c r="AN19" i="8"/>
  <c r="AF19" i="8"/>
  <c r="AE19" i="8"/>
  <c r="AD19" i="8"/>
  <c r="AC19" i="8"/>
  <c r="U19" i="8"/>
  <c r="T19" i="8"/>
  <c r="S19" i="8"/>
  <c r="R19" i="8"/>
  <c r="AQ18" i="8"/>
  <c r="AP18" i="8"/>
  <c r="AO18" i="8"/>
  <c r="AN18" i="8"/>
  <c r="AF18" i="8"/>
  <c r="AE18" i="8"/>
  <c r="AD18" i="8"/>
  <c r="AC18" i="8"/>
  <c r="U18" i="8"/>
  <c r="T18" i="8"/>
  <c r="S18" i="8"/>
  <c r="R18" i="8"/>
  <c r="AQ17" i="8"/>
  <c r="AP17" i="8"/>
  <c r="AO17" i="8"/>
  <c r="AN17" i="8"/>
  <c r="AF17" i="8"/>
  <c r="AE17" i="8"/>
  <c r="AD17" i="8"/>
  <c r="AC17" i="8"/>
  <c r="U17" i="8"/>
  <c r="T17" i="8"/>
  <c r="S17" i="8"/>
  <c r="R17" i="8"/>
  <c r="AQ16" i="8"/>
  <c r="AP16" i="8"/>
  <c r="AO16" i="8"/>
  <c r="AN16" i="8"/>
  <c r="AF16" i="8"/>
  <c r="AE16" i="8"/>
  <c r="AD16" i="8"/>
  <c r="AC16" i="8"/>
  <c r="U16" i="8"/>
  <c r="T16" i="8"/>
  <c r="S16" i="8"/>
  <c r="R16" i="8"/>
  <c r="AQ15" i="8"/>
  <c r="AP15" i="8"/>
  <c r="AO15" i="8"/>
  <c r="AN15" i="8"/>
  <c r="AF15" i="8"/>
  <c r="AE15" i="8"/>
  <c r="AD15" i="8"/>
  <c r="AC15" i="8"/>
  <c r="U15" i="8"/>
  <c r="T15" i="8"/>
  <c r="S15" i="8"/>
  <c r="R15" i="8"/>
  <c r="AQ14" i="8"/>
  <c r="AP14" i="8"/>
  <c r="AO14" i="8"/>
  <c r="AN14" i="8"/>
  <c r="AF14" i="8"/>
  <c r="AE14" i="8"/>
  <c r="AD14" i="8"/>
  <c r="AC14" i="8"/>
  <c r="U14" i="8"/>
  <c r="T14" i="8"/>
  <c r="S14" i="8"/>
  <c r="R14" i="8"/>
  <c r="AQ13" i="8"/>
  <c r="AP13" i="8"/>
  <c r="AO13" i="8"/>
  <c r="AN13" i="8"/>
  <c r="AF13" i="8"/>
  <c r="AE13" i="8"/>
  <c r="AD13" i="8"/>
  <c r="AC13" i="8"/>
  <c r="U13" i="8"/>
  <c r="T13" i="8"/>
  <c r="S13" i="8"/>
  <c r="R13" i="8"/>
  <c r="AQ12" i="8"/>
  <c r="AP12" i="8"/>
  <c r="AO12" i="8"/>
  <c r="AN12" i="8"/>
  <c r="AF12" i="8"/>
  <c r="AE12" i="8"/>
  <c r="AD12" i="8"/>
  <c r="AC12" i="8"/>
  <c r="U12" i="8"/>
  <c r="T12" i="8"/>
  <c r="S12" i="8"/>
  <c r="R12" i="8"/>
  <c r="AQ11" i="8"/>
  <c r="AP11" i="8"/>
  <c r="AO11" i="8"/>
  <c r="AN11" i="8"/>
  <c r="AF11" i="8"/>
  <c r="AE11" i="8"/>
  <c r="AD11" i="8"/>
  <c r="AC11" i="8"/>
  <c r="U11" i="8"/>
  <c r="T11" i="8"/>
  <c r="S11" i="8"/>
  <c r="R11" i="8"/>
  <c r="AQ10" i="8"/>
  <c r="AP10" i="8"/>
  <c r="AO10" i="8"/>
  <c r="AN10" i="8"/>
  <c r="AF10" i="8"/>
  <c r="AE10" i="8"/>
  <c r="AD10" i="8"/>
  <c r="AC10" i="8"/>
  <c r="U10" i="8"/>
  <c r="T10" i="8"/>
  <c r="S10" i="8"/>
  <c r="R10" i="8"/>
  <c r="AQ9" i="8"/>
  <c r="AP9" i="8"/>
  <c r="AO9" i="8"/>
  <c r="AN9" i="8"/>
  <c r="AF9" i="8"/>
  <c r="AE9" i="8"/>
  <c r="AD9" i="8"/>
  <c r="AC9" i="8"/>
  <c r="U9" i="8"/>
  <c r="T9" i="8"/>
  <c r="S9" i="8"/>
  <c r="R9" i="8"/>
  <c r="AQ8" i="8"/>
  <c r="AP8" i="8"/>
  <c r="AO8" i="8"/>
  <c r="AN8" i="8"/>
  <c r="AF8" i="8"/>
  <c r="AE8" i="8"/>
  <c r="AD8" i="8"/>
  <c r="AC8" i="8"/>
  <c r="U8" i="8"/>
  <c r="T8" i="8"/>
  <c r="S8" i="8"/>
  <c r="R8" i="8"/>
  <c r="AQ7" i="8"/>
  <c r="AP7" i="8"/>
  <c r="AO7" i="8"/>
  <c r="AN7" i="8"/>
  <c r="AF7" i="8"/>
  <c r="AE7" i="8"/>
  <c r="AD7" i="8"/>
  <c r="AC7" i="8"/>
  <c r="U7" i="8"/>
  <c r="T7" i="8"/>
  <c r="S7" i="8"/>
  <c r="R7" i="8"/>
  <c r="AQ6" i="8"/>
  <c r="AP6" i="8"/>
  <c r="AO6" i="8"/>
  <c r="AN6" i="8"/>
  <c r="AF6" i="8"/>
  <c r="AE6" i="8"/>
  <c r="AD6" i="8"/>
  <c r="AC6" i="8"/>
  <c r="U6" i="8"/>
  <c r="T6" i="8"/>
  <c r="S6" i="8"/>
  <c r="R6" i="8"/>
  <c r="AQ5" i="8"/>
  <c r="AP5" i="8"/>
  <c r="AO5" i="8"/>
  <c r="AN5" i="8"/>
  <c r="AF5" i="8"/>
  <c r="AE5" i="8"/>
  <c r="AD5" i="8"/>
  <c r="AC5" i="8"/>
  <c r="AC45" i="8" s="1"/>
  <c r="U5" i="8"/>
  <c r="T5" i="8"/>
  <c r="S5" i="8"/>
  <c r="R5" i="8"/>
  <c r="AQ4" i="8"/>
  <c r="AQ45" i="8" s="1"/>
  <c r="AP4" i="8"/>
  <c r="AP45" i="8" s="1"/>
  <c r="AO4" i="8"/>
  <c r="AN4" i="8"/>
  <c r="AF4" i="8"/>
  <c r="AE4" i="8"/>
  <c r="AD4" i="8"/>
  <c r="AD45" i="8" s="1"/>
  <c r="AC4" i="8"/>
  <c r="U4" i="8"/>
  <c r="T4" i="8"/>
  <c r="S4" i="8"/>
  <c r="R4" i="8"/>
  <c r="R45" i="8" s="1"/>
  <c r="AQ3" i="8"/>
  <c r="AP3" i="8"/>
  <c r="AO3" i="8"/>
  <c r="AO45" i="8" s="1"/>
  <c r="AN3" i="8"/>
  <c r="AN45" i="8" s="1"/>
  <c r="AF3" i="8"/>
  <c r="AF45" i="8" s="1"/>
  <c r="AE3" i="8"/>
  <c r="AE45" i="8" s="1"/>
  <c r="AD3" i="8"/>
  <c r="AC3" i="8"/>
  <c r="U3" i="8"/>
  <c r="U45" i="8" s="1"/>
  <c r="T3" i="8"/>
  <c r="T45" i="8" s="1"/>
  <c r="S3" i="8"/>
  <c r="S45" i="8" s="1"/>
  <c r="R3" i="8"/>
  <c r="T511" i="3"/>
  <c r="T510" i="3"/>
  <c r="T509" i="3"/>
  <c r="AP593" i="1"/>
  <c r="BB591" i="1"/>
  <c r="BA591" i="1"/>
  <c r="AZ591" i="1"/>
  <c r="AY591" i="1"/>
  <c r="AX591" i="1"/>
  <c r="AW591" i="1"/>
  <c r="S591" i="1"/>
  <c r="R591" i="1"/>
  <c r="Q591" i="1"/>
  <c r="P591" i="1"/>
  <c r="O591" i="1"/>
  <c r="N591" i="1"/>
  <c r="BB590" i="1"/>
  <c r="BA590" i="1"/>
  <c r="AZ590" i="1"/>
  <c r="AY590" i="1"/>
  <c r="AX590" i="1"/>
  <c r="AW590" i="1"/>
  <c r="S590" i="1"/>
  <c r="R590" i="1"/>
  <c r="Q590" i="1"/>
  <c r="P590" i="1"/>
  <c r="O590" i="1"/>
  <c r="N590" i="1"/>
  <c r="BB589" i="1"/>
  <c r="BA589" i="1"/>
  <c r="AZ589" i="1"/>
  <c r="AY589" i="1"/>
  <c r="AX589" i="1"/>
  <c r="AW589" i="1"/>
  <c r="S589" i="1"/>
  <c r="R589" i="1"/>
  <c r="Q589" i="1"/>
  <c r="P589" i="1"/>
  <c r="O589" i="1"/>
  <c r="N589" i="1"/>
  <c r="BB588" i="1"/>
  <c r="BA588" i="1"/>
  <c r="AZ588" i="1"/>
  <c r="AY588" i="1"/>
  <c r="AX588" i="1"/>
  <c r="AW588" i="1"/>
  <c r="S588" i="1"/>
  <c r="R588" i="1"/>
  <c r="Q588" i="1"/>
  <c r="P588" i="1"/>
  <c r="O588" i="1"/>
  <c r="N588" i="1"/>
  <c r="BB587" i="1"/>
  <c r="BA587" i="1"/>
  <c r="AZ587" i="1"/>
  <c r="AY587" i="1"/>
  <c r="AX587" i="1"/>
  <c r="AW587" i="1"/>
  <c r="S587" i="1"/>
  <c r="R587" i="1"/>
  <c r="Q587" i="1"/>
  <c r="P587" i="1"/>
  <c r="O587" i="1"/>
  <c r="N587" i="1"/>
  <c r="BB586" i="1"/>
  <c r="BA586" i="1"/>
  <c r="AZ586" i="1"/>
  <c r="AY586" i="1"/>
  <c r="AX586" i="1"/>
  <c r="AW586" i="1"/>
  <c r="S586" i="1"/>
  <c r="R586" i="1"/>
  <c r="Q586" i="1"/>
  <c r="P586" i="1"/>
  <c r="O586" i="1"/>
  <c r="N586" i="1"/>
  <c r="BB585" i="1"/>
  <c r="BA585" i="1"/>
  <c r="AZ585" i="1"/>
  <c r="AY585" i="1"/>
  <c r="AX585" i="1"/>
  <c r="AW585" i="1"/>
  <c r="S585" i="1"/>
  <c r="R585" i="1"/>
  <c r="Q585" i="1"/>
  <c r="P585" i="1"/>
  <c r="O585" i="1"/>
  <c r="N585" i="1"/>
  <c r="BB584" i="1"/>
  <c r="BA584" i="1"/>
  <c r="AZ584" i="1"/>
  <c r="AY584" i="1"/>
  <c r="AX584" i="1"/>
  <c r="AW584" i="1"/>
  <c r="S584" i="1"/>
  <c r="R584" i="1"/>
  <c r="Q584" i="1"/>
  <c r="P584" i="1"/>
  <c r="O584" i="1"/>
  <c r="N584" i="1"/>
  <c r="BB583" i="1"/>
  <c r="BA583" i="1"/>
  <c r="AZ583" i="1"/>
  <c r="AY583" i="1"/>
  <c r="AX583" i="1"/>
  <c r="AW583" i="1"/>
  <c r="S583" i="1"/>
  <c r="R583" i="1"/>
  <c r="Q583" i="1"/>
  <c r="P583" i="1"/>
  <c r="O583" i="1"/>
  <c r="N583" i="1"/>
  <c r="BB582" i="1"/>
  <c r="BA582" i="1"/>
  <c r="AZ582" i="1"/>
  <c r="AY582" i="1"/>
  <c r="AX582" i="1"/>
  <c r="AW582" i="1"/>
  <c r="S582" i="1"/>
  <c r="R582" i="1"/>
  <c r="Q582" i="1"/>
  <c r="P582" i="1"/>
  <c r="O582" i="1"/>
  <c r="N582" i="1"/>
  <c r="BB581" i="1"/>
  <c r="BA581" i="1"/>
  <c r="AZ581" i="1"/>
  <c r="AY581" i="1"/>
  <c r="AX581" i="1"/>
  <c r="AW581" i="1"/>
  <c r="S581" i="1"/>
  <c r="R581" i="1"/>
  <c r="Q581" i="1"/>
  <c r="P581" i="1"/>
  <c r="O581" i="1"/>
  <c r="N581" i="1"/>
  <c r="BB580" i="1"/>
  <c r="BA580" i="1"/>
  <c r="AZ580" i="1"/>
  <c r="AY580" i="1"/>
  <c r="AX580" i="1"/>
  <c r="AW580" i="1"/>
  <c r="S580" i="1"/>
  <c r="R580" i="1"/>
  <c r="Q580" i="1"/>
  <c r="P580" i="1"/>
  <c r="O580" i="1"/>
  <c r="N580" i="1"/>
  <c r="BB579" i="1"/>
  <c r="BA579" i="1"/>
  <c r="AZ579" i="1"/>
  <c r="AY579" i="1"/>
  <c r="AX579" i="1"/>
  <c r="AW579" i="1"/>
  <c r="S579" i="1"/>
  <c r="R579" i="1"/>
  <c r="Q579" i="1"/>
  <c r="P579" i="1"/>
  <c r="O579" i="1"/>
  <c r="N579" i="1"/>
  <c r="BB578" i="1"/>
  <c r="BA578" i="1"/>
  <c r="AZ578" i="1"/>
  <c r="AY578" i="1"/>
  <c r="AX578" i="1"/>
  <c r="AW578" i="1"/>
  <c r="S578" i="1"/>
  <c r="R578" i="1"/>
  <c r="Q578" i="1"/>
  <c r="P578" i="1"/>
  <c r="O578" i="1"/>
  <c r="N578" i="1"/>
  <c r="BB577" i="1"/>
  <c r="BA577" i="1"/>
  <c r="AZ577" i="1"/>
  <c r="AY577" i="1"/>
  <c r="AX577" i="1"/>
  <c r="AW577" i="1"/>
  <c r="S577" i="1"/>
  <c r="R577" i="1"/>
  <c r="Q577" i="1"/>
  <c r="P577" i="1"/>
  <c r="O577" i="1"/>
  <c r="N577" i="1"/>
  <c r="BB576" i="1"/>
  <c r="BA576" i="1"/>
  <c r="AZ576" i="1"/>
  <c r="AY576" i="1"/>
  <c r="AX576" i="1"/>
  <c r="AW576" i="1"/>
  <c r="S576" i="1"/>
  <c r="R576" i="1"/>
  <c r="Q576" i="1"/>
  <c r="P576" i="1"/>
  <c r="O576" i="1"/>
  <c r="N576" i="1"/>
  <c r="BB575" i="1"/>
  <c r="BA575" i="1"/>
  <c r="AZ575" i="1"/>
  <c r="AY575" i="1"/>
  <c r="AX575" i="1"/>
  <c r="AW575" i="1"/>
  <c r="S575" i="1"/>
  <c r="R575" i="1"/>
  <c r="Q575" i="1"/>
  <c r="P575" i="1"/>
  <c r="O575" i="1"/>
  <c r="N575" i="1"/>
  <c r="BB574" i="1"/>
  <c r="BA574" i="1"/>
  <c r="AZ574" i="1"/>
  <c r="AY574" i="1"/>
  <c r="AX574" i="1"/>
  <c r="AW574" i="1"/>
  <c r="S574" i="1"/>
  <c r="R574" i="1"/>
  <c r="Q574" i="1"/>
  <c r="P574" i="1"/>
  <c r="O574" i="1"/>
  <c r="N574" i="1"/>
  <c r="BB573" i="1"/>
  <c r="BA573" i="1"/>
  <c r="AZ573" i="1"/>
  <c r="AY573" i="1"/>
  <c r="AX573" i="1"/>
  <c r="AW573" i="1"/>
  <c r="S573" i="1"/>
  <c r="R573" i="1"/>
  <c r="Q573" i="1"/>
  <c r="P573" i="1"/>
  <c r="O573" i="1"/>
  <c r="N573" i="1"/>
  <c r="BB572" i="1"/>
  <c r="BA572" i="1"/>
  <c r="AZ572" i="1"/>
  <c r="AY572" i="1"/>
  <c r="AX572" i="1"/>
  <c r="AW572" i="1"/>
  <c r="S572" i="1"/>
  <c r="R572" i="1"/>
  <c r="Q572" i="1"/>
  <c r="P572" i="1"/>
  <c r="O572" i="1"/>
  <c r="N572" i="1"/>
  <c r="BB571" i="1"/>
  <c r="BA571" i="1"/>
  <c r="AZ571" i="1"/>
  <c r="AY571" i="1"/>
  <c r="AX571" i="1"/>
  <c r="AW571" i="1"/>
  <c r="S571" i="1"/>
  <c r="R571" i="1"/>
  <c r="Q571" i="1"/>
  <c r="P571" i="1"/>
  <c r="O571" i="1"/>
  <c r="N571" i="1"/>
  <c r="BB570" i="1"/>
  <c r="BA570" i="1"/>
  <c r="AZ570" i="1"/>
  <c r="AY570" i="1"/>
  <c r="AX570" i="1"/>
  <c r="AW570" i="1"/>
  <c r="S570" i="1"/>
  <c r="R570" i="1"/>
  <c r="Q570" i="1"/>
  <c r="P570" i="1"/>
  <c r="O570" i="1"/>
  <c r="N570" i="1"/>
  <c r="BB569" i="1"/>
  <c r="BA569" i="1"/>
  <c r="AZ569" i="1"/>
  <c r="AY569" i="1"/>
  <c r="AX569" i="1"/>
  <c r="AW569" i="1"/>
  <c r="S569" i="1"/>
  <c r="R569" i="1"/>
  <c r="Q569" i="1"/>
  <c r="P569" i="1"/>
  <c r="O569" i="1"/>
  <c r="N569" i="1"/>
  <c r="BB568" i="1"/>
  <c r="BA568" i="1"/>
  <c r="AZ568" i="1"/>
  <c r="AY568" i="1"/>
  <c r="AX568" i="1"/>
  <c r="AW568" i="1"/>
  <c r="S568" i="1"/>
  <c r="R568" i="1"/>
  <c r="Q568" i="1"/>
  <c r="P568" i="1"/>
  <c r="O568" i="1"/>
  <c r="N568" i="1"/>
  <c r="BB567" i="1"/>
  <c r="BA567" i="1"/>
  <c r="AZ567" i="1"/>
  <c r="AY567" i="1"/>
  <c r="AX567" i="1"/>
  <c r="AW567" i="1"/>
  <c r="S567" i="1"/>
  <c r="R567" i="1"/>
  <c r="Q567" i="1"/>
  <c r="P567" i="1"/>
  <c r="O567" i="1"/>
  <c r="N567" i="1"/>
  <c r="BB566" i="1"/>
  <c r="BA566" i="1"/>
  <c r="AZ566" i="1"/>
  <c r="AY566" i="1"/>
  <c r="AX566" i="1"/>
  <c r="AW566" i="1"/>
  <c r="S566" i="1"/>
  <c r="R566" i="1"/>
  <c r="Q566" i="1"/>
  <c r="P566" i="1"/>
  <c r="O566" i="1"/>
  <c r="N566" i="1"/>
  <c r="BB565" i="1"/>
  <c r="BA565" i="1"/>
  <c r="AZ565" i="1"/>
  <c r="AY565" i="1"/>
  <c r="AX565" i="1"/>
  <c r="AW565" i="1"/>
  <c r="S565" i="1"/>
  <c r="R565" i="1"/>
  <c r="Q565" i="1"/>
  <c r="P565" i="1"/>
  <c r="O565" i="1"/>
  <c r="N565" i="1"/>
  <c r="BB564" i="1"/>
  <c r="BA564" i="1"/>
  <c r="AZ564" i="1"/>
  <c r="AY564" i="1"/>
  <c r="AX564" i="1"/>
  <c r="AW564" i="1"/>
  <c r="S564" i="1"/>
  <c r="R564" i="1"/>
  <c r="Q564" i="1"/>
  <c r="P564" i="1"/>
  <c r="O564" i="1"/>
  <c r="N564" i="1"/>
  <c r="BB563" i="1"/>
  <c r="BA563" i="1"/>
  <c r="AZ563" i="1"/>
  <c r="AY563" i="1"/>
  <c r="AX563" i="1"/>
  <c r="AW563" i="1"/>
  <c r="S563" i="1"/>
  <c r="R563" i="1"/>
  <c r="Q563" i="1"/>
  <c r="P563" i="1"/>
  <c r="O563" i="1"/>
  <c r="N563" i="1"/>
  <c r="BB562" i="1"/>
  <c r="BA562" i="1"/>
  <c r="AZ562" i="1"/>
  <c r="AY562" i="1"/>
  <c r="AX562" i="1"/>
  <c r="AW562" i="1"/>
  <c r="S562" i="1"/>
  <c r="R562" i="1"/>
  <c r="Q562" i="1"/>
  <c r="P562" i="1"/>
  <c r="O562" i="1"/>
  <c r="N562" i="1"/>
  <c r="BB561" i="1"/>
  <c r="BA561" i="1"/>
  <c r="AZ561" i="1"/>
  <c r="AY561" i="1"/>
  <c r="AX561" i="1"/>
  <c r="AW561" i="1"/>
  <c r="S561" i="1"/>
  <c r="R561" i="1"/>
  <c r="Q561" i="1"/>
  <c r="P561" i="1"/>
  <c r="O561" i="1"/>
  <c r="N561" i="1"/>
  <c r="BB560" i="1"/>
  <c r="BA560" i="1"/>
  <c r="AZ560" i="1"/>
  <c r="AY560" i="1"/>
  <c r="AX560" i="1"/>
  <c r="AW560" i="1"/>
  <c r="S560" i="1"/>
  <c r="R560" i="1"/>
  <c r="Q560" i="1"/>
  <c r="P560" i="1"/>
  <c r="O560" i="1"/>
  <c r="N560" i="1"/>
  <c r="BB559" i="1"/>
  <c r="BA559" i="1"/>
  <c r="AZ559" i="1"/>
  <c r="AY559" i="1"/>
  <c r="AX559" i="1"/>
  <c r="AW559" i="1"/>
  <c r="S559" i="1"/>
  <c r="R559" i="1"/>
  <c r="Q559" i="1"/>
  <c r="P559" i="1"/>
  <c r="O559" i="1"/>
  <c r="N559" i="1"/>
  <c r="BB558" i="1"/>
  <c r="BA558" i="1"/>
  <c r="AZ558" i="1"/>
  <c r="AY558" i="1"/>
  <c r="AX558" i="1"/>
  <c r="AW558" i="1"/>
  <c r="S558" i="1"/>
  <c r="R558" i="1"/>
  <c r="Q558" i="1"/>
  <c r="P558" i="1"/>
  <c r="O558" i="1"/>
  <c r="N558" i="1"/>
  <c r="BB557" i="1"/>
  <c r="BA557" i="1"/>
  <c r="AZ557" i="1"/>
  <c r="AY557" i="1"/>
  <c r="AX557" i="1"/>
  <c r="AW557" i="1"/>
  <c r="S557" i="1"/>
  <c r="R557" i="1"/>
  <c r="Q557" i="1"/>
  <c r="P557" i="1"/>
  <c r="O557" i="1"/>
  <c r="N557" i="1"/>
  <c r="BB556" i="1"/>
  <c r="BA556" i="1"/>
  <c r="AZ556" i="1"/>
  <c r="AY556" i="1"/>
  <c r="AX556" i="1"/>
  <c r="AW556" i="1"/>
  <c r="S556" i="1"/>
  <c r="R556" i="1"/>
  <c r="Q556" i="1"/>
  <c r="P556" i="1"/>
  <c r="O556" i="1"/>
  <c r="N556" i="1"/>
  <c r="BB555" i="1"/>
  <c r="BA555" i="1"/>
  <c r="AZ555" i="1"/>
  <c r="AY555" i="1"/>
  <c r="AX555" i="1"/>
  <c r="AW555" i="1"/>
  <c r="S555" i="1"/>
  <c r="R555" i="1"/>
  <c r="Q555" i="1"/>
  <c r="P555" i="1"/>
  <c r="O555" i="1"/>
  <c r="N555" i="1"/>
  <c r="BB554" i="1"/>
  <c r="BA554" i="1"/>
  <c r="AZ554" i="1"/>
  <c r="AY554" i="1"/>
  <c r="AX554" i="1"/>
  <c r="AW554" i="1"/>
  <c r="S554" i="1"/>
  <c r="R554" i="1"/>
  <c r="Q554" i="1"/>
  <c r="P554" i="1"/>
  <c r="O554" i="1"/>
  <c r="N554" i="1"/>
  <c r="BB553" i="1"/>
  <c r="BA553" i="1"/>
  <c r="AZ553" i="1"/>
  <c r="AY553" i="1"/>
  <c r="AX553" i="1"/>
  <c r="AW553" i="1"/>
  <c r="S553" i="1"/>
  <c r="R553" i="1"/>
  <c r="Q553" i="1"/>
  <c r="P553" i="1"/>
  <c r="O553" i="1"/>
  <c r="N553" i="1"/>
  <c r="BB552" i="1"/>
  <c r="BA552" i="1"/>
  <c r="AZ552" i="1"/>
  <c r="AY552" i="1"/>
  <c r="AX552" i="1"/>
  <c r="AW552" i="1"/>
  <c r="S552" i="1"/>
  <c r="R552" i="1"/>
  <c r="Q552" i="1"/>
  <c r="P552" i="1"/>
  <c r="O552" i="1"/>
  <c r="N552" i="1"/>
  <c r="BB551" i="1"/>
  <c r="BA551" i="1"/>
  <c r="AZ551" i="1"/>
  <c r="AY551" i="1"/>
  <c r="AX551" i="1"/>
  <c r="AW551" i="1"/>
  <c r="S551" i="1"/>
  <c r="R551" i="1"/>
  <c r="Q551" i="1"/>
  <c r="P551" i="1"/>
  <c r="O551" i="1"/>
  <c r="N551" i="1"/>
  <c r="BB550" i="1"/>
  <c r="BA550" i="1"/>
  <c r="AZ550" i="1"/>
  <c r="AY550" i="1"/>
  <c r="AX550" i="1"/>
  <c r="AW550" i="1"/>
  <c r="S550" i="1"/>
  <c r="R550" i="1"/>
  <c r="Q550" i="1"/>
  <c r="P550" i="1"/>
  <c r="O550" i="1"/>
  <c r="N550" i="1"/>
  <c r="BB549" i="1"/>
  <c r="BA549" i="1"/>
  <c r="AZ549" i="1"/>
  <c r="AY549" i="1"/>
  <c r="AX549" i="1"/>
  <c r="AW549" i="1"/>
  <c r="S549" i="1"/>
  <c r="R549" i="1"/>
  <c r="Q549" i="1"/>
  <c r="P549" i="1"/>
  <c r="O549" i="1"/>
  <c r="N549" i="1"/>
  <c r="BB548" i="1"/>
  <c r="BA548" i="1"/>
  <c r="AZ548" i="1"/>
  <c r="AY548" i="1"/>
  <c r="AX548" i="1"/>
  <c r="AW548" i="1"/>
  <c r="S548" i="1"/>
  <c r="R548" i="1"/>
  <c r="Q548" i="1"/>
  <c r="P548" i="1"/>
  <c r="O548" i="1"/>
  <c r="N548" i="1"/>
  <c r="BB547" i="1"/>
  <c r="BA547" i="1"/>
  <c r="AZ547" i="1"/>
  <c r="AY547" i="1"/>
  <c r="AX547" i="1"/>
  <c r="AW547" i="1"/>
  <c r="S547" i="1"/>
  <c r="R547" i="1"/>
  <c r="Q547" i="1"/>
  <c r="P547" i="1"/>
  <c r="O547" i="1"/>
  <c r="N547" i="1"/>
  <c r="BB546" i="1"/>
  <c r="BA546" i="1"/>
  <c r="AZ546" i="1"/>
  <c r="AY546" i="1"/>
  <c r="AX546" i="1"/>
  <c r="AW546" i="1"/>
  <c r="S546" i="1"/>
  <c r="R546" i="1"/>
  <c r="Q546" i="1"/>
  <c r="P546" i="1"/>
  <c r="O546" i="1"/>
  <c r="N546" i="1"/>
  <c r="BB545" i="1"/>
  <c r="BA545" i="1"/>
  <c r="AZ545" i="1"/>
  <c r="AY545" i="1"/>
  <c r="AX545" i="1"/>
  <c r="AW545" i="1"/>
  <c r="S545" i="1"/>
  <c r="R545" i="1"/>
  <c r="Q545" i="1"/>
  <c r="P545" i="1"/>
  <c r="O545" i="1"/>
  <c r="N545" i="1"/>
  <c r="BB544" i="1"/>
  <c r="BA544" i="1"/>
  <c r="AZ544" i="1"/>
  <c r="AY544" i="1"/>
  <c r="AX544" i="1"/>
  <c r="AW544" i="1"/>
  <c r="S544" i="1"/>
  <c r="R544" i="1"/>
  <c r="Q544" i="1"/>
  <c r="P544" i="1"/>
  <c r="O544" i="1"/>
  <c r="N544" i="1"/>
  <c r="BB543" i="1"/>
  <c r="BA543" i="1"/>
  <c r="AZ543" i="1"/>
  <c r="AY543" i="1"/>
  <c r="AX543" i="1"/>
  <c r="AW543" i="1"/>
  <c r="S543" i="1"/>
  <c r="R543" i="1"/>
  <c r="Q543" i="1"/>
  <c r="P543" i="1"/>
  <c r="O543" i="1"/>
  <c r="N543" i="1"/>
  <c r="BB542" i="1"/>
  <c r="BA542" i="1"/>
  <c r="AZ542" i="1"/>
  <c r="AY542" i="1"/>
  <c r="AX542" i="1"/>
  <c r="AW542" i="1"/>
  <c r="S542" i="1"/>
  <c r="R542" i="1"/>
  <c r="Q542" i="1"/>
  <c r="P542" i="1"/>
  <c r="O542" i="1"/>
  <c r="N542" i="1"/>
  <c r="BB541" i="1"/>
  <c r="BA541" i="1"/>
  <c r="AZ541" i="1"/>
  <c r="AY541" i="1"/>
  <c r="AX541" i="1"/>
  <c r="AW541" i="1"/>
  <c r="S541" i="1"/>
  <c r="R541" i="1"/>
  <c r="Q541" i="1"/>
  <c r="P541" i="1"/>
  <c r="O541" i="1"/>
  <c r="N541" i="1"/>
  <c r="BB540" i="1"/>
  <c r="BA540" i="1"/>
  <c r="AZ540" i="1"/>
  <c r="AY540" i="1"/>
  <c r="AX540" i="1"/>
  <c r="AW540" i="1"/>
  <c r="S540" i="1"/>
  <c r="R540" i="1"/>
  <c r="Q540" i="1"/>
  <c r="P540" i="1"/>
  <c r="O540" i="1"/>
  <c r="N540" i="1"/>
  <c r="BB539" i="1"/>
  <c r="BA539" i="1"/>
  <c r="AZ539" i="1"/>
  <c r="AY539" i="1"/>
  <c r="AX539" i="1"/>
  <c r="AW539" i="1"/>
  <c r="S539" i="1"/>
  <c r="R539" i="1"/>
  <c r="Q539" i="1"/>
  <c r="P539" i="1"/>
  <c r="O539" i="1"/>
  <c r="N539" i="1"/>
  <c r="BB538" i="1"/>
  <c r="BA538" i="1"/>
  <c r="AZ538" i="1"/>
  <c r="AY538" i="1"/>
  <c r="AX538" i="1"/>
  <c r="AW538" i="1"/>
  <c r="S538" i="1"/>
  <c r="R538" i="1"/>
  <c r="Q538" i="1"/>
  <c r="P538" i="1"/>
  <c r="O538" i="1"/>
  <c r="N538" i="1"/>
  <c r="BB537" i="1"/>
  <c r="BA537" i="1"/>
  <c r="AZ537" i="1"/>
  <c r="AY537" i="1"/>
  <c r="AX537" i="1"/>
  <c r="AW537" i="1"/>
  <c r="S537" i="1"/>
  <c r="R537" i="1"/>
  <c r="Q537" i="1"/>
  <c r="P537" i="1"/>
  <c r="O537" i="1"/>
  <c r="N537" i="1"/>
  <c r="BB536" i="1"/>
  <c r="BA536" i="1"/>
  <c r="AZ536" i="1"/>
  <c r="AY536" i="1"/>
  <c r="AX536" i="1"/>
  <c r="AW536" i="1"/>
  <c r="S536" i="1"/>
  <c r="R536" i="1"/>
  <c r="Q536" i="1"/>
  <c r="P536" i="1"/>
  <c r="O536" i="1"/>
  <c r="N536" i="1"/>
  <c r="BB535" i="1"/>
  <c r="BA535" i="1"/>
  <c r="AZ535" i="1"/>
  <c r="AY535" i="1"/>
  <c r="AX535" i="1"/>
  <c r="AW535" i="1"/>
  <c r="S535" i="1"/>
  <c r="R535" i="1"/>
  <c r="Q535" i="1"/>
  <c r="P535" i="1"/>
  <c r="O535" i="1"/>
  <c r="N535" i="1"/>
  <c r="BB534" i="1"/>
  <c r="BA534" i="1"/>
  <c r="AZ534" i="1"/>
  <c r="AY534" i="1"/>
  <c r="AX534" i="1"/>
  <c r="AW534" i="1"/>
  <c r="S534" i="1"/>
  <c r="R534" i="1"/>
  <c r="Q534" i="1"/>
  <c r="P534" i="1"/>
  <c r="O534" i="1"/>
  <c r="N534" i="1"/>
  <c r="BB533" i="1"/>
  <c r="BA533" i="1"/>
  <c r="AZ533" i="1"/>
  <c r="AY533" i="1"/>
  <c r="AX533" i="1"/>
  <c r="AW533" i="1"/>
  <c r="S533" i="1"/>
  <c r="R533" i="1"/>
  <c r="Q533" i="1"/>
  <c r="P533" i="1"/>
  <c r="O533" i="1"/>
  <c r="N533" i="1"/>
  <c r="BB532" i="1"/>
  <c r="BA532" i="1"/>
  <c r="AZ532" i="1"/>
  <c r="AY532" i="1"/>
  <c r="AX532" i="1"/>
  <c r="AW532" i="1"/>
  <c r="S532" i="1"/>
  <c r="R532" i="1"/>
  <c r="Q532" i="1"/>
  <c r="P532" i="1"/>
  <c r="O532" i="1"/>
  <c r="N532" i="1"/>
  <c r="BB531" i="1"/>
  <c r="BA531" i="1"/>
  <c r="AZ531" i="1"/>
  <c r="AY531" i="1"/>
  <c r="AX531" i="1"/>
  <c r="AW531" i="1"/>
  <c r="S531" i="1"/>
  <c r="R531" i="1"/>
  <c r="Q531" i="1"/>
  <c r="P531" i="1"/>
  <c r="O531" i="1"/>
  <c r="N531" i="1"/>
  <c r="BB530" i="1"/>
  <c r="BA530" i="1"/>
  <c r="AZ530" i="1"/>
  <c r="AY530" i="1"/>
  <c r="AX530" i="1"/>
  <c r="AW530" i="1"/>
  <c r="S530" i="1"/>
  <c r="R530" i="1"/>
  <c r="Q530" i="1"/>
  <c r="P530" i="1"/>
  <c r="O530" i="1"/>
  <c r="N530" i="1"/>
  <c r="BB529" i="1"/>
  <c r="BA529" i="1"/>
  <c r="AZ529" i="1"/>
  <c r="AY529" i="1"/>
  <c r="AX529" i="1"/>
  <c r="AW529" i="1"/>
  <c r="S529" i="1"/>
  <c r="R529" i="1"/>
  <c r="Q529" i="1"/>
  <c r="P529" i="1"/>
  <c r="O529" i="1"/>
  <c r="N529" i="1"/>
  <c r="BB528" i="1"/>
  <c r="BA528" i="1"/>
  <c r="AZ528" i="1"/>
  <c r="AY528" i="1"/>
  <c r="AX528" i="1"/>
  <c r="AW528" i="1"/>
  <c r="S528" i="1"/>
  <c r="R528" i="1"/>
  <c r="Q528" i="1"/>
  <c r="P528" i="1"/>
  <c r="O528" i="1"/>
  <c r="N528" i="1"/>
  <c r="BB527" i="1"/>
  <c r="BA527" i="1"/>
  <c r="AZ527" i="1"/>
  <c r="AY527" i="1"/>
  <c r="AX527" i="1"/>
  <c r="AW527" i="1"/>
  <c r="S527" i="1"/>
  <c r="R527" i="1"/>
  <c r="Q527" i="1"/>
  <c r="P527" i="1"/>
  <c r="O527" i="1"/>
  <c r="N527" i="1"/>
  <c r="BB526" i="1"/>
  <c r="BA526" i="1"/>
  <c r="AZ526" i="1"/>
  <c r="AY526" i="1"/>
  <c r="AX526" i="1"/>
  <c r="AW526" i="1"/>
  <c r="S526" i="1"/>
  <c r="R526" i="1"/>
  <c r="Q526" i="1"/>
  <c r="P526" i="1"/>
  <c r="O526" i="1"/>
  <c r="N526" i="1"/>
  <c r="BB525" i="1"/>
  <c r="BA525" i="1"/>
  <c r="AZ525" i="1"/>
  <c r="AY525" i="1"/>
  <c r="AX525" i="1"/>
  <c r="AW525" i="1"/>
  <c r="S525" i="1"/>
  <c r="R525" i="1"/>
  <c r="Q525" i="1"/>
  <c r="P525" i="1"/>
  <c r="O525" i="1"/>
  <c r="N525" i="1"/>
  <c r="BB524" i="1"/>
  <c r="BA524" i="1"/>
  <c r="AZ524" i="1"/>
  <c r="AY524" i="1"/>
  <c r="AX524" i="1"/>
  <c r="AW524" i="1"/>
  <c r="S524" i="1"/>
  <c r="R524" i="1"/>
  <c r="Q524" i="1"/>
  <c r="P524" i="1"/>
  <c r="O524" i="1"/>
  <c r="N524" i="1"/>
  <c r="BB523" i="1"/>
  <c r="BA523" i="1"/>
  <c r="AZ523" i="1"/>
  <c r="AY523" i="1"/>
  <c r="AX523" i="1"/>
  <c r="AW523" i="1"/>
  <c r="S523" i="1"/>
  <c r="R523" i="1"/>
  <c r="Q523" i="1"/>
  <c r="P523" i="1"/>
  <c r="O523" i="1"/>
  <c r="N523" i="1"/>
  <c r="BB522" i="1"/>
  <c r="BA522" i="1"/>
  <c r="AZ522" i="1"/>
  <c r="AY522" i="1"/>
  <c r="AX522" i="1"/>
  <c r="AW522" i="1"/>
  <c r="S522" i="1"/>
  <c r="R522" i="1"/>
  <c r="Q522" i="1"/>
  <c r="P522" i="1"/>
  <c r="O522" i="1"/>
  <c r="N522" i="1"/>
  <c r="BB521" i="1"/>
  <c r="BA521" i="1"/>
  <c r="AZ521" i="1"/>
  <c r="AY521" i="1"/>
  <c r="AX521" i="1"/>
  <c r="AW521" i="1"/>
  <c r="S521" i="1"/>
  <c r="R521" i="1"/>
  <c r="Q521" i="1"/>
  <c r="P521" i="1"/>
  <c r="O521" i="1"/>
  <c r="N521" i="1"/>
  <c r="BB520" i="1"/>
  <c r="BA520" i="1"/>
  <c r="AZ520" i="1"/>
  <c r="AY520" i="1"/>
  <c r="AX520" i="1"/>
  <c r="AW520" i="1"/>
  <c r="S520" i="1"/>
  <c r="R520" i="1"/>
  <c r="Q520" i="1"/>
  <c r="P520" i="1"/>
  <c r="O520" i="1"/>
  <c r="N520" i="1"/>
  <c r="BB519" i="1"/>
  <c r="BA519" i="1"/>
  <c r="AZ519" i="1"/>
  <c r="AY519" i="1"/>
  <c r="AX519" i="1"/>
  <c r="AW519" i="1"/>
  <c r="S519" i="1"/>
  <c r="R519" i="1"/>
  <c r="Q519" i="1"/>
  <c r="P519" i="1"/>
  <c r="O519" i="1"/>
  <c r="N519" i="1"/>
  <c r="BB518" i="1"/>
  <c r="BA518" i="1"/>
  <c r="AZ518" i="1"/>
  <c r="AY518" i="1"/>
  <c r="AX518" i="1"/>
  <c r="AW518" i="1"/>
  <c r="S518" i="1"/>
  <c r="R518" i="1"/>
  <c r="Q518" i="1"/>
  <c r="P518" i="1"/>
  <c r="O518" i="1"/>
  <c r="N518" i="1"/>
  <c r="BB517" i="1"/>
  <c r="BA517" i="1"/>
  <c r="AZ517" i="1"/>
  <c r="AY517" i="1"/>
  <c r="AX517" i="1"/>
  <c r="AW517" i="1"/>
  <c r="S517" i="1"/>
  <c r="R517" i="1"/>
  <c r="Q517" i="1"/>
  <c r="P517" i="1"/>
  <c r="O517" i="1"/>
  <c r="N517" i="1"/>
  <c r="BB516" i="1"/>
  <c r="BA516" i="1"/>
  <c r="AZ516" i="1"/>
  <c r="AY516" i="1"/>
  <c r="AX516" i="1"/>
  <c r="AW516" i="1"/>
  <c r="S516" i="1"/>
  <c r="R516" i="1"/>
  <c r="Q516" i="1"/>
  <c r="P516" i="1"/>
  <c r="O516" i="1"/>
  <c r="N516" i="1"/>
  <c r="BB515" i="1"/>
  <c r="BA515" i="1"/>
  <c r="AZ515" i="1"/>
  <c r="AY515" i="1"/>
  <c r="AX515" i="1"/>
  <c r="AW515" i="1"/>
  <c r="S515" i="1"/>
  <c r="R515" i="1"/>
  <c r="Q515" i="1"/>
  <c r="P515" i="1"/>
  <c r="O515" i="1"/>
  <c r="N515" i="1"/>
  <c r="BB514" i="1"/>
  <c r="BA514" i="1"/>
  <c r="AZ514" i="1"/>
  <c r="AY514" i="1"/>
  <c r="AX514" i="1"/>
  <c r="AW514" i="1"/>
  <c r="S514" i="1"/>
  <c r="R514" i="1"/>
  <c r="Q514" i="1"/>
  <c r="P514" i="1"/>
  <c r="O514" i="1"/>
  <c r="N514" i="1"/>
  <c r="BB513" i="1"/>
  <c r="BA513" i="1"/>
  <c r="AZ513" i="1"/>
  <c r="AY513" i="1"/>
  <c r="AX513" i="1"/>
  <c r="AW513" i="1"/>
  <c r="S513" i="1"/>
  <c r="R513" i="1"/>
  <c r="Q513" i="1"/>
  <c r="P513" i="1"/>
  <c r="O513" i="1"/>
  <c r="N513" i="1"/>
  <c r="BB512" i="1"/>
  <c r="BA512" i="1"/>
  <c r="AZ512" i="1"/>
  <c r="AY512" i="1"/>
  <c r="AX512" i="1"/>
  <c r="AW512" i="1"/>
  <c r="S512" i="1"/>
  <c r="R512" i="1"/>
  <c r="Q512" i="1"/>
  <c r="P512" i="1"/>
  <c r="O512" i="1"/>
  <c r="N512" i="1"/>
  <c r="BB511" i="1"/>
  <c r="BA511" i="1"/>
  <c r="AZ511" i="1"/>
  <c r="AY511" i="1"/>
  <c r="AX511" i="1"/>
  <c r="AW511" i="1"/>
  <c r="S511" i="1"/>
  <c r="R511" i="1"/>
  <c r="Q511" i="1"/>
  <c r="P511" i="1"/>
  <c r="O511" i="1"/>
  <c r="N511" i="1"/>
  <c r="BB510" i="1"/>
  <c r="BA510" i="1"/>
  <c r="AZ510" i="1"/>
  <c r="AY510" i="1"/>
  <c r="AX510" i="1"/>
  <c r="AW510" i="1"/>
  <c r="S510" i="1"/>
  <c r="R510" i="1"/>
  <c r="Q510" i="1"/>
  <c r="P510" i="1"/>
  <c r="O510" i="1"/>
  <c r="N510" i="1"/>
  <c r="BB509" i="1"/>
  <c r="BA509" i="1"/>
  <c r="AZ509" i="1"/>
  <c r="AY509" i="1"/>
  <c r="AX509" i="1"/>
  <c r="AW509" i="1"/>
  <c r="S509" i="1"/>
  <c r="R509" i="1"/>
  <c r="Q509" i="1"/>
  <c r="P509" i="1"/>
  <c r="O509" i="1"/>
  <c r="N509" i="1"/>
  <c r="BB508" i="1"/>
  <c r="BA508" i="1"/>
  <c r="AZ508" i="1"/>
  <c r="AY508" i="1"/>
  <c r="AX508" i="1"/>
  <c r="AW508" i="1"/>
  <c r="S508" i="1"/>
  <c r="R508" i="1"/>
  <c r="Q508" i="1"/>
  <c r="P508" i="1"/>
  <c r="O508" i="1"/>
  <c r="N508" i="1"/>
  <c r="BB507" i="1"/>
  <c r="BA507" i="1"/>
  <c r="AZ507" i="1"/>
  <c r="AY507" i="1"/>
  <c r="AX507" i="1"/>
  <c r="AW507" i="1"/>
  <c r="S507" i="1"/>
  <c r="R507" i="1"/>
  <c r="Q507" i="1"/>
  <c r="P507" i="1"/>
  <c r="O507" i="1"/>
  <c r="N507" i="1"/>
  <c r="BB506" i="1"/>
  <c r="BA506" i="1"/>
  <c r="AZ506" i="1"/>
  <c r="AY506" i="1"/>
  <c r="AX506" i="1"/>
  <c r="AW506" i="1"/>
  <c r="S506" i="1"/>
  <c r="R506" i="1"/>
  <c r="Q506" i="1"/>
  <c r="P506" i="1"/>
  <c r="O506" i="1"/>
  <c r="N506" i="1"/>
  <c r="BB505" i="1"/>
  <c r="BA505" i="1"/>
  <c r="AZ505" i="1"/>
  <c r="AY505" i="1"/>
  <c r="AX505" i="1"/>
  <c r="AW505" i="1"/>
  <c r="S505" i="1"/>
  <c r="R505" i="1"/>
  <c r="Q505" i="1"/>
  <c r="P505" i="1"/>
  <c r="O505" i="1"/>
  <c r="N505" i="1"/>
  <c r="BB504" i="1"/>
  <c r="BA504" i="1"/>
  <c r="AZ504" i="1"/>
  <c r="AY504" i="1"/>
  <c r="AX504" i="1"/>
  <c r="AW504" i="1"/>
  <c r="S504" i="1"/>
  <c r="R504" i="1"/>
  <c r="Q504" i="1"/>
  <c r="P504" i="1"/>
  <c r="O504" i="1"/>
  <c r="N504" i="1"/>
  <c r="BB503" i="1"/>
  <c r="BA503" i="1"/>
  <c r="AZ503" i="1"/>
  <c r="AY503" i="1"/>
  <c r="AX503" i="1"/>
  <c r="AW503" i="1"/>
  <c r="S503" i="1"/>
  <c r="R503" i="1"/>
  <c r="Q503" i="1"/>
  <c r="P503" i="1"/>
  <c r="O503" i="1"/>
  <c r="N503" i="1"/>
  <c r="BB502" i="1"/>
  <c r="BA502" i="1"/>
  <c r="AZ502" i="1"/>
  <c r="AY502" i="1"/>
  <c r="AX502" i="1"/>
  <c r="AW502" i="1"/>
  <c r="S502" i="1"/>
  <c r="R502" i="1"/>
  <c r="Q502" i="1"/>
  <c r="P502" i="1"/>
  <c r="O502" i="1"/>
  <c r="N502" i="1"/>
  <c r="BB501" i="1"/>
  <c r="BA501" i="1"/>
  <c r="AZ501" i="1"/>
  <c r="AY501" i="1"/>
  <c r="AX501" i="1"/>
  <c r="AW501" i="1"/>
  <c r="S501" i="1"/>
  <c r="R501" i="1"/>
  <c r="Q501" i="1"/>
  <c r="P501" i="1"/>
  <c r="O501" i="1"/>
  <c r="N501" i="1"/>
  <c r="BB500" i="1"/>
  <c r="BA500" i="1"/>
  <c r="AZ500" i="1"/>
  <c r="AY500" i="1"/>
  <c r="AX500" i="1"/>
  <c r="AW500" i="1"/>
  <c r="S500" i="1"/>
  <c r="R500" i="1"/>
  <c r="Q500" i="1"/>
  <c r="P500" i="1"/>
  <c r="O500" i="1"/>
  <c r="N500" i="1"/>
  <c r="BB499" i="1"/>
  <c r="BA499" i="1"/>
  <c r="AZ499" i="1"/>
  <c r="AY499" i="1"/>
  <c r="AX499" i="1"/>
  <c r="AW499" i="1"/>
  <c r="S499" i="1"/>
  <c r="R499" i="1"/>
  <c r="Q499" i="1"/>
  <c r="P499" i="1"/>
  <c r="O499" i="1"/>
  <c r="N499" i="1"/>
  <c r="BB498" i="1"/>
  <c r="BA498" i="1"/>
  <c r="AZ498" i="1"/>
  <c r="AY498" i="1"/>
  <c r="AX498" i="1"/>
  <c r="AW498" i="1"/>
  <c r="S498" i="1"/>
  <c r="R498" i="1"/>
  <c r="Q498" i="1"/>
  <c r="P498" i="1"/>
  <c r="O498" i="1"/>
  <c r="N498" i="1"/>
  <c r="BB497" i="1"/>
  <c r="BA497" i="1"/>
  <c r="AZ497" i="1"/>
  <c r="AY497" i="1"/>
  <c r="AX497" i="1"/>
  <c r="AW497" i="1"/>
  <c r="S497" i="1"/>
  <c r="R497" i="1"/>
  <c r="Q497" i="1"/>
  <c r="P497" i="1"/>
  <c r="O497" i="1"/>
  <c r="N497" i="1"/>
  <c r="BB496" i="1"/>
  <c r="BA496" i="1"/>
  <c r="AZ496" i="1"/>
  <c r="AY496" i="1"/>
  <c r="AX496" i="1"/>
  <c r="AW496" i="1"/>
  <c r="S496" i="1"/>
  <c r="R496" i="1"/>
  <c r="Q496" i="1"/>
  <c r="P496" i="1"/>
  <c r="O496" i="1"/>
  <c r="N496" i="1"/>
  <c r="BB495" i="1"/>
  <c r="BA495" i="1"/>
  <c r="AZ495" i="1"/>
  <c r="AY495" i="1"/>
  <c r="AX495" i="1"/>
  <c r="AW495" i="1"/>
  <c r="S495" i="1"/>
  <c r="R495" i="1"/>
  <c r="Q495" i="1"/>
  <c r="P495" i="1"/>
  <c r="O495" i="1"/>
  <c r="N495" i="1"/>
  <c r="BB494" i="1"/>
  <c r="BA494" i="1"/>
  <c r="AZ494" i="1"/>
  <c r="AY494" i="1"/>
  <c r="AX494" i="1"/>
  <c r="AW494" i="1"/>
  <c r="S494" i="1"/>
  <c r="R494" i="1"/>
  <c r="Q494" i="1"/>
  <c r="P494" i="1"/>
  <c r="O494" i="1"/>
  <c r="N494" i="1"/>
  <c r="BB493" i="1"/>
  <c r="BA493" i="1"/>
  <c r="AZ493" i="1"/>
  <c r="AY493" i="1"/>
  <c r="AX493" i="1"/>
  <c r="AW493" i="1"/>
  <c r="S493" i="1"/>
  <c r="R493" i="1"/>
  <c r="Q493" i="1"/>
  <c r="P493" i="1"/>
  <c r="O493" i="1"/>
  <c r="N493" i="1"/>
  <c r="BB492" i="1"/>
  <c r="BA492" i="1"/>
  <c r="AZ492" i="1"/>
  <c r="AY492" i="1"/>
  <c r="AX492" i="1"/>
  <c r="AW492" i="1"/>
  <c r="S492" i="1"/>
  <c r="R492" i="1"/>
  <c r="Q492" i="1"/>
  <c r="P492" i="1"/>
  <c r="O492" i="1"/>
  <c r="N492" i="1"/>
  <c r="BB491" i="1"/>
  <c r="BA491" i="1"/>
  <c r="AZ491" i="1"/>
  <c r="AY491" i="1"/>
  <c r="AX491" i="1"/>
  <c r="AW491" i="1"/>
  <c r="S491" i="1"/>
  <c r="R491" i="1"/>
  <c r="Q491" i="1"/>
  <c r="P491" i="1"/>
  <c r="O491" i="1"/>
  <c r="N491" i="1"/>
  <c r="BB490" i="1"/>
  <c r="BA490" i="1"/>
  <c r="AZ490" i="1"/>
  <c r="AY490" i="1"/>
  <c r="AX490" i="1"/>
  <c r="AW490" i="1"/>
  <c r="S490" i="1"/>
  <c r="R490" i="1"/>
  <c r="Q490" i="1"/>
  <c r="P490" i="1"/>
  <c r="O490" i="1"/>
  <c r="N490" i="1"/>
  <c r="BB489" i="1"/>
  <c r="BA489" i="1"/>
  <c r="AZ489" i="1"/>
  <c r="AY489" i="1"/>
  <c r="AX489" i="1"/>
  <c r="AW489" i="1"/>
  <c r="S489" i="1"/>
  <c r="R489" i="1"/>
  <c r="Q489" i="1"/>
  <c r="P489" i="1"/>
  <c r="O489" i="1"/>
  <c r="N489" i="1"/>
  <c r="BB488" i="1"/>
  <c r="BA488" i="1"/>
  <c r="AZ488" i="1"/>
  <c r="AY488" i="1"/>
  <c r="AX488" i="1"/>
  <c r="AW488" i="1"/>
  <c r="S488" i="1"/>
  <c r="R488" i="1"/>
  <c r="Q488" i="1"/>
  <c r="P488" i="1"/>
  <c r="O488" i="1"/>
  <c r="N488" i="1"/>
  <c r="BB487" i="1"/>
  <c r="BA487" i="1"/>
  <c r="AZ487" i="1"/>
  <c r="AY487" i="1"/>
  <c r="AX487" i="1"/>
  <c r="AW487" i="1"/>
  <c r="S487" i="1"/>
  <c r="R487" i="1"/>
  <c r="Q487" i="1"/>
  <c r="P487" i="1"/>
  <c r="O487" i="1"/>
  <c r="N487" i="1"/>
  <c r="BB486" i="1"/>
  <c r="BA486" i="1"/>
  <c r="AZ486" i="1"/>
  <c r="AY486" i="1"/>
  <c r="AX486" i="1"/>
  <c r="AW486" i="1"/>
  <c r="S486" i="1"/>
  <c r="R486" i="1"/>
  <c r="Q486" i="1"/>
  <c r="P486" i="1"/>
  <c r="O486" i="1"/>
  <c r="N486" i="1"/>
  <c r="BB485" i="1"/>
  <c r="BA485" i="1"/>
  <c r="AZ485" i="1"/>
  <c r="AY485" i="1"/>
  <c r="AX485" i="1"/>
  <c r="AW485" i="1"/>
  <c r="S485" i="1"/>
  <c r="R485" i="1"/>
  <c r="Q485" i="1"/>
  <c r="P485" i="1"/>
  <c r="O485" i="1"/>
  <c r="N485" i="1"/>
  <c r="BB484" i="1"/>
  <c r="BA484" i="1"/>
  <c r="AZ484" i="1"/>
  <c r="AY484" i="1"/>
  <c r="AX484" i="1"/>
  <c r="AW484" i="1"/>
  <c r="S484" i="1"/>
  <c r="R484" i="1"/>
  <c r="Q484" i="1"/>
  <c r="P484" i="1"/>
  <c r="O484" i="1"/>
  <c r="N484" i="1"/>
  <c r="BB483" i="1"/>
  <c r="BA483" i="1"/>
  <c r="AZ483" i="1"/>
  <c r="AY483" i="1"/>
  <c r="AX483" i="1"/>
  <c r="AW483" i="1"/>
  <c r="S483" i="1"/>
  <c r="R483" i="1"/>
  <c r="Q483" i="1"/>
  <c r="P483" i="1"/>
  <c r="O483" i="1"/>
  <c r="N483" i="1"/>
  <c r="BB482" i="1"/>
  <c r="BA482" i="1"/>
  <c r="AZ482" i="1"/>
  <c r="AY482" i="1"/>
  <c r="AX482" i="1"/>
  <c r="AW482" i="1"/>
  <c r="S482" i="1"/>
  <c r="R482" i="1"/>
  <c r="Q482" i="1"/>
  <c r="P482" i="1"/>
  <c r="O482" i="1"/>
  <c r="N482" i="1"/>
  <c r="BB481" i="1"/>
  <c r="BA481" i="1"/>
  <c r="AZ481" i="1"/>
  <c r="AY481" i="1"/>
  <c r="AX481" i="1"/>
  <c r="AW481" i="1"/>
  <c r="S481" i="1"/>
  <c r="R481" i="1"/>
  <c r="Q481" i="1"/>
  <c r="P481" i="1"/>
  <c r="O481" i="1"/>
  <c r="N481" i="1"/>
  <c r="BB480" i="1"/>
  <c r="BA480" i="1"/>
  <c r="AZ480" i="1"/>
  <c r="AY480" i="1"/>
  <c r="AX480" i="1"/>
  <c r="AW480" i="1"/>
  <c r="S480" i="1"/>
  <c r="R480" i="1"/>
  <c r="Q480" i="1"/>
  <c r="P480" i="1"/>
  <c r="O480" i="1"/>
  <c r="N480" i="1"/>
  <c r="BB479" i="1"/>
  <c r="BA479" i="1"/>
  <c r="AZ479" i="1"/>
  <c r="AY479" i="1"/>
  <c r="AX479" i="1"/>
  <c r="AW479" i="1"/>
  <c r="S479" i="1"/>
  <c r="R479" i="1"/>
  <c r="Q479" i="1"/>
  <c r="P479" i="1"/>
  <c r="O479" i="1"/>
  <c r="N479" i="1"/>
  <c r="BB478" i="1"/>
  <c r="BA478" i="1"/>
  <c r="AZ478" i="1"/>
  <c r="AY478" i="1"/>
  <c r="AX478" i="1"/>
  <c r="AW478" i="1"/>
  <c r="S478" i="1"/>
  <c r="R478" i="1"/>
  <c r="Q478" i="1"/>
  <c r="P478" i="1"/>
  <c r="O478" i="1"/>
  <c r="N478" i="1"/>
  <c r="BB477" i="1"/>
  <c r="BA477" i="1"/>
  <c r="AZ477" i="1"/>
  <c r="AY477" i="1"/>
  <c r="AX477" i="1"/>
  <c r="AW477" i="1"/>
  <c r="S477" i="1"/>
  <c r="R477" i="1"/>
  <c r="Q477" i="1"/>
  <c r="P477" i="1"/>
  <c r="O477" i="1"/>
  <c r="N477" i="1"/>
  <c r="BB476" i="1"/>
  <c r="BA476" i="1"/>
  <c r="AZ476" i="1"/>
  <c r="AY476" i="1"/>
  <c r="AX476" i="1"/>
  <c r="AW476" i="1"/>
  <c r="S476" i="1"/>
  <c r="R476" i="1"/>
  <c r="Q476" i="1"/>
  <c r="P476" i="1"/>
  <c r="O476" i="1"/>
  <c r="N476" i="1"/>
  <c r="BB475" i="1"/>
  <c r="BA475" i="1"/>
  <c r="AZ475" i="1"/>
  <c r="AY475" i="1"/>
  <c r="AX475" i="1"/>
  <c r="AW475" i="1"/>
  <c r="S475" i="1"/>
  <c r="R475" i="1"/>
  <c r="Q475" i="1"/>
  <c r="P475" i="1"/>
  <c r="O475" i="1"/>
  <c r="N475" i="1"/>
  <c r="BB474" i="1"/>
  <c r="BA474" i="1"/>
  <c r="AZ474" i="1"/>
  <c r="AY474" i="1"/>
  <c r="AX474" i="1"/>
  <c r="AW474" i="1"/>
  <c r="S474" i="1"/>
  <c r="R474" i="1"/>
  <c r="Q474" i="1"/>
  <c r="P474" i="1"/>
  <c r="O474" i="1"/>
  <c r="N474" i="1"/>
  <c r="BB473" i="1"/>
  <c r="BA473" i="1"/>
  <c r="AZ473" i="1"/>
  <c r="AY473" i="1"/>
  <c r="AX473" i="1"/>
  <c r="AW473" i="1"/>
  <c r="S473" i="1"/>
  <c r="R473" i="1"/>
  <c r="Q473" i="1"/>
  <c r="P473" i="1"/>
  <c r="O473" i="1"/>
  <c r="N473" i="1"/>
  <c r="BB472" i="1"/>
  <c r="BA472" i="1"/>
  <c r="AZ472" i="1"/>
  <c r="AY472" i="1"/>
  <c r="AX472" i="1"/>
  <c r="AW472" i="1"/>
  <c r="S472" i="1"/>
  <c r="R472" i="1"/>
  <c r="Q472" i="1"/>
  <c r="P472" i="1"/>
  <c r="O472" i="1"/>
  <c r="N472" i="1"/>
  <c r="BB471" i="1"/>
  <c r="BA471" i="1"/>
  <c r="AZ471" i="1"/>
  <c r="AY471" i="1"/>
  <c r="AX471" i="1"/>
  <c r="AW471" i="1"/>
  <c r="S471" i="1"/>
  <c r="R471" i="1"/>
  <c r="Q471" i="1"/>
  <c r="P471" i="1"/>
  <c r="O471" i="1"/>
  <c r="N471" i="1"/>
  <c r="BB470" i="1"/>
  <c r="BA470" i="1"/>
  <c r="AZ470" i="1"/>
  <c r="AY470" i="1"/>
  <c r="AX470" i="1"/>
  <c r="AW470" i="1"/>
  <c r="S470" i="1"/>
  <c r="R470" i="1"/>
  <c r="Q470" i="1"/>
  <c r="P470" i="1"/>
  <c r="O470" i="1"/>
  <c r="N470" i="1"/>
  <c r="BB469" i="1"/>
  <c r="BA469" i="1"/>
  <c r="AZ469" i="1"/>
  <c r="AY469" i="1"/>
  <c r="AX469" i="1"/>
  <c r="AW469" i="1"/>
  <c r="S469" i="1"/>
  <c r="R469" i="1"/>
  <c r="Q469" i="1"/>
  <c r="P469" i="1"/>
  <c r="O469" i="1"/>
  <c r="N469" i="1"/>
  <c r="BB468" i="1"/>
  <c r="BA468" i="1"/>
  <c r="AZ468" i="1"/>
  <c r="AY468" i="1"/>
  <c r="AX468" i="1"/>
  <c r="AW468" i="1"/>
  <c r="S468" i="1"/>
  <c r="R468" i="1"/>
  <c r="Q468" i="1"/>
  <c r="P468" i="1"/>
  <c r="O468" i="1"/>
  <c r="N468" i="1"/>
  <c r="BB467" i="1"/>
  <c r="BA467" i="1"/>
  <c r="AZ467" i="1"/>
  <c r="AY467" i="1"/>
  <c r="AX467" i="1"/>
  <c r="AW467" i="1"/>
  <c r="S467" i="1"/>
  <c r="R467" i="1"/>
  <c r="Q467" i="1"/>
  <c r="P467" i="1"/>
  <c r="O467" i="1"/>
  <c r="N467" i="1"/>
  <c r="BB466" i="1"/>
  <c r="BA466" i="1"/>
  <c r="AZ466" i="1"/>
  <c r="AY466" i="1"/>
  <c r="AX466" i="1"/>
  <c r="AW466" i="1"/>
  <c r="S466" i="1"/>
  <c r="R466" i="1"/>
  <c r="Q466" i="1"/>
  <c r="P466" i="1"/>
  <c r="O466" i="1"/>
  <c r="N466" i="1"/>
  <c r="BB465" i="1"/>
  <c r="BA465" i="1"/>
  <c r="AZ465" i="1"/>
  <c r="AY465" i="1"/>
  <c r="AX465" i="1"/>
  <c r="AW465" i="1"/>
  <c r="S465" i="1"/>
  <c r="R465" i="1"/>
  <c r="Q465" i="1"/>
  <c r="P465" i="1"/>
  <c r="O465" i="1"/>
  <c r="N465" i="1"/>
  <c r="BB464" i="1"/>
  <c r="BA464" i="1"/>
  <c r="AZ464" i="1"/>
  <c r="AY464" i="1"/>
  <c r="AX464" i="1"/>
  <c r="AW464" i="1"/>
  <c r="S464" i="1"/>
  <c r="R464" i="1"/>
  <c r="Q464" i="1"/>
  <c r="P464" i="1"/>
  <c r="O464" i="1"/>
  <c r="N464" i="1"/>
  <c r="BB463" i="1"/>
  <c r="BA463" i="1"/>
  <c r="AZ463" i="1"/>
  <c r="AY463" i="1"/>
  <c r="AX463" i="1"/>
  <c r="AW463" i="1"/>
  <c r="S463" i="1"/>
  <c r="R463" i="1"/>
  <c r="Q463" i="1"/>
  <c r="P463" i="1"/>
  <c r="O463" i="1"/>
  <c r="N463" i="1"/>
  <c r="BB462" i="1"/>
  <c r="BA462" i="1"/>
  <c r="AZ462" i="1"/>
  <c r="AY462" i="1"/>
  <c r="AX462" i="1"/>
  <c r="AW462" i="1"/>
  <c r="S462" i="1"/>
  <c r="R462" i="1"/>
  <c r="Q462" i="1"/>
  <c r="P462" i="1"/>
  <c r="O462" i="1"/>
  <c r="N462" i="1"/>
  <c r="BB461" i="1"/>
  <c r="BA461" i="1"/>
  <c r="AZ461" i="1"/>
  <c r="AY461" i="1"/>
  <c r="AX461" i="1"/>
  <c r="AW461" i="1"/>
  <c r="S461" i="1"/>
  <c r="R461" i="1"/>
  <c r="Q461" i="1"/>
  <c r="P461" i="1"/>
  <c r="O461" i="1"/>
  <c r="N461" i="1"/>
  <c r="BB460" i="1"/>
  <c r="BA460" i="1"/>
  <c r="AZ460" i="1"/>
  <c r="AY460" i="1"/>
  <c r="AX460" i="1"/>
  <c r="AW460" i="1"/>
  <c r="S460" i="1"/>
  <c r="R460" i="1"/>
  <c r="Q460" i="1"/>
  <c r="P460" i="1"/>
  <c r="O460" i="1"/>
  <c r="N460" i="1"/>
  <c r="BB459" i="1"/>
  <c r="BA459" i="1"/>
  <c r="AZ459" i="1"/>
  <c r="AY459" i="1"/>
  <c r="AX459" i="1"/>
  <c r="AW459" i="1"/>
  <c r="S459" i="1"/>
  <c r="R459" i="1"/>
  <c r="Q459" i="1"/>
  <c r="P459" i="1"/>
  <c r="O459" i="1"/>
  <c r="N459" i="1"/>
  <c r="BB458" i="1"/>
  <c r="BA458" i="1"/>
  <c r="AZ458" i="1"/>
  <c r="AY458" i="1"/>
  <c r="AX458" i="1"/>
  <c r="AW458" i="1"/>
  <c r="S458" i="1"/>
  <c r="R458" i="1"/>
  <c r="Q458" i="1"/>
  <c r="P458" i="1"/>
  <c r="O458" i="1"/>
  <c r="N458" i="1"/>
  <c r="BB457" i="1"/>
  <c r="BA457" i="1"/>
  <c r="AZ457" i="1"/>
  <c r="AY457" i="1"/>
  <c r="AX457" i="1"/>
  <c r="AW457" i="1"/>
  <c r="S457" i="1"/>
  <c r="R457" i="1"/>
  <c r="Q457" i="1"/>
  <c r="P457" i="1"/>
  <c r="O457" i="1"/>
  <c r="N457" i="1"/>
  <c r="BB456" i="1"/>
  <c r="BA456" i="1"/>
  <c r="AZ456" i="1"/>
  <c r="AY456" i="1"/>
  <c r="AX456" i="1"/>
  <c r="AW456" i="1"/>
  <c r="S456" i="1"/>
  <c r="R456" i="1"/>
  <c r="Q456" i="1"/>
  <c r="P456" i="1"/>
  <c r="O456" i="1"/>
  <c r="N456" i="1"/>
  <c r="BB455" i="1"/>
  <c r="BA455" i="1"/>
  <c r="AZ455" i="1"/>
  <c r="AY455" i="1"/>
  <c r="AX455" i="1"/>
  <c r="AW455" i="1"/>
  <c r="S455" i="1"/>
  <c r="R455" i="1"/>
  <c r="Q455" i="1"/>
  <c r="P455" i="1"/>
  <c r="O455" i="1"/>
  <c r="N455" i="1"/>
  <c r="BB454" i="1"/>
  <c r="BA454" i="1"/>
  <c r="AZ454" i="1"/>
  <c r="AY454" i="1"/>
  <c r="AX454" i="1"/>
  <c r="AW454" i="1"/>
  <c r="S454" i="1"/>
  <c r="R454" i="1"/>
  <c r="Q454" i="1"/>
  <c r="P454" i="1"/>
  <c r="O454" i="1"/>
  <c r="N454" i="1"/>
  <c r="BB453" i="1"/>
  <c r="BA453" i="1"/>
  <c r="AZ453" i="1"/>
  <c r="AY453" i="1"/>
  <c r="AX453" i="1"/>
  <c r="AW453" i="1"/>
  <c r="S453" i="1"/>
  <c r="R453" i="1"/>
  <c r="Q453" i="1"/>
  <c r="P453" i="1"/>
  <c r="O453" i="1"/>
  <c r="N453" i="1"/>
  <c r="BB452" i="1"/>
  <c r="BA452" i="1"/>
  <c r="AZ452" i="1"/>
  <c r="AY452" i="1"/>
  <c r="AX452" i="1"/>
  <c r="AW452" i="1"/>
  <c r="S452" i="1"/>
  <c r="R452" i="1"/>
  <c r="Q452" i="1"/>
  <c r="P452" i="1"/>
  <c r="O452" i="1"/>
  <c r="N452" i="1"/>
  <c r="BB451" i="1"/>
  <c r="BA451" i="1"/>
  <c r="AZ451" i="1"/>
  <c r="AY451" i="1"/>
  <c r="AX451" i="1"/>
  <c r="AW451" i="1"/>
  <c r="S451" i="1"/>
  <c r="R451" i="1"/>
  <c r="Q451" i="1"/>
  <c r="P451" i="1"/>
  <c r="O451" i="1"/>
  <c r="N451" i="1"/>
  <c r="BB450" i="1"/>
  <c r="BA450" i="1"/>
  <c r="AZ450" i="1"/>
  <c r="AY450" i="1"/>
  <c r="AX450" i="1"/>
  <c r="AW450" i="1"/>
  <c r="S450" i="1"/>
  <c r="R450" i="1"/>
  <c r="Q450" i="1"/>
  <c r="P450" i="1"/>
  <c r="O450" i="1"/>
  <c r="N450" i="1"/>
  <c r="BB449" i="1"/>
  <c r="BA449" i="1"/>
  <c r="AZ449" i="1"/>
  <c r="AY449" i="1"/>
  <c r="AX449" i="1"/>
  <c r="AW449" i="1"/>
  <c r="S449" i="1"/>
  <c r="R449" i="1"/>
  <c r="Q449" i="1"/>
  <c r="P449" i="1"/>
  <c r="O449" i="1"/>
  <c r="N449" i="1"/>
  <c r="BB448" i="1"/>
  <c r="BA448" i="1"/>
  <c r="AZ448" i="1"/>
  <c r="AY448" i="1"/>
  <c r="AX448" i="1"/>
  <c r="AW448" i="1"/>
  <c r="S448" i="1"/>
  <c r="R448" i="1"/>
  <c r="Q448" i="1"/>
  <c r="P448" i="1"/>
  <c r="O448" i="1"/>
  <c r="N448" i="1"/>
  <c r="BB447" i="1"/>
  <c r="BA447" i="1"/>
  <c r="AZ447" i="1"/>
  <c r="AY447" i="1"/>
  <c r="AX447" i="1"/>
  <c r="AW447" i="1"/>
  <c r="S447" i="1"/>
  <c r="R447" i="1"/>
  <c r="Q447" i="1"/>
  <c r="P447" i="1"/>
  <c r="O447" i="1"/>
  <c r="N447" i="1"/>
  <c r="BB446" i="1"/>
  <c r="BA446" i="1"/>
  <c r="AZ446" i="1"/>
  <c r="AY446" i="1"/>
  <c r="AX446" i="1"/>
  <c r="AW446" i="1"/>
  <c r="S446" i="1"/>
  <c r="R446" i="1"/>
  <c r="Q446" i="1"/>
  <c r="P446" i="1"/>
  <c r="O446" i="1"/>
  <c r="N446" i="1"/>
  <c r="BB445" i="1"/>
  <c r="BA445" i="1"/>
  <c r="AZ445" i="1"/>
  <c r="AY445" i="1"/>
  <c r="AX445" i="1"/>
  <c r="AW445" i="1"/>
  <c r="S445" i="1"/>
  <c r="R445" i="1"/>
  <c r="Q445" i="1"/>
  <c r="P445" i="1"/>
  <c r="O445" i="1"/>
  <c r="N445" i="1"/>
  <c r="BB444" i="1"/>
  <c r="BA444" i="1"/>
  <c r="AZ444" i="1"/>
  <c r="AY444" i="1"/>
  <c r="AX444" i="1"/>
  <c r="AW444" i="1"/>
  <c r="S444" i="1"/>
  <c r="R444" i="1"/>
  <c r="Q444" i="1"/>
  <c r="P444" i="1"/>
  <c r="O444" i="1"/>
  <c r="N444" i="1"/>
  <c r="BB443" i="1"/>
  <c r="BA443" i="1"/>
  <c r="AZ443" i="1"/>
  <c r="AY443" i="1"/>
  <c r="AX443" i="1"/>
  <c r="AW443" i="1"/>
  <c r="S443" i="1"/>
  <c r="R443" i="1"/>
  <c r="Q443" i="1"/>
  <c r="P443" i="1"/>
  <c r="O443" i="1"/>
  <c r="N443" i="1"/>
  <c r="BB442" i="1"/>
  <c r="BA442" i="1"/>
  <c r="AZ442" i="1"/>
  <c r="AY442" i="1"/>
  <c r="AX442" i="1"/>
  <c r="AW442" i="1"/>
  <c r="S442" i="1"/>
  <c r="R442" i="1"/>
  <c r="Q442" i="1"/>
  <c r="P442" i="1"/>
  <c r="O442" i="1"/>
  <c r="N442" i="1"/>
  <c r="BB441" i="1"/>
  <c r="BA441" i="1"/>
  <c r="AZ441" i="1"/>
  <c r="AY441" i="1"/>
  <c r="AX441" i="1"/>
  <c r="AW441" i="1"/>
  <c r="S441" i="1"/>
  <c r="R441" i="1"/>
  <c r="Q441" i="1"/>
  <c r="P441" i="1"/>
  <c r="O441" i="1"/>
  <c r="N441" i="1"/>
  <c r="BB440" i="1"/>
  <c r="BA440" i="1"/>
  <c r="AZ440" i="1"/>
  <c r="AY440" i="1"/>
  <c r="AX440" i="1"/>
  <c r="AW440" i="1"/>
  <c r="S440" i="1"/>
  <c r="R440" i="1"/>
  <c r="Q440" i="1"/>
  <c r="P440" i="1"/>
  <c r="O440" i="1"/>
  <c r="N440" i="1"/>
  <c r="BB439" i="1"/>
  <c r="BA439" i="1"/>
  <c r="AZ439" i="1"/>
  <c r="AY439" i="1"/>
  <c r="AX439" i="1"/>
  <c r="AW439" i="1"/>
  <c r="S439" i="1"/>
  <c r="R439" i="1"/>
  <c r="Q439" i="1"/>
  <c r="P439" i="1"/>
  <c r="O439" i="1"/>
  <c r="N439" i="1"/>
  <c r="BB438" i="1"/>
  <c r="BA438" i="1"/>
  <c r="AZ438" i="1"/>
  <c r="AY438" i="1"/>
  <c r="AX438" i="1"/>
  <c r="AW438" i="1"/>
  <c r="S438" i="1"/>
  <c r="R438" i="1"/>
  <c r="Q438" i="1"/>
  <c r="P438" i="1"/>
  <c r="O438" i="1"/>
  <c r="N438" i="1"/>
  <c r="BB437" i="1"/>
  <c r="BA437" i="1"/>
  <c r="AZ437" i="1"/>
  <c r="AY437" i="1"/>
  <c r="AX437" i="1"/>
  <c r="AW437" i="1"/>
  <c r="S437" i="1"/>
  <c r="R437" i="1"/>
  <c r="Q437" i="1"/>
  <c r="P437" i="1"/>
  <c r="O437" i="1"/>
  <c r="N437" i="1"/>
  <c r="BB436" i="1"/>
  <c r="BA436" i="1"/>
  <c r="AZ436" i="1"/>
  <c r="AY436" i="1"/>
  <c r="AX436" i="1"/>
  <c r="AW436" i="1"/>
  <c r="S436" i="1"/>
  <c r="R436" i="1"/>
  <c r="Q436" i="1"/>
  <c r="P436" i="1"/>
  <c r="O436" i="1"/>
  <c r="N436" i="1"/>
  <c r="BB435" i="1"/>
  <c r="BA435" i="1"/>
  <c r="AZ435" i="1"/>
  <c r="AY435" i="1"/>
  <c r="AX435" i="1"/>
  <c r="AW435" i="1"/>
  <c r="S435" i="1"/>
  <c r="R435" i="1"/>
  <c r="Q435" i="1"/>
  <c r="P435" i="1"/>
  <c r="O435" i="1"/>
  <c r="N435" i="1"/>
  <c r="BB434" i="1"/>
  <c r="BA434" i="1"/>
  <c r="AZ434" i="1"/>
  <c r="AY434" i="1"/>
  <c r="AX434" i="1"/>
  <c r="AW434" i="1"/>
  <c r="S434" i="1"/>
  <c r="R434" i="1"/>
  <c r="Q434" i="1"/>
  <c r="P434" i="1"/>
  <c r="O434" i="1"/>
  <c r="N434" i="1"/>
  <c r="BB433" i="1"/>
  <c r="BA433" i="1"/>
  <c r="AZ433" i="1"/>
  <c r="AY433" i="1"/>
  <c r="AX433" i="1"/>
  <c r="AW433" i="1"/>
  <c r="S433" i="1"/>
  <c r="R433" i="1"/>
  <c r="Q433" i="1"/>
  <c r="P433" i="1"/>
  <c r="O433" i="1"/>
  <c r="N433" i="1"/>
  <c r="BB432" i="1"/>
  <c r="BA432" i="1"/>
  <c r="AZ432" i="1"/>
  <c r="AY432" i="1"/>
  <c r="AX432" i="1"/>
  <c r="AW432" i="1"/>
  <c r="S432" i="1"/>
  <c r="R432" i="1"/>
  <c r="Q432" i="1"/>
  <c r="P432" i="1"/>
  <c r="O432" i="1"/>
  <c r="N432" i="1"/>
  <c r="BB431" i="1"/>
  <c r="BA431" i="1"/>
  <c r="AZ431" i="1"/>
  <c r="AY431" i="1"/>
  <c r="AX431" i="1"/>
  <c r="AW431" i="1"/>
  <c r="S431" i="1"/>
  <c r="R431" i="1"/>
  <c r="Q431" i="1"/>
  <c r="P431" i="1"/>
  <c r="O431" i="1"/>
  <c r="N431" i="1"/>
  <c r="BB430" i="1"/>
  <c r="BA430" i="1"/>
  <c r="AZ430" i="1"/>
  <c r="AY430" i="1"/>
  <c r="AX430" i="1"/>
  <c r="AW430" i="1"/>
  <c r="S430" i="1"/>
  <c r="R430" i="1"/>
  <c r="Q430" i="1"/>
  <c r="P430" i="1"/>
  <c r="O430" i="1"/>
  <c r="N430" i="1"/>
  <c r="BB429" i="1"/>
  <c r="BA429" i="1"/>
  <c r="AZ429" i="1"/>
  <c r="AY429" i="1"/>
  <c r="AX429" i="1"/>
  <c r="AW429" i="1"/>
  <c r="S429" i="1"/>
  <c r="R429" i="1"/>
  <c r="Q429" i="1"/>
  <c r="P429" i="1"/>
  <c r="O429" i="1"/>
  <c r="N429" i="1"/>
  <c r="BB428" i="1"/>
  <c r="BA428" i="1"/>
  <c r="AZ428" i="1"/>
  <c r="AY428" i="1"/>
  <c r="AX428" i="1"/>
  <c r="AW428" i="1"/>
  <c r="S428" i="1"/>
  <c r="R428" i="1"/>
  <c r="Q428" i="1"/>
  <c r="P428" i="1"/>
  <c r="O428" i="1"/>
  <c r="N428" i="1"/>
  <c r="BB427" i="1"/>
  <c r="BA427" i="1"/>
  <c r="AZ427" i="1"/>
  <c r="AY427" i="1"/>
  <c r="AX427" i="1"/>
  <c r="AW427" i="1"/>
  <c r="S427" i="1"/>
  <c r="R427" i="1"/>
  <c r="Q427" i="1"/>
  <c r="P427" i="1"/>
  <c r="O427" i="1"/>
  <c r="N427" i="1"/>
  <c r="BB426" i="1"/>
  <c r="BA426" i="1"/>
  <c r="AZ426" i="1"/>
  <c r="AY426" i="1"/>
  <c r="AX426" i="1"/>
  <c r="AW426" i="1"/>
  <c r="S426" i="1"/>
  <c r="R426" i="1"/>
  <c r="Q426" i="1"/>
  <c r="P426" i="1"/>
  <c r="O426" i="1"/>
  <c r="N426" i="1"/>
  <c r="BB425" i="1"/>
  <c r="BA425" i="1"/>
  <c r="AZ425" i="1"/>
  <c r="AY425" i="1"/>
  <c r="AX425" i="1"/>
  <c r="AW425" i="1"/>
  <c r="S425" i="1"/>
  <c r="R425" i="1"/>
  <c r="Q425" i="1"/>
  <c r="P425" i="1"/>
  <c r="O425" i="1"/>
  <c r="N425" i="1"/>
  <c r="BB424" i="1"/>
  <c r="BA424" i="1"/>
  <c r="AZ424" i="1"/>
  <c r="AY424" i="1"/>
  <c r="AX424" i="1"/>
  <c r="AW424" i="1"/>
  <c r="S424" i="1"/>
  <c r="R424" i="1"/>
  <c r="Q424" i="1"/>
  <c r="P424" i="1"/>
  <c r="O424" i="1"/>
  <c r="N424" i="1"/>
  <c r="BB423" i="1"/>
  <c r="BA423" i="1"/>
  <c r="AZ423" i="1"/>
  <c r="AY423" i="1"/>
  <c r="AX423" i="1"/>
  <c r="AW423" i="1"/>
  <c r="S423" i="1"/>
  <c r="R423" i="1"/>
  <c r="Q423" i="1"/>
  <c r="P423" i="1"/>
  <c r="O423" i="1"/>
  <c r="N423" i="1"/>
  <c r="BB422" i="1"/>
  <c r="BA422" i="1"/>
  <c r="AZ422" i="1"/>
  <c r="AY422" i="1"/>
  <c r="AX422" i="1"/>
  <c r="AW422" i="1"/>
  <c r="S422" i="1"/>
  <c r="R422" i="1"/>
  <c r="Q422" i="1"/>
  <c r="P422" i="1"/>
  <c r="O422" i="1"/>
  <c r="N422" i="1"/>
  <c r="BB421" i="1"/>
  <c r="BA421" i="1"/>
  <c r="AZ421" i="1"/>
  <c r="AY421" i="1"/>
  <c r="AX421" i="1"/>
  <c r="AW421" i="1"/>
  <c r="S421" i="1"/>
  <c r="R421" i="1"/>
  <c r="Q421" i="1"/>
  <c r="P421" i="1"/>
  <c r="O421" i="1"/>
  <c r="N421" i="1"/>
  <c r="BB420" i="1"/>
  <c r="BA420" i="1"/>
  <c r="AZ420" i="1"/>
  <c r="AY420" i="1"/>
  <c r="AX420" i="1"/>
  <c r="AW420" i="1"/>
  <c r="S420" i="1"/>
  <c r="R420" i="1"/>
  <c r="Q420" i="1"/>
  <c r="P420" i="1"/>
  <c r="O420" i="1"/>
  <c r="N420" i="1"/>
  <c r="BB419" i="1"/>
  <c r="BA419" i="1"/>
  <c r="AZ419" i="1"/>
  <c r="AY419" i="1"/>
  <c r="AX419" i="1"/>
  <c r="AW419" i="1"/>
  <c r="S419" i="1"/>
  <c r="R419" i="1"/>
  <c r="Q419" i="1"/>
  <c r="P419" i="1"/>
  <c r="O419" i="1"/>
  <c r="N419" i="1"/>
  <c r="BB418" i="1"/>
  <c r="BA418" i="1"/>
  <c r="AZ418" i="1"/>
  <c r="AY418" i="1"/>
  <c r="AX418" i="1"/>
  <c r="AW418" i="1"/>
  <c r="S418" i="1"/>
  <c r="R418" i="1"/>
  <c r="Q418" i="1"/>
  <c r="P418" i="1"/>
  <c r="O418" i="1"/>
  <c r="N418" i="1"/>
  <c r="BB417" i="1"/>
  <c r="BA417" i="1"/>
  <c r="AZ417" i="1"/>
  <c r="AY417" i="1"/>
  <c r="AX417" i="1"/>
  <c r="AW417" i="1"/>
  <c r="S417" i="1"/>
  <c r="R417" i="1"/>
  <c r="Q417" i="1"/>
  <c r="P417" i="1"/>
  <c r="O417" i="1"/>
  <c r="N417" i="1"/>
  <c r="BB416" i="1"/>
  <c r="BA416" i="1"/>
  <c r="AZ416" i="1"/>
  <c r="AY416" i="1"/>
  <c r="AX416" i="1"/>
  <c r="AW416" i="1"/>
  <c r="S416" i="1"/>
  <c r="R416" i="1"/>
  <c r="Q416" i="1"/>
  <c r="P416" i="1"/>
  <c r="O416" i="1"/>
  <c r="N416" i="1"/>
  <c r="BB415" i="1"/>
  <c r="BA415" i="1"/>
  <c r="AZ415" i="1"/>
  <c r="AY415" i="1"/>
  <c r="AX415" i="1"/>
  <c r="AW415" i="1"/>
  <c r="S415" i="1"/>
  <c r="R415" i="1"/>
  <c r="Q415" i="1"/>
  <c r="P415" i="1"/>
  <c r="O415" i="1"/>
  <c r="N415" i="1"/>
  <c r="BB414" i="1"/>
  <c r="BA414" i="1"/>
  <c r="AZ414" i="1"/>
  <c r="AY414" i="1"/>
  <c r="AX414" i="1"/>
  <c r="AW414" i="1"/>
  <c r="S414" i="1"/>
  <c r="R414" i="1"/>
  <c r="Q414" i="1"/>
  <c r="P414" i="1"/>
  <c r="O414" i="1"/>
  <c r="N414" i="1"/>
  <c r="BB413" i="1"/>
  <c r="BA413" i="1"/>
  <c r="AZ413" i="1"/>
  <c r="AY413" i="1"/>
  <c r="AX413" i="1"/>
  <c r="AW413" i="1"/>
  <c r="S413" i="1"/>
  <c r="R413" i="1"/>
  <c r="Q413" i="1"/>
  <c r="P413" i="1"/>
  <c r="O413" i="1"/>
  <c r="N413" i="1"/>
  <c r="BB412" i="1"/>
  <c r="BA412" i="1"/>
  <c r="AZ412" i="1"/>
  <c r="AY412" i="1"/>
  <c r="AX412" i="1"/>
  <c r="AW412" i="1"/>
  <c r="S412" i="1"/>
  <c r="R412" i="1"/>
  <c r="Q412" i="1"/>
  <c r="P412" i="1"/>
  <c r="O412" i="1"/>
  <c r="N412" i="1"/>
  <c r="BB411" i="1"/>
  <c r="BA411" i="1"/>
  <c r="AZ411" i="1"/>
  <c r="AY411" i="1"/>
  <c r="AX411" i="1"/>
  <c r="AW411" i="1"/>
  <c r="S411" i="1"/>
  <c r="R411" i="1"/>
  <c r="Q411" i="1"/>
  <c r="P411" i="1"/>
  <c r="O411" i="1"/>
  <c r="N411" i="1"/>
  <c r="BB410" i="1"/>
  <c r="BA410" i="1"/>
  <c r="AZ410" i="1"/>
  <c r="AY410" i="1"/>
  <c r="AX410" i="1"/>
  <c r="AW410" i="1"/>
  <c r="S410" i="1"/>
  <c r="R410" i="1"/>
  <c r="Q410" i="1"/>
  <c r="P410" i="1"/>
  <c r="O410" i="1"/>
  <c r="N410" i="1"/>
  <c r="BB409" i="1"/>
  <c r="BA409" i="1"/>
  <c r="AZ409" i="1"/>
  <c r="AY409" i="1"/>
  <c r="AX409" i="1"/>
  <c r="AW409" i="1"/>
  <c r="S409" i="1"/>
  <c r="R409" i="1"/>
  <c r="Q409" i="1"/>
  <c r="P409" i="1"/>
  <c r="O409" i="1"/>
  <c r="N409" i="1"/>
  <c r="BB408" i="1"/>
  <c r="BA408" i="1"/>
  <c r="AZ408" i="1"/>
  <c r="AY408" i="1"/>
  <c r="AX408" i="1"/>
  <c r="AW408" i="1"/>
  <c r="S408" i="1"/>
  <c r="R408" i="1"/>
  <c r="Q408" i="1"/>
  <c r="P408" i="1"/>
  <c r="O408" i="1"/>
  <c r="N408" i="1"/>
  <c r="BB407" i="1"/>
  <c r="BA407" i="1"/>
  <c r="AZ407" i="1"/>
  <c r="AY407" i="1"/>
  <c r="AX407" i="1"/>
  <c r="AW407" i="1"/>
  <c r="S407" i="1"/>
  <c r="R407" i="1"/>
  <c r="Q407" i="1"/>
  <c r="P407" i="1"/>
  <c r="O407" i="1"/>
  <c r="N407" i="1"/>
  <c r="BB406" i="1"/>
  <c r="BA406" i="1"/>
  <c r="AZ406" i="1"/>
  <c r="AY406" i="1"/>
  <c r="AX406" i="1"/>
  <c r="AW406" i="1"/>
  <c r="S406" i="1"/>
  <c r="R406" i="1"/>
  <c r="Q406" i="1"/>
  <c r="P406" i="1"/>
  <c r="O406" i="1"/>
  <c r="N406" i="1"/>
  <c r="BB405" i="1"/>
  <c r="BA405" i="1"/>
  <c r="AZ405" i="1"/>
  <c r="AY405" i="1"/>
  <c r="AX405" i="1"/>
  <c r="AW405" i="1"/>
  <c r="S405" i="1"/>
  <c r="R405" i="1"/>
  <c r="Q405" i="1"/>
  <c r="P405" i="1"/>
  <c r="O405" i="1"/>
  <c r="N405" i="1"/>
  <c r="BB404" i="1"/>
  <c r="BA404" i="1"/>
  <c r="AZ404" i="1"/>
  <c r="AY404" i="1"/>
  <c r="AX404" i="1"/>
  <c r="AW404" i="1"/>
  <c r="S404" i="1"/>
  <c r="R404" i="1"/>
  <c r="Q404" i="1"/>
  <c r="P404" i="1"/>
  <c r="O404" i="1"/>
  <c r="N404" i="1"/>
  <c r="BB403" i="1"/>
  <c r="BA403" i="1"/>
  <c r="AZ403" i="1"/>
  <c r="AY403" i="1"/>
  <c r="AX403" i="1"/>
  <c r="AW403" i="1"/>
  <c r="S403" i="1"/>
  <c r="R403" i="1"/>
  <c r="Q403" i="1"/>
  <c r="P403" i="1"/>
  <c r="O403" i="1"/>
  <c r="N403" i="1"/>
  <c r="BB402" i="1"/>
  <c r="BA402" i="1"/>
  <c r="AZ402" i="1"/>
  <c r="AY402" i="1"/>
  <c r="AX402" i="1"/>
  <c r="AW402" i="1"/>
  <c r="S402" i="1"/>
  <c r="R402" i="1"/>
  <c r="Q402" i="1"/>
  <c r="P402" i="1"/>
  <c r="O402" i="1"/>
  <c r="N402" i="1"/>
  <c r="BB401" i="1"/>
  <c r="BA401" i="1"/>
  <c r="AZ401" i="1"/>
  <c r="AY401" i="1"/>
  <c r="AX401" i="1"/>
  <c r="AW401" i="1"/>
  <c r="S401" i="1"/>
  <c r="R401" i="1"/>
  <c r="Q401" i="1"/>
  <c r="P401" i="1"/>
  <c r="O401" i="1"/>
  <c r="N401" i="1"/>
  <c r="BB400" i="1"/>
  <c r="BA400" i="1"/>
  <c r="AZ400" i="1"/>
  <c r="AY400" i="1"/>
  <c r="AX400" i="1"/>
  <c r="AW400" i="1"/>
  <c r="S400" i="1"/>
  <c r="R400" i="1"/>
  <c r="Q400" i="1"/>
  <c r="P400" i="1"/>
  <c r="O400" i="1"/>
  <c r="N400" i="1"/>
  <c r="BB399" i="1"/>
  <c r="BA399" i="1"/>
  <c r="AZ399" i="1"/>
  <c r="AY399" i="1"/>
  <c r="AX399" i="1"/>
  <c r="AW399" i="1"/>
  <c r="S399" i="1"/>
  <c r="R399" i="1"/>
  <c r="Q399" i="1"/>
  <c r="P399" i="1"/>
  <c r="O399" i="1"/>
  <c r="N399" i="1"/>
  <c r="BB398" i="1"/>
  <c r="BA398" i="1"/>
  <c r="AZ398" i="1"/>
  <c r="AY398" i="1"/>
  <c r="AX398" i="1"/>
  <c r="AW398" i="1"/>
  <c r="S398" i="1"/>
  <c r="R398" i="1"/>
  <c r="Q398" i="1"/>
  <c r="P398" i="1"/>
  <c r="O398" i="1"/>
  <c r="N398" i="1"/>
  <c r="BB397" i="1"/>
  <c r="BA397" i="1"/>
  <c r="AZ397" i="1"/>
  <c r="AY397" i="1"/>
  <c r="AX397" i="1"/>
  <c r="AW397" i="1"/>
  <c r="S397" i="1"/>
  <c r="R397" i="1"/>
  <c r="Q397" i="1"/>
  <c r="P397" i="1"/>
  <c r="O397" i="1"/>
  <c r="N397" i="1"/>
  <c r="BB396" i="1"/>
  <c r="BA396" i="1"/>
  <c r="AZ396" i="1"/>
  <c r="AY396" i="1"/>
  <c r="AX396" i="1"/>
  <c r="AW396" i="1"/>
  <c r="S396" i="1"/>
  <c r="R396" i="1"/>
  <c r="Q396" i="1"/>
  <c r="P396" i="1"/>
  <c r="O396" i="1"/>
  <c r="N396" i="1"/>
  <c r="BB395" i="1"/>
  <c r="BA395" i="1"/>
  <c r="AZ395" i="1"/>
  <c r="AY395" i="1"/>
  <c r="AX395" i="1"/>
  <c r="AW395" i="1"/>
  <c r="S395" i="1"/>
  <c r="R395" i="1"/>
  <c r="Q395" i="1"/>
  <c r="P395" i="1"/>
  <c r="O395" i="1"/>
  <c r="N395" i="1"/>
  <c r="BB394" i="1"/>
  <c r="BA394" i="1"/>
  <c r="AZ394" i="1"/>
  <c r="AY394" i="1"/>
  <c r="AX394" i="1"/>
  <c r="AW394" i="1"/>
  <c r="S394" i="1"/>
  <c r="R394" i="1"/>
  <c r="Q394" i="1"/>
  <c r="P394" i="1"/>
  <c r="O394" i="1"/>
  <c r="N394" i="1"/>
  <c r="BB393" i="1"/>
  <c r="BA393" i="1"/>
  <c r="AZ393" i="1"/>
  <c r="AY393" i="1"/>
  <c r="AX393" i="1"/>
  <c r="AW393" i="1"/>
  <c r="S393" i="1"/>
  <c r="R393" i="1"/>
  <c r="Q393" i="1"/>
  <c r="P393" i="1"/>
  <c r="O393" i="1"/>
  <c r="N393" i="1"/>
  <c r="BB392" i="1"/>
  <c r="BA392" i="1"/>
  <c r="AZ392" i="1"/>
  <c r="AY392" i="1"/>
  <c r="AX392" i="1"/>
  <c r="AW392" i="1"/>
  <c r="S392" i="1"/>
  <c r="R392" i="1"/>
  <c r="Q392" i="1"/>
  <c r="P392" i="1"/>
  <c r="O392" i="1"/>
  <c r="N392" i="1"/>
  <c r="BB391" i="1"/>
  <c r="BA391" i="1"/>
  <c r="AZ391" i="1"/>
  <c r="AY391" i="1"/>
  <c r="AX391" i="1"/>
  <c r="AW391" i="1"/>
  <c r="S391" i="1"/>
  <c r="R391" i="1"/>
  <c r="Q391" i="1"/>
  <c r="P391" i="1"/>
  <c r="O391" i="1"/>
  <c r="N391" i="1"/>
  <c r="BB390" i="1"/>
  <c r="BA390" i="1"/>
  <c r="AZ390" i="1"/>
  <c r="AY390" i="1"/>
  <c r="AX390" i="1"/>
  <c r="AW390" i="1"/>
  <c r="S390" i="1"/>
  <c r="R390" i="1"/>
  <c r="Q390" i="1"/>
  <c r="P390" i="1"/>
  <c r="O390" i="1"/>
  <c r="N390" i="1"/>
  <c r="BB389" i="1"/>
  <c r="BA389" i="1"/>
  <c r="AZ389" i="1"/>
  <c r="AY389" i="1"/>
  <c r="AX389" i="1"/>
  <c r="AW389" i="1"/>
  <c r="S389" i="1"/>
  <c r="R389" i="1"/>
  <c r="Q389" i="1"/>
  <c r="P389" i="1"/>
  <c r="O389" i="1"/>
  <c r="N389" i="1"/>
  <c r="BB388" i="1"/>
  <c r="BA388" i="1"/>
  <c r="AZ388" i="1"/>
  <c r="AY388" i="1"/>
  <c r="AX388" i="1"/>
  <c r="AW388" i="1"/>
  <c r="S388" i="1"/>
  <c r="R388" i="1"/>
  <c r="Q388" i="1"/>
  <c r="P388" i="1"/>
  <c r="O388" i="1"/>
  <c r="N388" i="1"/>
  <c r="BB387" i="1"/>
  <c r="BA387" i="1"/>
  <c r="AZ387" i="1"/>
  <c r="AY387" i="1"/>
  <c r="AX387" i="1"/>
  <c r="AW387" i="1"/>
  <c r="S387" i="1"/>
  <c r="R387" i="1"/>
  <c r="Q387" i="1"/>
  <c r="P387" i="1"/>
  <c r="O387" i="1"/>
  <c r="N387" i="1"/>
  <c r="BB386" i="1"/>
  <c r="BA386" i="1"/>
  <c r="AZ386" i="1"/>
  <c r="AY386" i="1"/>
  <c r="AX386" i="1"/>
  <c r="AW386" i="1"/>
  <c r="S386" i="1"/>
  <c r="R386" i="1"/>
  <c r="Q386" i="1"/>
  <c r="P386" i="1"/>
  <c r="O386" i="1"/>
  <c r="N386" i="1"/>
  <c r="BB385" i="1"/>
  <c r="BA385" i="1"/>
  <c r="AZ385" i="1"/>
  <c r="AY385" i="1"/>
  <c r="AX385" i="1"/>
  <c r="AW385" i="1"/>
  <c r="S385" i="1"/>
  <c r="R385" i="1"/>
  <c r="Q385" i="1"/>
  <c r="P385" i="1"/>
  <c r="O385" i="1"/>
  <c r="N385" i="1"/>
  <c r="BB384" i="1"/>
  <c r="BA384" i="1"/>
  <c r="AZ384" i="1"/>
  <c r="AY384" i="1"/>
  <c r="AX384" i="1"/>
  <c r="AW384" i="1"/>
  <c r="S384" i="1"/>
  <c r="R384" i="1"/>
  <c r="Q384" i="1"/>
  <c r="P384" i="1"/>
  <c r="O384" i="1"/>
  <c r="N384" i="1"/>
  <c r="BB383" i="1"/>
  <c r="BA383" i="1"/>
  <c r="AZ383" i="1"/>
  <c r="AY383" i="1"/>
  <c r="AX383" i="1"/>
  <c r="AW383" i="1"/>
  <c r="S383" i="1"/>
  <c r="R383" i="1"/>
  <c r="Q383" i="1"/>
  <c r="P383" i="1"/>
  <c r="O383" i="1"/>
  <c r="N383" i="1"/>
  <c r="BB382" i="1"/>
  <c r="BA382" i="1"/>
  <c r="AZ382" i="1"/>
  <c r="AY382" i="1"/>
  <c r="AX382" i="1"/>
  <c r="AW382" i="1"/>
  <c r="S382" i="1"/>
  <c r="R382" i="1"/>
  <c r="Q382" i="1"/>
  <c r="P382" i="1"/>
  <c r="O382" i="1"/>
  <c r="N382" i="1"/>
  <c r="BB381" i="1"/>
  <c r="BA381" i="1"/>
  <c r="AZ381" i="1"/>
  <c r="AY381" i="1"/>
  <c r="AX381" i="1"/>
  <c r="AW381" i="1"/>
  <c r="S381" i="1"/>
  <c r="R381" i="1"/>
  <c r="Q381" i="1"/>
  <c r="P381" i="1"/>
  <c r="O381" i="1"/>
  <c r="N381" i="1"/>
  <c r="BB380" i="1"/>
  <c r="BA380" i="1"/>
  <c r="AZ380" i="1"/>
  <c r="AY380" i="1"/>
  <c r="AX380" i="1"/>
  <c r="AW380" i="1"/>
  <c r="S380" i="1"/>
  <c r="R380" i="1"/>
  <c r="Q380" i="1"/>
  <c r="P380" i="1"/>
  <c r="O380" i="1"/>
  <c r="N380" i="1"/>
  <c r="BB379" i="1"/>
  <c r="BA379" i="1"/>
  <c r="AZ379" i="1"/>
  <c r="AY379" i="1"/>
  <c r="AX379" i="1"/>
  <c r="AW379" i="1"/>
  <c r="S379" i="1"/>
  <c r="R379" i="1"/>
  <c r="Q379" i="1"/>
  <c r="P379" i="1"/>
  <c r="O379" i="1"/>
  <c r="N379" i="1"/>
  <c r="BB378" i="1"/>
  <c r="BA378" i="1"/>
  <c r="AZ378" i="1"/>
  <c r="AY378" i="1"/>
  <c r="AX378" i="1"/>
  <c r="AW378" i="1"/>
  <c r="S378" i="1"/>
  <c r="R378" i="1"/>
  <c r="Q378" i="1"/>
  <c r="P378" i="1"/>
  <c r="O378" i="1"/>
  <c r="N378" i="1"/>
  <c r="BB377" i="1"/>
  <c r="BA377" i="1"/>
  <c r="AZ377" i="1"/>
  <c r="AY377" i="1"/>
  <c r="AX377" i="1"/>
  <c r="AW377" i="1"/>
  <c r="S377" i="1"/>
  <c r="R377" i="1"/>
  <c r="Q377" i="1"/>
  <c r="P377" i="1"/>
  <c r="O377" i="1"/>
  <c r="N377" i="1"/>
  <c r="BB376" i="1"/>
  <c r="BA376" i="1"/>
  <c r="AZ376" i="1"/>
  <c r="AY376" i="1"/>
  <c r="AX376" i="1"/>
  <c r="AW376" i="1"/>
  <c r="S376" i="1"/>
  <c r="R376" i="1"/>
  <c r="Q376" i="1"/>
  <c r="P376" i="1"/>
  <c r="O376" i="1"/>
  <c r="N376" i="1"/>
  <c r="BB375" i="1"/>
  <c r="BA375" i="1"/>
  <c r="AZ375" i="1"/>
  <c r="AY375" i="1"/>
  <c r="AX375" i="1"/>
  <c r="AW375" i="1"/>
  <c r="S375" i="1"/>
  <c r="R375" i="1"/>
  <c r="Q375" i="1"/>
  <c r="P375" i="1"/>
  <c r="O375" i="1"/>
  <c r="N375" i="1"/>
  <c r="BB374" i="1"/>
  <c r="BA374" i="1"/>
  <c r="AZ374" i="1"/>
  <c r="AY374" i="1"/>
  <c r="AX374" i="1"/>
  <c r="AW374" i="1"/>
  <c r="S374" i="1"/>
  <c r="R374" i="1"/>
  <c r="Q374" i="1"/>
  <c r="P374" i="1"/>
  <c r="O374" i="1"/>
  <c r="N374" i="1"/>
  <c r="BB373" i="1"/>
  <c r="BA373" i="1"/>
  <c r="AZ373" i="1"/>
  <c r="AY373" i="1"/>
  <c r="AX373" i="1"/>
  <c r="AW373" i="1"/>
  <c r="S373" i="1"/>
  <c r="R373" i="1"/>
  <c r="Q373" i="1"/>
  <c r="P373" i="1"/>
  <c r="O373" i="1"/>
  <c r="N373" i="1"/>
  <c r="BB372" i="1"/>
  <c r="BA372" i="1"/>
  <c r="AZ372" i="1"/>
  <c r="AY372" i="1"/>
  <c r="AX372" i="1"/>
  <c r="AW372" i="1"/>
  <c r="S372" i="1"/>
  <c r="R372" i="1"/>
  <c r="Q372" i="1"/>
  <c r="P372" i="1"/>
  <c r="O372" i="1"/>
  <c r="N372" i="1"/>
  <c r="BB371" i="1"/>
  <c r="BA371" i="1"/>
  <c r="AZ371" i="1"/>
  <c r="AY371" i="1"/>
  <c r="AX371" i="1"/>
  <c r="AW371" i="1"/>
  <c r="S371" i="1"/>
  <c r="R371" i="1"/>
  <c r="Q371" i="1"/>
  <c r="P371" i="1"/>
  <c r="O371" i="1"/>
  <c r="N371" i="1"/>
  <c r="BB370" i="1"/>
  <c r="BA370" i="1"/>
  <c r="AZ370" i="1"/>
  <c r="AY370" i="1"/>
  <c r="AX370" i="1"/>
  <c r="AW370" i="1"/>
  <c r="S370" i="1"/>
  <c r="R370" i="1"/>
  <c r="Q370" i="1"/>
  <c r="P370" i="1"/>
  <c r="O370" i="1"/>
  <c r="N370" i="1"/>
  <c r="BB369" i="1"/>
  <c r="BA369" i="1"/>
  <c r="AZ369" i="1"/>
  <c r="AY369" i="1"/>
  <c r="AX369" i="1"/>
  <c r="AW369" i="1"/>
  <c r="S369" i="1"/>
  <c r="R369" i="1"/>
  <c r="Q369" i="1"/>
  <c r="P369" i="1"/>
  <c r="O369" i="1"/>
  <c r="N369" i="1"/>
  <c r="BB368" i="1"/>
  <c r="BA368" i="1"/>
  <c r="AZ368" i="1"/>
  <c r="AY368" i="1"/>
  <c r="AX368" i="1"/>
  <c r="AW368" i="1"/>
  <c r="S368" i="1"/>
  <c r="R368" i="1"/>
  <c r="Q368" i="1"/>
  <c r="P368" i="1"/>
  <c r="O368" i="1"/>
  <c r="N368" i="1"/>
  <c r="BB367" i="1"/>
  <c r="BA367" i="1"/>
  <c r="AZ367" i="1"/>
  <c r="AY367" i="1"/>
  <c r="AX367" i="1"/>
  <c r="AW367" i="1"/>
  <c r="S367" i="1"/>
  <c r="R367" i="1"/>
  <c r="Q367" i="1"/>
  <c r="P367" i="1"/>
  <c r="O367" i="1"/>
  <c r="N367" i="1"/>
  <c r="BB366" i="1"/>
  <c r="BA366" i="1"/>
  <c r="AZ366" i="1"/>
  <c r="AY366" i="1"/>
  <c r="AX366" i="1"/>
  <c r="AW366" i="1"/>
  <c r="S366" i="1"/>
  <c r="R366" i="1"/>
  <c r="Q366" i="1"/>
  <c r="P366" i="1"/>
  <c r="O366" i="1"/>
  <c r="N366" i="1"/>
  <c r="BB365" i="1"/>
  <c r="BA365" i="1"/>
  <c r="AZ365" i="1"/>
  <c r="AY365" i="1"/>
  <c r="AX365" i="1"/>
  <c r="AW365" i="1"/>
  <c r="S365" i="1"/>
  <c r="R365" i="1"/>
  <c r="Q365" i="1"/>
  <c r="P365" i="1"/>
  <c r="O365" i="1"/>
  <c r="N365" i="1"/>
  <c r="BB364" i="1"/>
  <c r="BA364" i="1"/>
  <c r="AZ364" i="1"/>
  <c r="AY364" i="1"/>
  <c r="AX364" i="1"/>
  <c r="AW364" i="1"/>
  <c r="S364" i="1"/>
  <c r="R364" i="1"/>
  <c r="Q364" i="1"/>
  <c r="P364" i="1"/>
  <c r="O364" i="1"/>
  <c r="N364" i="1"/>
  <c r="BB363" i="1"/>
  <c r="BA363" i="1"/>
  <c r="AZ363" i="1"/>
  <c r="AY363" i="1"/>
  <c r="AX363" i="1"/>
  <c r="AW363" i="1"/>
  <c r="S363" i="1"/>
  <c r="R363" i="1"/>
  <c r="Q363" i="1"/>
  <c r="P363" i="1"/>
  <c r="O363" i="1"/>
  <c r="N363" i="1"/>
  <c r="BB362" i="1"/>
  <c r="BA362" i="1"/>
  <c r="AZ362" i="1"/>
  <c r="AY362" i="1"/>
  <c r="AX362" i="1"/>
  <c r="AW362" i="1"/>
  <c r="S362" i="1"/>
  <c r="R362" i="1"/>
  <c r="Q362" i="1"/>
  <c r="P362" i="1"/>
  <c r="O362" i="1"/>
  <c r="N362" i="1"/>
  <c r="BB361" i="1"/>
  <c r="BA361" i="1"/>
  <c r="AZ361" i="1"/>
  <c r="AY361" i="1"/>
  <c r="AX361" i="1"/>
  <c r="AW361" i="1"/>
  <c r="S361" i="1"/>
  <c r="R361" i="1"/>
  <c r="Q361" i="1"/>
  <c r="P361" i="1"/>
  <c r="O361" i="1"/>
  <c r="N361" i="1"/>
  <c r="BB360" i="1"/>
  <c r="BA360" i="1"/>
  <c r="AZ360" i="1"/>
  <c r="AY360" i="1"/>
  <c r="AX360" i="1"/>
  <c r="AW360" i="1"/>
  <c r="S360" i="1"/>
  <c r="R360" i="1"/>
  <c r="Q360" i="1"/>
  <c r="P360" i="1"/>
  <c r="O360" i="1"/>
  <c r="N360" i="1"/>
  <c r="BB359" i="1"/>
  <c r="BA359" i="1"/>
  <c r="AZ359" i="1"/>
  <c r="AY359" i="1"/>
  <c r="AX359" i="1"/>
  <c r="AW359" i="1"/>
  <c r="S359" i="1"/>
  <c r="R359" i="1"/>
  <c r="Q359" i="1"/>
  <c r="P359" i="1"/>
  <c r="O359" i="1"/>
  <c r="N359" i="1"/>
  <c r="BB358" i="1"/>
  <c r="BA358" i="1"/>
  <c r="AZ358" i="1"/>
  <c r="AY358" i="1"/>
  <c r="AX358" i="1"/>
  <c r="AW358" i="1"/>
  <c r="S358" i="1"/>
  <c r="R358" i="1"/>
  <c r="Q358" i="1"/>
  <c r="P358" i="1"/>
  <c r="O358" i="1"/>
  <c r="N358" i="1"/>
  <c r="BB357" i="1"/>
  <c r="BA357" i="1"/>
  <c r="AZ357" i="1"/>
  <c r="AY357" i="1"/>
  <c r="AX357" i="1"/>
  <c r="AW357" i="1"/>
  <c r="S357" i="1"/>
  <c r="R357" i="1"/>
  <c r="Q357" i="1"/>
  <c r="P357" i="1"/>
  <c r="O357" i="1"/>
  <c r="N357" i="1"/>
  <c r="BB356" i="1"/>
  <c r="BA356" i="1"/>
  <c r="AZ356" i="1"/>
  <c r="AY356" i="1"/>
  <c r="AX356" i="1"/>
  <c r="AW356" i="1"/>
  <c r="S356" i="1"/>
  <c r="R356" i="1"/>
  <c r="Q356" i="1"/>
  <c r="P356" i="1"/>
  <c r="O356" i="1"/>
  <c r="N356" i="1"/>
  <c r="BB355" i="1"/>
  <c r="BA355" i="1"/>
  <c r="AZ355" i="1"/>
  <c r="AY355" i="1"/>
  <c r="AX355" i="1"/>
  <c r="AW355" i="1"/>
  <c r="S355" i="1"/>
  <c r="R355" i="1"/>
  <c r="Q355" i="1"/>
  <c r="P355" i="1"/>
  <c r="O355" i="1"/>
  <c r="N355" i="1"/>
  <c r="BB354" i="1"/>
  <c r="BA354" i="1"/>
  <c r="AZ354" i="1"/>
  <c r="AY354" i="1"/>
  <c r="AX354" i="1"/>
  <c r="AW354" i="1"/>
  <c r="S354" i="1"/>
  <c r="R354" i="1"/>
  <c r="Q354" i="1"/>
  <c r="P354" i="1"/>
  <c r="O354" i="1"/>
  <c r="N354" i="1"/>
  <c r="BB353" i="1"/>
  <c r="BA353" i="1"/>
  <c r="AZ353" i="1"/>
  <c r="AY353" i="1"/>
  <c r="AX353" i="1"/>
  <c r="AW353" i="1"/>
  <c r="S353" i="1"/>
  <c r="R353" i="1"/>
  <c r="Q353" i="1"/>
  <c r="P353" i="1"/>
  <c r="O353" i="1"/>
  <c r="N353" i="1"/>
  <c r="BB352" i="1"/>
  <c r="BA352" i="1"/>
  <c r="AZ352" i="1"/>
  <c r="AY352" i="1"/>
  <c r="AX352" i="1"/>
  <c r="AW352" i="1"/>
  <c r="S352" i="1"/>
  <c r="R352" i="1"/>
  <c r="Q352" i="1"/>
  <c r="P352" i="1"/>
  <c r="O352" i="1"/>
  <c r="N352" i="1"/>
  <c r="BB351" i="1"/>
  <c r="BA351" i="1"/>
  <c r="AZ351" i="1"/>
  <c r="AY351" i="1"/>
  <c r="AX351" i="1"/>
  <c r="AW351" i="1"/>
  <c r="S351" i="1"/>
  <c r="R351" i="1"/>
  <c r="Q351" i="1"/>
  <c r="P351" i="1"/>
  <c r="O351" i="1"/>
  <c r="N351" i="1"/>
  <c r="BB350" i="1"/>
  <c r="BA350" i="1"/>
  <c r="AZ350" i="1"/>
  <c r="AY350" i="1"/>
  <c r="AX350" i="1"/>
  <c r="AW350" i="1"/>
  <c r="S350" i="1"/>
  <c r="R350" i="1"/>
  <c r="Q350" i="1"/>
  <c r="P350" i="1"/>
  <c r="O350" i="1"/>
  <c r="N350" i="1"/>
  <c r="BB349" i="1"/>
  <c r="BA349" i="1"/>
  <c r="AZ349" i="1"/>
  <c r="AY349" i="1"/>
  <c r="AX349" i="1"/>
  <c r="AW349" i="1"/>
  <c r="S349" i="1"/>
  <c r="R349" i="1"/>
  <c r="Q349" i="1"/>
  <c r="P349" i="1"/>
  <c r="O349" i="1"/>
  <c r="N349" i="1"/>
  <c r="BB348" i="1"/>
  <c r="BA348" i="1"/>
  <c r="AZ348" i="1"/>
  <c r="AY348" i="1"/>
  <c r="AX348" i="1"/>
  <c r="AW348" i="1"/>
  <c r="S348" i="1"/>
  <c r="R348" i="1"/>
  <c r="Q348" i="1"/>
  <c r="P348" i="1"/>
  <c r="O348" i="1"/>
  <c r="N348" i="1"/>
  <c r="BB347" i="1"/>
  <c r="BA347" i="1"/>
  <c r="AZ347" i="1"/>
  <c r="AY347" i="1"/>
  <c r="AX347" i="1"/>
  <c r="AW347" i="1"/>
  <c r="S347" i="1"/>
  <c r="R347" i="1"/>
  <c r="Q347" i="1"/>
  <c r="P347" i="1"/>
  <c r="O347" i="1"/>
  <c r="N347" i="1"/>
  <c r="BB346" i="1"/>
  <c r="BA346" i="1"/>
  <c r="AZ346" i="1"/>
  <c r="AY346" i="1"/>
  <c r="AX346" i="1"/>
  <c r="AW346" i="1"/>
  <c r="S346" i="1"/>
  <c r="R346" i="1"/>
  <c r="Q346" i="1"/>
  <c r="P346" i="1"/>
  <c r="O346" i="1"/>
  <c r="N346" i="1"/>
  <c r="BB345" i="1"/>
  <c r="BA345" i="1"/>
  <c r="AZ345" i="1"/>
  <c r="AY345" i="1"/>
  <c r="AX345" i="1"/>
  <c r="AW345" i="1"/>
  <c r="S345" i="1"/>
  <c r="R345" i="1"/>
  <c r="Q345" i="1"/>
  <c r="P345" i="1"/>
  <c r="O345" i="1"/>
  <c r="N345" i="1"/>
  <c r="BB344" i="1"/>
  <c r="BA344" i="1"/>
  <c r="AZ344" i="1"/>
  <c r="AY344" i="1"/>
  <c r="AX344" i="1"/>
  <c r="AW344" i="1"/>
  <c r="S344" i="1"/>
  <c r="R344" i="1"/>
  <c r="Q344" i="1"/>
  <c r="P344" i="1"/>
  <c r="O344" i="1"/>
  <c r="N344" i="1"/>
  <c r="BB343" i="1"/>
  <c r="BA343" i="1"/>
  <c r="AZ343" i="1"/>
  <c r="AY343" i="1"/>
  <c r="AX343" i="1"/>
  <c r="AW343" i="1"/>
  <c r="S343" i="1"/>
  <c r="R343" i="1"/>
  <c r="Q343" i="1"/>
  <c r="P343" i="1"/>
  <c r="O343" i="1"/>
  <c r="N343" i="1"/>
  <c r="BB342" i="1"/>
  <c r="BA342" i="1"/>
  <c r="AZ342" i="1"/>
  <c r="AY342" i="1"/>
  <c r="AX342" i="1"/>
  <c r="AW342" i="1"/>
  <c r="S342" i="1"/>
  <c r="R342" i="1"/>
  <c r="Q342" i="1"/>
  <c r="P342" i="1"/>
  <c r="O342" i="1"/>
  <c r="N342" i="1"/>
  <c r="BB341" i="1"/>
  <c r="BA341" i="1"/>
  <c r="AZ341" i="1"/>
  <c r="AY341" i="1"/>
  <c r="AX341" i="1"/>
  <c r="AW341" i="1"/>
  <c r="S341" i="1"/>
  <c r="R341" i="1"/>
  <c r="Q341" i="1"/>
  <c r="P341" i="1"/>
  <c r="O341" i="1"/>
  <c r="N341" i="1"/>
  <c r="BB340" i="1"/>
  <c r="BA340" i="1"/>
  <c r="AZ340" i="1"/>
  <c r="AY340" i="1"/>
  <c r="AX340" i="1"/>
  <c r="AW340" i="1"/>
  <c r="S340" i="1"/>
  <c r="R340" i="1"/>
  <c r="Q340" i="1"/>
  <c r="P340" i="1"/>
  <c r="O340" i="1"/>
  <c r="N340" i="1"/>
  <c r="BB339" i="1"/>
  <c r="BA339" i="1"/>
  <c r="AZ339" i="1"/>
  <c r="AY339" i="1"/>
  <c r="AX339" i="1"/>
  <c r="AW339" i="1"/>
  <c r="S339" i="1"/>
  <c r="R339" i="1"/>
  <c r="Q339" i="1"/>
  <c r="P339" i="1"/>
  <c r="O339" i="1"/>
  <c r="N339" i="1"/>
  <c r="BB338" i="1"/>
  <c r="BA338" i="1"/>
  <c r="AZ338" i="1"/>
  <c r="AY338" i="1"/>
  <c r="AX338" i="1"/>
  <c r="AW338" i="1"/>
  <c r="S338" i="1"/>
  <c r="R338" i="1"/>
  <c r="Q338" i="1"/>
  <c r="P338" i="1"/>
  <c r="O338" i="1"/>
  <c r="N338" i="1"/>
  <c r="BB337" i="1"/>
  <c r="BA337" i="1"/>
  <c r="AZ337" i="1"/>
  <c r="AY337" i="1"/>
  <c r="AX337" i="1"/>
  <c r="AW337" i="1"/>
  <c r="S337" i="1"/>
  <c r="R337" i="1"/>
  <c r="Q337" i="1"/>
  <c r="P337" i="1"/>
  <c r="O337" i="1"/>
  <c r="N337" i="1"/>
  <c r="BB336" i="1"/>
  <c r="BA336" i="1"/>
  <c r="AZ336" i="1"/>
  <c r="AY336" i="1"/>
  <c r="AX336" i="1"/>
  <c r="AW336" i="1"/>
  <c r="S336" i="1"/>
  <c r="R336" i="1"/>
  <c r="Q336" i="1"/>
  <c r="P336" i="1"/>
  <c r="O336" i="1"/>
  <c r="N336" i="1"/>
  <c r="BB335" i="1"/>
  <c r="BA335" i="1"/>
  <c r="AZ335" i="1"/>
  <c r="AY335" i="1"/>
  <c r="AX335" i="1"/>
  <c r="AW335" i="1"/>
  <c r="S335" i="1"/>
  <c r="R335" i="1"/>
  <c r="Q335" i="1"/>
  <c r="P335" i="1"/>
  <c r="O335" i="1"/>
  <c r="N335" i="1"/>
  <c r="BB334" i="1"/>
  <c r="BA334" i="1"/>
  <c r="AZ334" i="1"/>
  <c r="AY334" i="1"/>
  <c r="AX334" i="1"/>
  <c r="AW334" i="1"/>
  <c r="S334" i="1"/>
  <c r="R334" i="1"/>
  <c r="Q334" i="1"/>
  <c r="P334" i="1"/>
  <c r="O334" i="1"/>
  <c r="N334" i="1"/>
  <c r="BB333" i="1"/>
  <c r="BA333" i="1"/>
  <c r="AZ333" i="1"/>
  <c r="AY333" i="1"/>
  <c r="AX333" i="1"/>
  <c r="AW333" i="1"/>
  <c r="S333" i="1"/>
  <c r="R333" i="1"/>
  <c r="Q333" i="1"/>
  <c r="P333" i="1"/>
  <c r="O333" i="1"/>
  <c r="N333" i="1"/>
  <c r="BB332" i="1"/>
  <c r="BA332" i="1"/>
  <c r="AZ332" i="1"/>
  <c r="AY332" i="1"/>
  <c r="AX332" i="1"/>
  <c r="AW332" i="1"/>
  <c r="S332" i="1"/>
  <c r="R332" i="1"/>
  <c r="Q332" i="1"/>
  <c r="P332" i="1"/>
  <c r="O332" i="1"/>
  <c r="N332" i="1"/>
  <c r="BB331" i="1"/>
  <c r="BA331" i="1"/>
  <c r="AZ331" i="1"/>
  <c r="AY331" i="1"/>
  <c r="AX331" i="1"/>
  <c r="AW331" i="1"/>
  <c r="S331" i="1"/>
  <c r="R331" i="1"/>
  <c r="Q331" i="1"/>
  <c r="P331" i="1"/>
  <c r="O331" i="1"/>
  <c r="N331" i="1"/>
  <c r="BB330" i="1"/>
  <c r="BA330" i="1"/>
  <c r="AZ330" i="1"/>
  <c r="AY330" i="1"/>
  <c r="AX330" i="1"/>
  <c r="AW330" i="1"/>
  <c r="S330" i="1"/>
  <c r="R330" i="1"/>
  <c r="Q330" i="1"/>
  <c r="P330" i="1"/>
  <c r="O330" i="1"/>
  <c r="N330" i="1"/>
  <c r="BB329" i="1"/>
  <c r="BA329" i="1"/>
  <c r="AZ329" i="1"/>
  <c r="AY329" i="1"/>
  <c r="AX329" i="1"/>
  <c r="AW329" i="1"/>
  <c r="S329" i="1"/>
  <c r="R329" i="1"/>
  <c r="Q329" i="1"/>
  <c r="P329" i="1"/>
  <c r="O329" i="1"/>
  <c r="N329" i="1"/>
  <c r="BB328" i="1"/>
  <c r="BA328" i="1"/>
  <c r="AZ328" i="1"/>
  <c r="AY328" i="1"/>
  <c r="AX328" i="1"/>
  <c r="AW328" i="1"/>
  <c r="S328" i="1"/>
  <c r="R328" i="1"/>
  <c r="Q328" i="1"/>
  <c r="P328" i="1"/>
  <c r="O328" i="1"/>
  <c r="N328" i="1"/>
  <c r="BB327" i="1"/>
  <c r="BA327" i="1"/>
  <c r="AZ327" i="1"/>
  <c r="AY327" i="1"/>
  <c r="AX327" i="1"/>
  <c r="AW327" i="1"/>
  <c r="S327" i="1"/>
  <c r="R327" i="1"/>
  <c r="Q327" i="1"/>
  <c r="P327" i="1"/>
  <c r="O327" i="1"/>
  <c r="N327" i="1"/>
  <c r="BB326" i="1"/>
  <c r="BA326" i="1"/>
  <c r="AZ326" i="1"/>
  <c r="AY326" i="1"/>
  <c r="AX326" i="1"/>
  <c r="AW326" i="1"/>
  <c r="S326" i="1"/>
  <c r="R326" i="1"/>
  <c r="Q326" i="1"/>
  <c r="P326" i="1"/>
  <c r="O326" i="1"/>
  <c r="N326" i="1"/>
  <c r="BB325" i="1"/>
  <c r="BA325" i="1"/>
  <c r="AZ325" i="1"/>
  <c r="AY325" i="1"/>
  <c r="AX325" i="1"/>
  <c r="AW325" i="1"/>
  <c r="S325" i="1"/>
  <c r="R325" i="1"/>
  <c r="Q325" i="1"/>
  <c r="P325" i="1"/>
  <c r="O325" i="1"/>
  <c r="N325" i="1"/>
  <c r="BB324" i="1"/>
  <c r="BA324" i="1"/>
  <c r="AZ324" i="1"/>
  <c r="AY324" i="1"/>
  <c r="AX324" i="1"/>
  <c r="AW324" i="1"/>
  <c r="S324" i="1"/>
  <c r="R324" i="1"/>
  <c r="Q324" i="1"/>
  <c r="P324" i="1"/>
  <c r="O324" i="1"/>
  <c r="N324" i="1"/>
  <c r="BB323" i="1"/>
  <c r="BA323" i="1"/>
  <c r="AZ323" i="1"/>
  <c r="AY323" i="1"/>
  <c r="AX323" i="1"/>
  <c r="AW323" i="1"/>
  <c r="S323" i="1"/>
  <c r="R323" i="1"/>
  <c r="Q323" i="1"/>
  <c r="P323" i="1"/>
  <c r="O323" i="1"/>
  <c r="N323" i="1"/>
  <c r="BB322" i="1"/>
  <c r="BA322" i="1"/>
  <c r="AZ322" i="1"/>
  <c r="AY322" i="1"/>
  <c r="AX322" i="1"/>
  <c r="AW322" i="1"/>
  <c r="S322" i="1"/>
  <c r="R322" i="1"/>
  <c r="Q322" i="1"/>
  <c r="P322" i="1"/>
  <c r="O322" i="1"/>
  <c r="N322" i="1"/>
  <c r="BB321" i="1"/>
  <c r="BA321" i="1"/>
  <c r="AZ321" i="1"/>
  <c r="AY321" i="1"/>
  <c r="AX321" i="1"/>
  <c r="AW321" i="1"/>
  <c r="S321" i="1"/>
  <c r="R321" i="1"/>
  <c r="Q321" i="1"/>
  <c r="P321" i="1"/>
  <c r="O321" i="1"/>
  <c r="N321" i="1"/>
  <c r="BB320" i="1"/>
  <c r="BA320" i="1"/>
  <c r="AZ320" i="1"/>
  <c r="AY320" i="1"/>
  <c r="AX320" i="1"/>
  <c r="AW320" i="1"/>
  <c r="S320" i="1"/>
  <c r="R320" i="1"/>
  <c r="Q320" i="1"/>
  <c r="P320" i="1"/>
  <c r="O320" i="1"/>
  <c r="N320" i="1"/>
  <c r="BB319" i="1"/>
  <c r="BA319" i="1"/>
  <c r="AZ319" i="1"/>
  <c r="AY319" i="1"/>
  <c r="AX319" i="1"/>
  <c r="AW319" i="1"/>
  <c r="S319" i="1"/>
  <c r="R319" i="1"/>
  <c r="Q319" i="1"/>
  <c r="P319" i="1"/>
  <c r="O319" i="1"/>
  <c r="N319" i="1"/>
  <c r="BB318" i="1"/>
  <c r="BA318" i="1"/>
  <c r="AZ318" i="1"/>
  <c r="AY318" i="1"/>
  <c r="AX318" i="1"/>
  <c r="AW318" i="1"/>
  <c r="S318" i="1"/>
  <c r="R318" i="1"/>
  <c r="Q318" i="1"/>
  <c r="P318" i="1"/>
  <c r="O318" i="1"/>
  <c r="N318" i="1"/>
  <c r="BB317" i="1"/>
  <c r="BA317" i="1"/>
  <c r="AZ317" i="1"/>
  <c r="AY317" i="1"/>
  <c r="AX317" i="1"/>
  <c r="AW317" i="1"/>
  <c r="S317" i="1"/>
  <c r="R317" i="1"/>
  <c r="Q317" i="1"/>
  <c r="P317" i="1"/>
  <c r="O317" i="1"/>
  <c r="N317" i="1"/>
  <c r="BB316" i="1"/>
  <c r="BA316" i="1"/>
  <c r="AZ316" i="1"/>
  <c r="AY316" i="1"/>
  <c r="AX316" i="1"/>
  <c r="AW316" i="1"/>
  <c r="S316" i="1"/>
  <c r="R316" i="1"/>
  <c r="Q316" i="1"/>
  <c r="P316" i="1"/>
  <c r="O316" i="1"/>
  <c r="N316" i="1"/>
  <c r="BB315" i="1"/>
  <c r="BA315" i="1"/>
  <c r="AZ315" i="1"/>
  <c r="AY315" i="1"/>
  <c r="AX315" i="1"/>
  <c r="AW315" i="1"/>
  <c r="S315" i="1"/>
  <c r="R315" i="1"/>
  <c r="Q315" i="1"/>
  <c r="P315" i="1"/>
  <c r="O315" i="1"/>
  <c r="N315" i="1"/>
  <c r="BB314" i="1"/>
  <c r="BA314" i="1"/>
  <c r="AZ314" i="1"/>
  <c r="AY314" i="1"/>
  <c r="AX314" i="1"/>
  <c r="AW314" i="1"/>
  <c r="S314" i="1"/>
  <c r="R314" i="1"/>
  <c r="Q314" i="1"/>
  <c r="P314" i="1"/>
  <c r="O314" i="1"/>
  <c r="N314" i="1"/>
  <c r="BB313" i="1"/>
  <c r="BA313" i="1"/>
  <c r="AZ313" i="1"/>
  <c r="AY313" i="1"/>
  <c r="AX313" i="1"/>
  <c r="AW313" i="1"/>
  <c r="S313" i="1"/>
  <c r="R313" i="1"/>
  <c r="Q313" i="1"/>
  <c r="P313" i="1"/>
  <c r="O313" i="1"/>
  <c r="N313" i="1"/>
  <c r="BB312" i="1"/>
  <c r="BA312" i="1"/>
  <c r="AZ312" i="1"/>
  <c r="AY312" i="1"/>
  <c r="AX312" i="1"/>
  <c r="AW312" i="1"/>
  <c r="S312" i="1"/>
  <c r="R312" i="1"/>
  <c r="Q312" i="1"/>
  <c r="P312" i="1"/>
  <c r="O312" i="1"/>
  <c r="N312" i="1"/>
  <c r="BB311" i="1"/>
  <c r="BA311" i="1"/>
  <c r="AZ311" i="1"/>
  <c r="AY311" i="1"/>
  <c r="AX311" i="1"/>
  <c r="AW311" i="1"/>
  <c r="S311" i="1"/>
  <c r="R311" i="1"/>
  <c r="Q311" i="1"/>
  <c r="P311" i="1"/>
  <c r="O311" i="1"/>
  <c r="N311" i="1"/>
  <c r="BB310" i="1"/>
  <c r="BA310" i="1"/>
  <c r="AZ310" i="1"/>
  <c r="AY310" i="1"/>
  <c r="AX310" i="1"/>
  <c r="AW310" i="1"/>
  <c r="S310" i="1"/>
  <c r="R310" i="1"/>
  <c r="Q310" i="1"/>
  <c r="P310" i="1"/>
  <c r="O310" i="1"/>
  <c r="N310" i="1"/>
  <c r="BB309" i="1"/>
  <c r="BA309" i="1"/>
  <c r="AZ309" i="1"/>
  <c r="AY309" i="1"/>
  <c r="AX309" i="1"/>
  <c r="AW309" i="1"/>
  <c r="S309" i="1"/>
  <c r="R309" i="1"/>
  <c r="Q309" i="1"/>
  <c r="P309" i="1"/>
  <c r="O309" i="1"/>
  <c r="N309" i="1"/>
  <c r="BB308" i="1"/>
  <c r="BA308" i="1"/>
  <c r="AZ308" i="1"/>
  <c r="AY308" i="1"/>
  <c r="AX308" i="1"/>
  <c r="AW308" i="1"/>
  <c r="S308" i="1"/>
  <c r="R308" i="1"/>
  <c r="Q308" i="1"/>
  <c r="P308" i="1"/>
  <c r="O308" i="1"/>
  <c r="N308" i="1"/>
  <c r="BB307" i="1"/>
  <c r="BA307" i="1"/>
  <c r="AZ307" i="1"/>
  <c r="AY307" i="1"/>
  <c r="AX307" i="1"/>
  <c r="AW307" i="1"/>
  <c r="S307" i="1"/>
  <c r="R307" i="1"/>
  <c r="Q307" i="1"/>
  <c r="P307" i="1"/>
  <c r="O307" i="1"/>
  <c r="N307" i="1"/>
  <c r="BB306" i="1"/>
  <c r="BA306" i="1"/>
  <c r="AZ306" i="1"/>
  <c r="AY306" i="1"/>
  <c r="AX306" i="1"/>
  <c r="AW306" i="1"/>
  <c r="S306" i="1"/>
  <c r="R306" i="1"/>
  <c r="Q306" i="1"/>
  <c r="P306" i="1"/>
  <c r="O306" i="1"/>
  <c r="N306" i="1"/>
  <c r="BB305" i="1"/>
  <c r="BA305" i="1"/>
  <c r="AZ305" i="1"/>
  <c r="AY305" i="1"/>
  <c r="AX305" i="1"/>
  <c r="AW305" i="1"/>
  <c r="S305" i="1"/>
  <c r="R305" i="1"/>
  <c r="Q305" i="1"/>
  <c r="P305" i="1"/>
  <c r="O305" i="1"/>
  <c r="N305" i="1"/>
  <c r="BB304" i="1"/>
  <c r="BA304" i="1"/>
  <c r="AZ304" i="1"/>
  <c r="AY304" i="1"/>
  <c r="AX304" i="1"/>
  <c r="AW304" i="1"/>
  <c r="S304" i="1"/>
  <c r="R304" i="1"/>
  <c r="Q304" i="1"/>
  <c r="P304" i="1"/>
  <c r="O304" i="1"/>
  <c r="N304" i="1"/>
  <c r="BB303" i="1"/>
  <c r="BA303" i="1"/>
  <c r="AZ303" i="1"/>
  <c r="AY303" i="1"/>
  <c r="AX303" i="1"/>
  <c r="AW303" i="1"/>
  <c r="S303" i="1"/>
  <c r="R303" i="1"/>
  <c r="Q303" i="1"/>
  <c r="P303" i="1"/>
  <c r="O303" i="1"/>
  <c r="N303" i="1"/>
  <c r="BB302" i="1"/>
  <c r="BA302" i="1"/>
  <c r="AZ302" i="1"/>
  <c r="AY302" i="1"/>
  <c r="AX302" i="1"/>
  <c r="AW302" i="1"/>
  <c r="S302" i="1"/>
  <c r="R302" i="1"/>
  <c r="Q302" i="1"/>
  <c r="P302" i="1"/>
  <c r="O302" i="1"/>
  <c r="N302" i="1"/>
  <c r="BB301" i="1"/>
  <c r="BA301" i="1"/>
  <c r="AZ301" i="1"/>
  <c r="AY301" i="1"/>
  <c r="AX301" i="1"/>
  <c r="AW301" i="1"/>
  <c r="S301" i="1"/>
  <c r="R301" i="1"/>
  <c r="Q301" i="1"/>
  <c r="P301" i="1"/>
  <c r="O301" i="1"/>
  <c r="N301" i="1"/>
  <c r="BB300" i="1"/>
  <c r="BA300" i="1"/>
  <c r="AZ300" i="1"/>
  <c r="AY300" i="1"/>
  <c r="AX300" i="1"/>
  <c r="AW300" i="1"/>
  <c r="S300" i="1"/>
  <c r="R300" i="1"/>
  <c r="Q300" i="1"/>
  <c r="P300" i="1"/>
  <c r="O300" i="1"/>
  <c r="N300" i="1"/>
  <c r="BB299" i="1"/>
  <c r="BA299" i="1"/>
  <c r="AZ299" i="1"/>
  <c r="AY299" i="1"/>
  <c r="AX299" i="1"/>
  <c r="AW299" i="1"/>
  <c r="S299" i="1"/>
  <c r="R299" i="1"/>
  <c r="Q299" i="1"/>
  <c r="P299" i="1"/>
  <c r="O299" i="1"/>
  <c r="N299" i="1"/>
  <c r="BB298" i="1"/>
  <c r="BA298" i="1"/>
  <c r="AZ298" i="1"/>
  <c r="AY298" i="1"/>
  <c r="AX298" i="1"/>
  <c r="AW298" i="1"/>
  <c r="S298" i="1"/>
  <c r="R298" i="1"/>
  <c r="Q298" i="1"/>
  <c r="P298" i="1"/>
  <c r="O298" i="1"/>
  <c r="N298" i="1"/>
  <c r="BB297" i="1"/>
  <c r="BA297" i="1"/>
  <c r="AZ297" i="1"/>
  <c r="AY297" i="1"/>
  <c r="AX297" i="1"/>
  <c r="AW297" i="1"/>
  <c r="S297" i="1"/>
  <c r="R297" i="1"/>
  <c r="Q297" i="1"/>
  <c r="P297" i="1"/>
  <c r="O297" i="1"/>
  <c r="N297" i="1"/>
  <c r="BB296" i="1"/>
  <c r="BA296" i="1"/>
  <c r="AZ296" i="1"/>
  <c r="AY296" i="1"/>
  <c r="AX296" i="1"/>
  <c r="AW296" i="1"/>
  <c r="S296" i="1"/>
  <c r="R296" i="1"/>
  <c r="Q296" i="1"/>
  <c r="P296" i="1"/>
  <c r="O296" i="1"/>
  <c r="N296" i="1"/>
  <c r="BB295" i="1"/>
  <c r="BA295" i="1"/>
  <c r="AZ295" i="1"/>
  <c r="AY295" i="1"/>
  <c r="AX295" i="1"/>
  <c r="AW295" i="1"/>
  <c r="S295" i="1"/>
  <c r="R295" i="1"/>
  <c r="Q295" i="1"/>
  <c r="P295" i="1"/>
  <c r="O295" i="1"/>
  <c r="N295" i="1"/>
  <c r="BB294" i="1"/>
  <c r="BA294" i="1"/>
  <c r="AZ294" i="1"/>
  <c r="AY294" i="1"/>
  <c r="AX294" i="1"/>
  <c r="AW294" i="1"/>
  <c r="S294" i="1"/>
  <c r="R294" i="1"/>
  <c r="Q294" i="1"/>
  <c r="P294" i="1"/>
  <c r="O294" i="1"/>
  <c r="N294" i="1"/>
  <c r="BB293" i="1"/>
  <c r="BA293" i="1"/>
  <c r="AZ293" i="1"/>
  <c r="AY293" i="1"/>
  <c r="AX293" i="1"/>
  <c r="AW293" i="1"/>
  <c r="S293" i="1"/>
  <c r="R293" i="1"/>
  <c r="Q293" i="1"/>
  <c r="P293" i="1"/>
  <c r="O293" i="1"/>
  <c r="N293" i="1"/>
  <c r="BB292" i="1"/>
  <c r="BA292" i="1"/>
  <c r="AZ292" i="1"/>
  <c r="AY292" i="1"/>
  <c r="AX292" i="1"/>
  <c r="AW292" i="1"/>
  <c r="S292" i="1"/>
  <c r="R292" i="1"/>
  <c r="Q292" i="1"/>
  <c r="P292" i="1"/>
  <c r="O292" i="1"/>
  <c r="N292" i="1"/>
  <c r="BB291" i="1"/>
  <c r="BA291" i="1"/>
  <c r="AZ291" i="1"/>
  <c r="AY291" i="1"/>
  <c r="AX291" i="1"/>
  <c r="AW291" i="1"/>
  <c r="S291" i="1"/>
  <c r="R291" i="1"/>
  <c r="Q291" i="1"/>
  <c r="P291" i="1"/>
  <c r="O291" i="1"/>
  <c r="N291" i="1"/>
  <c r="BB290" i="1"/>
  <c r="BA290" i="1"/>
  <c r="AZ290" i="1"/>
  <c r="AY290" i="1"/>
  <c r="AX290" i="1"/>
  <c r="AW290" i="1"/>
  <c r="S290" i="1"/>
  <c r="R290" i="1"/>
  <c r="Q290" i="1"/>
  <c r="P290" i="1"/>
  <c r="O290" i="1"/>
  <c r="N290" i="1"/>
  <c r="BB289" i="1"/>
  <c r="BA289" i="1"/>
  <c r="AZ289" i="1"/>
  <c r="AY289" i="1"/>
  <c r="AX289" i="1"/>
  <c r="AW289" i="1"/>
  <c r="S289" i="1"/>
  <c r="R289" i="1"/>
  <c r="Q289" i="1"/>
  <c r="P289" i="1"/>
  <c r="O289" i="1"/>
  <c r="N289" i="1"/>
  <c r="BB288" i="1"/>
  <c r="BA288" i="1"/>
  <c r="AZ288" i="1"/>
  <c r="AY288" i="1"/>
  <c r="AX288" i="1"/>
  <c r="AW288" i="1"/>
  <c r="S288" i="1"/>
  <c r="R288" i="1"/>
  <c r="Q288" i="1"/>
  <c r="P288" i="1"/>
  <c r="O288" i="1"/>
  <c r="N288" i="1"/>
  <c r="BB287" i="1"/>
  <c r="BA287" i="1"/>
  <c r="AZ287" i="1"/>
  <c r="AY287" i="1"/>
  <c r="AX287" i="1"/>
  <c r="AW287" i="1"/>
  <c r="S287" i="1"/>
  <c r="R287" i="1"/>
  <c r="Q287" i="1"/>
  <c r="P287" i="1"/>
  <c r="O287" i="1"/>
  <c r="N287" i="1"/>
  <c r="BB286" i="1"/>
  <c r="BA286" i="1"/>
  <c r="AZ286" i="1"/>
  <c r="AY286" i="1"/>
  <c r="AX286" i="1"/>
  <c r="AW286" i="1"/>
  <c r="S286" i="1"/>
  <c r="R286" i="1"/>
  <c r="Q286" i="1"/>
  <c r="P286" i="1"/>
  <c r="O286" i="1"/>
  <c r="N286" i="1"/>
  <c r="BB285" i="1"/>
  <c r="BA285" i="1"/>
  <c r="AZ285" i="1"/>
  <c r="AY285" i="1"/>
  <c r="AX285" i="1"/>
  <c r="AW285" i="1"/>
  <c r="S285" i="1"/>
  <c r="R285" i="1"/>
  <c r="Q285" i="1"/>
  <c r="P285" i="1"/>
  <c r="O285" i="1"/>
  <c r="N285" i="1"/>
  <c r="BB284" i="1"/>
  <c r="BA284" i="1"/>
  <c r="AZ284" i="1"/>
  <c r="AY284" i="1"/>
  <c r="AX284" i="1"/>
  <c r="AW284" i="1"/>
  <c r="S284" i="1"/>
  <c r="R284" i="1"/>
  <c r="Q284" i="1"/>
  <c r="P284" i="1"/>
  <c r="O284" i="1"/>
  <c r="N284" i="1"/>
  <c r="BB283" i="1"/>
  <c r="BA283" i="1"/>
  <c r="AZ283" i="1"/>
  <c r="AY283" i="1"/>
  <c r="AX283" i="1"/>
  <c r="AW283" i="1"/>
  <c r="S283" i="1"/>
  <c r="R283" i="1"/>
  <c r="Q283" i="1"/>
  <c r="P283" i="1"/>
  <c r="O283" i="1"/>
  <c r="N283" i="1"/>
  <c r="BB282" i="1"/>
  <c r="BA282" i="1"/>
  <c r="AZ282" i="1"/>
  <c r="AY282" i="1"/>
  <c r="AX282" i="1"/>
  <c r="AW282" i="1"/>
  <c r="S282" i="1"/>
  <c r="R282" i="1"/>
  <c r="Q282" i="1"/>
  <c r="P282" i="1"/>
  <c r="O282" i="1"/>
  <c r="N282" i="1"/>
  <c r="BB281" i="1"/>
  <c r="BA281" i="1"/>
  <c r="AZ281" i="1"/>
  <c r="AY281" i="1"/>
  <c r="AX281" i="1"/>
  <c r="AW281" i="1"/>
  <c r="S281" i="1"/>
  <c r="R281" i="1"/>
  <c r="Q281" i="1"/>
  <c r="P281" i="1"/>
  <c r="O281" i="1"/>
  <c r="N281" i="1"/>
  <c r="BB280" i="1"/>
  <c r="BA280" i="1"/>
  <c r="AZ280" i="1"/>
  <c r="AY280" i="1"/>
  <c r="AX280" i="1"/>
  <c r="AW280" i="1"/>
  <c r="S280" i="1"/>
  <c r="R280" i="1"/>
  <c r="Q280" i="1"/>
  <c r="P280" i="1"/>
  <c r="O280" i="1"/>
  <c r="N280" i="1"/>
  <c r="BB279" i="1"/>
  <c r="BA279" i="1"/>
  <c r="AZ279" i="1"/>
  <c r="AY279" i="1"/>
  <c r="AX279" i="1"/>
  <c r="AW279" i="1"/>
  <c r="S279" i="1"/>
  <c r="R279" i="1"/>
  <c r="Q279" i="1"/>
  <c r="P279" i="1"/>
  <c r="O279" i="1"/>
  <c r="N279" i="1"/>
  <c r="BB278" i="1"/>
  <c r="BA278" i="1"/>
  <c r="AZ278" i="1"/>
  <c r="AY278" i="1"/>
  <c r="AX278" i="1"/>
  <c r="AW278" i="1"/>
  <c r="S278" i="1"/>
  <c r="R278" i="1"/>
  <c r="Q278" i="1"/>
  <c r="P278" i="1"/>
  <c r="O278" i="1"/>
  <c r="N278" i="1"/>
  <c r="BB277" i="1"/>
  <c r="BA277" i="1"/>
  <c r="AZ277" i="1"/>
  <c r="AY277" i="1"/>
  <c r="AX277" i="1"/>
  <c r="AW277" i="1"/>
  <c r="S277" i="1"/>
  <c r="R277" i="1"/>
  <c r="Q277" i="1"/>
  <c r="P277" i="1"/>
  <c r="O277" i="1"/>
  <c r="N277" i="1"/>
  <c r="BB276" i="1"/>
  <c r="BA276" i="1"/>
  <c r="AZ276" i="1"/>
  <c r="AY276" i="1"/>
  <c r="AX276" i="1"/>
  <c r="AW276" i="1"/>
  <c r="S276" i="1"/>
  <c r="R276" i="1"/>
  <c r="Q276" i="1"/>
  <c r="P276" i="1"/>
  <c r="O276" i="1"/>
  <c r="N276" i="1"/>
  <c r="BB275" i="1"/>
  <c r="BA275" i="1"/>
  <c r="AZ275" i="1"/>
  <c r="AY275" i="1"/>
  <c r="AX275" i="1"/>
  <c r="AW275" i="1"/>
  <c r="S275" i="1"/>
  <c r="R275" i="1"/>
  <c r="Q275" i="1"/>
  <c r="P275" i="1"/>
  <c r="O275" i="1"/>
  <c r="N275" i="1"/>
  <c r="BB274" i="1"/>
  <c r="BA274" i="1"/>
  <c r="AZ274" i="1"/>
  <c r="AY274" i="1"/>
  <c r="AX274" i="1"/>
  <c r="AW274" i="1"/>
  <c r="S274" i="1"/>
  <c r="R274" i="1"/>
  <c r="Q274" i="1"/>
  <c r="P274" i="1"/>
  <c r="O274" i="1"/>
  <c r="N274" i="1"/>
  <c r="BB273" i="1"/>
  <c r="BA273" i="1"/>
  <c r="AZ273" i="1"/>
  <c r="AY273" i="1"/>
  <c r="AX273" i="1"/>
  <c r="AW273" i="1"/>
  <c r="S273" i="1"/>
  <c r="R273" i="1"/>
  <c r="Q273" i="1"/>
  <c r="P273" i="1"/>
  <c r="O273" i="1"/>
  <c r="N273" i="1"/>
  <c r="BB272" i="1"/>
  <c r="BA272" i="1"/>
  <c r="AZ272" i="1"/>
  <c r="AY272" i="1"/>
  <c r="AX272" i="1"/>
  <c r="AW272" i="1"/>
  <c r="S272" i="1"/>
  <c r="R272" i="1"/>
  <c r="Q272" i="1"/>
  <c r="P272" i="1"/>
  <c r="O272" i="1"/>
  <c r="N272" i="1"/>
  <c r="BB271" i="1"/>
  <c r="BA271" i="1"/>
  <c r="AZ271" i="1"/>
  <c r="AY271" i="1"/>
  <c r="AX271" i="1"/>
  <c r="AW271" i="1"/>
  <c r="S271" i="1"/>
  <c r="R271" i="1"/>
  <c r="Q271" i="1"/>
  <c r="P271" i="1"/>
  <c r="O271" i="1"/>
  <c r="N271" i="1"/>
  <c r="BB270" i="1"/>
  <c r="BA270" i="1"/>
  <c r="AZ270" i="1"/>
  <c r="AY270" i="1"/>
  <c r="AX270" i="1"/>
  <c r="AW270" i="1"/>
  <c r="S270" i="1"/>
  <c r="R270" i="1"/>
  <c r="Q270" i="1"/>
  <c r="P270" i="1"/>
  <c r="O270" i="1"/>
  <c r="N270" i="1"/>
  <c r="BB269" i="1"/>
  <c r="BA269" i="1"/>
  <c r="AZ269" i="1"/>
  <c r="AY269" i="1"/>
  <c r="AX269" i="1"/>
  <c r="AW269" i="1"/>
  <c r="S269" i="1"/>
  <c r="R269" i="1"/>
  <c r="Q269" i="1"/>
  <c r="P269" i="1"/>
  <c r="O269" i="1"/>
  <c r="N269" i="1"/>
  <c r="BB268" i="1"/>
  <c r="BA268" i="1"/>
  <c r="AZ268" i="1"/>
  <c r="AY268" i="1"/>
  <c r="AX268" i="1"/>
  <c r="AW268" i="1"/>
  <c r="S268" i="1"/>
  <c r="R268" i="1"/>
  <c r="Q268" i="1"/>
  <c r="P268" i="1"/>
  <c r="O268" i="1"/>
  <c r="N268" i="1"/>
  <c r="BB267" i="1"/>
  <c r="BA267" i="1"/>
  <c r="AZ267" i="1"/>
  <c r="AY267" i="1"/>
  <c r="AX267" i="1"/>
  <c r="AW267" i="1"/>
  <c r="S267" i="1"/>
  <c r="R267" i="1"/>
  <c r="Q267" i="1"/>
  <c r="P267" i="1"/>
  <c r="O267" i="1"/>
  <c r="N267" i="1"/>
  <c r="BB266" i="1"/>
  <c r="BA266" i="1"/>
  <c r="AZ266" i="1"/>
  <c r="AY266" i="1"/>
  <c r="AX266" i="1"/>
  <c r="AW266" i="1"/>
  <c r="S266" i="1"/>
  <c r="R266" i="1"/>
  <c r="Q266" i="1"/>
  <c r="P266" i="1"/>
  <c r="O266" i="1"/>
  <c r="N266" i="1"/>
  <c r="BB265" i="1"/>
  <c r="BA265" i="1"/>
  <c r="AZ265" i="1"/>
  <c r="AY265" i="1"/>
  <c r="AX265" i="1"/>
  <c r="AW265" i="1"/>
  <c r="S265" i="1"/>
  <c r="R265" i="1"/>
  <c r="Q265" i="1"/>
  <c r="P265" i="1"/>
  <c r="O265" i="1"/>
  <c r="N265" i="1"/>
  <c r="BB264" i="1"/>
  <c r="BA264" i="1"/>
  <c r="AZ264" i="1"/>
  <c r="AY264" i="1"/>
  <c r="AX264" i="1"/>
  <c r="AW264" i="1"/>
  <c r="S264" i="1"/>
  <c r="R264" i="1"/>
  <c r="Q264" i="1"/>
  <c r="P264" i="1"/>
  <c r="O264" i="1"/>
  <c r="N264" i="1"/>
  <c r="BB263" i="1"/>
  <c r="BA263" i="1"/>
  <c r="AZ263" i="1"/>
  <c r="AY263" i="1"/>
  <c r="AX263" i="1"/>
  <c r="AW263" i="1"/>
  <c r="S263" i="1"/>
  <c r="R263" i="1"/>
  <c r="Q263" i="1"/>
  <c r="P263" i="1"/>
  <c r="O263" i="1"/>
  <c r="N263" i="1"/>
  <c r="BB262" i="1"/>
  <c r="BA262" i="1"/>
  <c r="AZ262" i="1"/>
  <c r="AY262" i="1"/>
  <c r="AX262" i="1"/>
  <c r="AW262" i="1"/>
  <c r="S262" i="1"/>
  <c r="R262" i="1"/>
  <c r="Q262" i="1"/>
  <c r="P262" i="1"/>
  <c r="O262" i="1"/>
  <c r="N262" i="1"/>
  <c r="BB261" i="1"/>
  <c r="BA261" i="1"/>
  <c r="AZ261" i="1"/>
  <c r="AY261" i="1"/>
  <c r="AX261" i="1"/>
  <c r="AW261" i="1"/>
  <c r="S261" i="1"/>
  <c r="R261" i="1"/>
  <c r="Q261" i="1"/>
  <c r="P261" i="1"/>
  <c r="O261" i="1"/>
  <c r="N261" i="1"/>
  <c r="BB260" i="1"/>
  <c r="BA260" i="1"/>
  <c r="AZ260" i="1"/>
  <c r="AY260" i="1"/>
  <c r="AX260" i="1"/>
  <c r="AW260" i="1"/>
  <c r="S260" i="1"/>
  <c r="R260" i="1"/>
  <c r="Q260" i="1"/>
  <c r="P260" i="1"/>
  <c r="O260" i="1"/>
  <c r="N260" i="1"/>
  <c r="BB259" i="1"/>
  <c r="BA259" i="1"/>
  <c r="AZ259" i="1"/>
  <c r="AY259" i="1"/>
  <c r="AX259" i="1"/>
  <c r="AW259" i="1"/>
  <c r="S259" i="1"/>
  <c r="R259" i="1"/>
  <c r="Q259" i="1"/>
  <c r="P259" i="1"/>
  <c r="O259" i="1"/>
  <c r="N259" i="1"/>
  <c r="BB258" i="1"/>
  <c r="BA258" i="1"/>
  <c r="AZ258" i="1"/>
  <c r="AY258" i="1"/>
  <c r="AX258" i="1"/>
  <c r="AW258" i="1"/>
  <c r="S258" i="1"/>
  <c r="R258" i="1"/>
  <c r="Q258" i="1"/>
  <c r="P258" i="1"/>
  <c r="O258" i="1"/>
  <c r="N258" i="1"/>
  <c r="BB257" i="1"/>
  <c r="BA257" i="1"/>
  <c r="AZ257" i="1"/>
  <c r="AY257" i="1"/>
  <c r="AX257" i="1"/>
  <c r="AW257" i="1"/>
  <c r="S257" i="1"/>
  <c r="R257" i="1"/>
  <c r="Q257" i="1"/>
  <c r="P257" i="1"/>
  <c r="O257" i="1"/>
  <c r="N257" i="1"/>
  <c r="BB256" i="1"/>
  <c r="BA256" i="1"/>
  <c r="AZ256" i="1"/>
  <c r="AY256" i="1"/>
  <c r="AX256" i="1"/>
  <c r="AW256" i="1"/>
  <c r="S256" i="1"/>
  <c r="R256" i="1"/>
  <c r="Q256" i="1"/>
  <c r="P256" i="1"/>
  <c r="O256" i="1"/>
  <c r="N256" i="1"/>
  <c r="BB255" i="1"/>
  <c r="BA255" i="1"/>
  <c r="AZ255" i="1"/>
  <c r="AY255" i="1"/>
  <c r="AX255" i="1"/>
  <c r="AW255" i="1"/>
  <c r="S255" i="1"/>
  <c r="R255" i="1"/>
  <c r="Q255" i="1"/>
  <c r="P255" i="1"/>
  <c r="O255" i="1"/>
  <c r="N255" i="1"/>
  <c r="BB254" i="1"/>
  <c r="BA254" i="1"/>
  <c r="AZ254" i="1"/>
  <c r="AY254" i="1"/>
  <c r="AX254" i="1"/>
  <c r="AW254" i="1"/>
  <c r="S254" i="1"/>
  <c r="R254" i="1"/>
  <c r="Q254" i="1"/>
  <c r="P254" i="1"/>
  <c r="O254" i="1"/>
  <c r="N254" i="1"/>
  <c r="BB253" i="1"/>
  <c r="BA253" i="1"/>
  <c r="AZ253" i="1"/>
  <c r="AY253" i="1"/>
  <c r="AX253" i="1"/>
  <c r="AW253" i="1"/>
  <c r="S253" i="1"/>
  <c r="R253" i="1"/>
  <c r="Q253" i="1"/>
  <c r="P253" i="1"/>
  <c r="O253" i="1"/>
  <c r="N253" i="1"/>
  <c r="BB252" i="1"/>
  <c r="BA252" i="1"/>
  <c r="AZ252" i="1"/>
  <c r="AY252" i="1"/>
  <c r="AX252" i="1"/>
  <c r="AW252" i="1"/>
  <c r="S252" i="1"/>
  <c r="R252" i="1"/>
  <c r="Q252" i="1"/>
  <c r="P252" i="1"/>
  <c r="O252" i="1"/>
  <c r="N252" i="1"/>
  <c r="BB251" i="1"/>
  <c r="BA251" i="1"/>
  <c r="AZ251" i="1"/>
  <c r="AY251" i="1"/>
  <c r="AX251" i="1"/>
  <c r="AW251" i="1"/>
  <c r="S251" i="1"/>
  <c r="R251" i="1"/>
  <c r="Q251" i="1"/>
  <c r="P251" i="1"/>
  <c r="O251" i="1"/>
  <c r="N251" i="1"/>
  <c r="BB250" i="1"/>
  <c r="BA250" i="1"/>
  <c r="AZ250" i="1"/>
  <c r="AY250" i="1"/>
  <c r="AX250" i="1"/>
  <c r="AW250" i="1"/>
  <c r="S250" i="1"/>
  <c r="R250" i="1"/>
  <c r="Q250" i="1"/>
  <c r="P250" i="1"/>
  <c r="O250" i="1"/>
  <c r="N250" i="1"/>
  <c r="BB249" i="1"/>
  <c r="BA249" i="1"/>
  <c r="AZ249" i="1"/>
  <c r="AY249" i="1"/>
  <c r="AX249" i="1"/>
  <c r="AW249" i="1"/>
  <c r="S249" i="1"/>
  <c r="R249" i="1"/>
  <c r="Q249" i="1"/>
  <c r="P249" i="1"/>
  <c r="O249" i="1"/>
  <c r="N249" i="1"/>
  <c r="BB248" i="1"/>
  <c r="BA248" i="1"/>
  <c r="AZ248" i="1"/>
  <c r="AY248" i="1"/>
  <c r="AX248" i="1"/>
  <c r="AW248" i="1"/>
  <c r="S248" i="1"/>
  <c r="R248" i="1"/>
  <c r="Q248" i="1"/>
  <c r="P248" i="1"/>
  <c r="O248" i="1"/>
  <c r="N248" i="1"/>
  <c r="BB247" i="1"/>
  <c r="BA247" i="1"/>
  <c r="AZ247" i="1"/>
  <c r="AY247" i="1"/>
  <c r="AX247" i="1"/>
  <c r="AW247" i="1"/>
  <c r="S247" i="1"/>
  <c r="R247" i="1"/>
  <c r="Q247" i="1"/>
  <c r="P247" i="1"/>
  <c r="O247" i="1"/>
  <c r="N247" i="1"/>
  <c r="BB246" i="1"/>
  <c r="BA246" i="1"/>
  <c r="AZ246" i="1"/>
  <c r="AY246" i="1"/>
  <c r="AX246" i="1"/>
  <c r="AW246" i="1"/>
  <c r="S246" i="1"/>
  <c r="R246" i="1"/>
  <c r="Q246" i="1"/>
  <c r="P246" i="1"/>
  <c r="O246" i="1"/>
  <c r="N246" i="1"/>
  <c r="BB245" i="1"/>
  <c r="BA245" i="1"/>
  <c r="AZ245" i="1"/>
  <c r="AY245" i="1"/>
  <c r="AX245" i="1"/>
  <c r="AW245" i="1"/>
  <c r="S245" i="1"/>
  <c r="R245" i="1"/>
  <c r="Q245" i="1"/>
  <c r="P245" i="1"/>
  <c r="O245" i="1"/>
  <c r="N245" i="1"/>
  <c r="BB244" i="1"/>
  <c r="BA244" i="1"/>
  <c r="AZ244" i="1"/>
  <c r="AY244" i="1"/>
  <c r="AX244" i="1"/>
  <c r="AW244" i="1"/>
  <c r="S244" i="1"/>
  <c r="R244" i="1"/>
  <c r="Q244" i="1"/>
  <c r="P244" i="1"/>
  <c r="O244" i="1"/>
  <c r="N244" i="1"/>
  <c r="BB243" i="1"/>
  <c r="BA243" i="1"/>
  <c r="AZ243" i="1"/>
  <c r="AY243" i="1"/>
  <c r="AX243" i="1"/>
  <c r="AW243" i="1"/>
  <c r="S243" i="1"/>
  <c r="R243" i="1"/>
  <c r="Q243" i="1"/>
  <c r="P243" i="1"/>
  <c r="O243" i="1"/>
  <c r="N243" i="1"/>
  <c r="BB242" i="1"/>
  <c r="BA242" i="1"/>
  <c r="AZ242" i="1"/>
  <c r="AY242" i="1"/>
  <c r="AX242" i="1"/>
  <c r="AW242" i="1"/>
  <c r="S242" i="1"/>
  <c r="R242" i="1"/>
  <c r="Q242" i="1"/>
  <c r="P242" i="1"/>
  <c r="O242" i="1"/>
  <c r="N242" i="1"/>
  <c r="BB241" i="1"/>
  <c r="BA241" i="1"/>
  <c r="AZ241" i="1"/>
  <c r="AY241" i="1"/>
  <c r="AX241" i="1"/>
  <c r="AW241" i="1"/>
  <c r="S241" i="1"/>
  <c r="R241" i="1"/>
  <c r="Q241" i="1"/>
  <c r="P241" i="1"/>
  <c r="O241" i="1"/>
  <c r="N241" i="1"/>
  <c r="BB240" i="1"/>
  <c r="BA240" i="1"/>
  <c r="AZ240" i="1"/>
  <c r="AY240" i="1"/>
  <c r="AX240" i="1"/>
  <c r="AW240" i="1"/>
  <c r="S240" i="1"/>
  <c r="R240" i="1"/>
  <c r="Q240" i="1"/>
  <c r="P240" i="1"/>
  <c r="O240" i="1"/>
  <c r="N240" i="1"/>
  <c r="BB239" i="1"/>
  <c r="BA239" i="1"/>
  <c r="AZ239" i="1"/>
  <c r="AY239" i="1"/>
  <c r="AX239" i="1"/>
  <c r="AW239" i="1"/>
  <c r="S239" i="1"/>
  <c r="R239" i="1"/>
  <c r="Q239" i="1"/>
  <c r="P239" i="1"/>
  <c r="O239" i="1"/>
  <c r="N239" i="1"/>
  <c r="BB238" i="1"/>
  <c r="BA238" i="1"/>
  <c r="AZ238" i="1"/>
  <c r="AY238" i="1"/>
  <c r="AX238" i="1"/>
  <c r="AW238" i="1"/>
  <c r="S238" i="1"/>
  <c r="R238" i="1"/>
  <c r="Q238" i="1"/>
  <c r="P238" i="1"/>
  <c r="O238" i="1"/>
  <c r="N238" i="1"/>
  <c r="BB237" i="1"/>
  <c r="BA237" i="1"/>
  <c r="AZ237" i="1"/>
  <c r="AY237" i="1"/>
  <c r="AX237" i="1"/>
  <c r="AW237" i="1"/>
  <c r="S237" i="1"/>
  <c r="R237" i="1"/>
  <c r="Q237" i="1"/>
  <c r="P237" i="1"/>
  <c r="O237" i="1"/>
  <c r="N237" i="1"/>
  <c r="BB236" i="1"/>
  <c r="BA236" i="1"/>
  <c r="AZ236" i="1"/>
  <c r="AY236" i="1"/>
  <c r="AX236" i="1"/>
  <c r="AW236" i="1"/>
  <c r="S236" i="1"/>
  <c r="R236" i="1"/>
  <c r="Q236" i="1"/>
  <c r="P236" i="1"/>
  <c r="O236" i="1"/>
  <c r="N236" i="1"/>
  <c r="BB235" i="1"/>
  <c r="BA235" i="1"/>
  <c r="AZ235" i="1"/>
  <c r="AY235" i="1"/>
  <c r="AX235" i="1"/>
  <c r="AW235" i="1"/>
  <c r="S235" i="1"/>
  <c r="R235" i="1"/>
  <c r="Q235" i="1"/>
  <c r="P235" i="1"/>
  <c r="O235" i="1"/>
  <c r="N235" i="1"/>
  <c r="BB234" i="1"/>
  <c r="BA234" i="1"/>
  <c r="AZ234" i="1"/>
  <c r="AY234" i="1"/>
  <c r="AX234" i="1"/>
  <c r="AW234" i="1"/>
  <c r="S234" i="1"/>
  <c r="R234" i="1"/>
  <c r="Q234" i="1"/>
  <c r="P234" i="1"/>
  <c r="O234" i="1"/>
  <c r="N234" i="1"/>
  <c r="BB233" i="1"/>
  <c r="BA233" i="1"/>
  <c r="AZ233" i="1"/>
  <c r="AY233" i="1"/>
  <c r="AX233" i="1"/>
  <c r="AW233" i="1"/>
  <c r="S233" i="1"/>
  <c r="R233" i="1"/>
  <c r="Q233" i="1"/>
  <c r="P233" i="1"/>
  <c r="O233" i="1"/>
  <c r="N233" i="1"/>
  <c r="BB232" i="1"/>
  <c r="BA232" i="1"/>
  <c r="AZ232" i="1"/>
  <c r="AY232" i="1"/>
  <c r="AX232" i="1"/>
  <c r="AW232" i="1"/>
  <c r="S232" i="1"/>
  <c r="R232" i="1"/>
  <c r="Q232" i="1"/>
  <c r="P232" i="1"/>
  <c r="O232" i="1"/>
  <c r="N232" i="1"/>
  <c r="BB231" i="1"/>
  <c r="BA231" i="1"/>
  <c r="AZ231" i="1"/>
  <c r="AY231" i="1"/>
  <c r="AX231" i="1"/>
  <c r="AW231" i="1"/>
  <c r="S231" i="1"/>
  <c r="R231" i="1"/>
  <c r="Q231" i="1"/>
  <c r="P231" i="1"/>
  <c r="O231" i="1"/>
  <c r="N231" i="1"/>
  <c r="BB230" i="1"/>
  <c r="BA230" i="1"/>
  <c r="AZ230" i="1"/>
  <c r="AY230" i="1"/>
  <c r="AX230" i="1"/>
  <c r="AW230" i="1"/>
  <c r="S230" i="1"/>
  <c r="R230" i="1"/>
  <c r="Q230" i="1"/>
  <c r="P230" i="1"/>
  <c r="O230" i="1"/>
  <c r="N230" i="1"/>
  <c r="BB229" i="1"/>
  <c r="BA229" i="1"/>
  <c r="AZ229" i="1"/>
  <c r="AY229" i="1"/>
  <c r="AX229" i="1"/>
  <c r="AW229" i="1"/>
  <c r="S229" i="1"/>
  <c r="R229" i="1"/>
  <c r="Q229" i="1"/>
  <c r="P229" i="1"/>
  <c r="O229" i="1"/>
  <c r="N229" i="1"/>
  <c r="BB228" i="1"/>
  <c r="BA228" i="1"/>
  <c r="AZ228" i="1"/>
  <c r="AY228" i="1"/>
  <c r="AX228" i="1"/>
  <c r="AW228" i="1"/>
  <c r="S228" i="1"/>
  <c r="R228" i="1"/>
  <c r="Q228" i="1"/>
  <c r="P228" i="1"/>
  <c r="O228" i="1"/>
  <c r="N228" i="1"/>
  <c r="BB227" i="1"/>
  <c r="BA227" i="1"/>
  <c r="AZ227" i="1"/>
  <c r="AY227" i="1"/>
  <c r="AX227" i="1"/>
  <c r="AW227" i="1"/>
  <c r="S227" i="1"/>
  <c r="R227" i="1"/>
  <c r="Q227" i="1"/>
  <c r="P227" i="1"/>
  <c r="O227" i="1"/>
  <c r="N227" i="1"/>
  <c r="BB226" i="1"/>
  <c r="BA226" i="1"/>
  <c r="AZ226" i="1"/>
  <c r="AY226" i="1"/>
  <c r="AX226" i="1"/>
  <c r="AW226" i="1"/>
  <c r="S226" i="1"/>
  <c r="R226" i="1"/>
  <c r="Q226" i="1"/>
  <c r="P226" i="1"/>
  <c r="O226" i="1"/>
  <c r="N226" i="1"/>
  <c r="BB225" i="1"/>
  <c r="BA225" i="1"/>
  <c r="AZ225" i="1"/>
  <c r="AY225" i="1"/>
  <c r="AX225" i="1"/>
  <c r="AW225" i="1"/>
  <c r="S225" i="1"/>
  <c r="R225" i="1"/>
  <c r="Q225" i="1"/>
  <c r="P225" i="1"/>
  <c r="O225" i="1"/>
  <c r="N225" i="1"/>
  <c r="BB224" i="1"/>
  <c r="BA224" i="1"/>
  <c r="AZ224" i="1"/>
  <c r="AY224" i="1"/>
  <c r="AX224" i="1"/>
  <c r="AW224" i="1"/>
  <c r="S224" i="1"/>
  <c r="R224" i="1"/>
  <c r="Q224" i="1"/>
  <c r="P224" i="1"/>
  <c r="O224" i="1"/>
  <c r="N224" i="1"/>
  <c r="BB223" i="1"/>
  <c r="BA223" i="1"/>
  <c r="AZ223" i="1"/>
  <c r="AY223" i="1"/>
  <c r="AX223" i="1"/>
  <c r="AW223" i="1"/>
  <c r="S223" i="1"/>
  <c r="R223" i="1"/>
  <c r="Q223" i="1"/>
  <c r="P223" i="1"/>
  <c r="O223" i="1"/>
  <c r="N223" i="1"/>
  <c r="BB222" i="1"/>
  <c r="BA222" i="1"/>
  <c r="AZ222" i="1"/>
  <c r="AY222" i="1"/>
  <c r="AX222" i="1"/>
  <c r="AW222" i="1"/>
  <c r="S222" i="1"/>
  <c r="R222" i="1"/>
  <c r="Q222" i="1"/>
  <c r="P222" i="1"/>
  <c r="O222" i="1"/>
  <c r="N222" i="1"/>
  <c r="BB221" i="1"/>
  <c r="BA221" i="1"/>
  <c r="AZ221" i="1"/>
  <c r="AY221" i="1"/>
  <c r="AX221" i="1"/>
  <c r="AW221" i="1"/>
  <c r="S221" i="1"/>
  <c r="R221" i="1"/>
  <c r="Q221" i="1"/>
  <c r="P221" i="1"/>
  <c r="O221" i="1"/>
  <c r="N221" i="1"/>
  <c r="BB220" i="1"/>
  <c r="BA220" i="1"/>
  <c r="AZ220" i="1"/>
  <c r="AY220" i="1"/>
  <c r="AX220" i="1"/>
  <c r="AW220" i="1"/>
  <c r="S220" i="1"/>
  <c r="R220" i="1"/>
  <c r="Q220" i="1"/>
  <c r="P220" i="1"/>
  <c r="O220" i="1"/>
  <c r="N220" i="1"/>
  <c r="BB219" i="1"/>
  <c r="BA219" i="1"/>
  <c r="AZ219" i="1"/>
  <c r="AY219" i="1"/>
  <c r="AX219" i="1"/>
  <c r="AW219" i="1"/>
  <c r="S219" i="1"/>
  <c r="R219" i="1"/>
  <c r="Q219" i="1"/>
  <c r="P219" i="1"/>
  <c r="O219" i="1"/>
  <c r="N219" i="1"/>
  <c r="BB218" i="1"/>
  <c r="BA218" i="1"/>
  <c r="AZ218" i="1"/>
  <c r="AY218" i="1"/>
  <c r="AX218" i="1"/>
  <c r="AW218" i="1"/>
  <c r="S218" i="1"/>
  <c r="R218" i="1"/>
  <c r="Q218" i="1"/>
  <c r="P218" i="1"/>
  <c r="O218" i="1"/>
  <c r="N218" i="1"/>
  <c r="BB217" i="1"/>
  <c r="BA217" i="1"/>
  <c r="AZ217" i="1"/>
  <c r="AY217" i="1"/>
  <c r="AX217" i="1"/>
  <c r="AW217" i="1"/>
  <c r="S217" i="1"/>
  <c r="R217" i="1"/>
  <c r="Q217" i="1"/>
  <c r="P217" i="1"/>
  <c r="O217" i="1"/>
  <c r="N217" i="1"/>
  <c r="BB216" i="1"/>
  <c r="BA216" i="1"/>
  <c r="AZ216" i="1"/>
  <c r="AY216" i="1"/>
  <c r="AX216" i="1"/>
  <c r="AW216" i="1"/>
  <c r="S216" i="1"/>
  <c r="R216" i="1"/>
  <c r="Q216" i="1"/>
  <c r="P216" i="1"/>
  <c r="O216" i="1"/>
  <c r="N216" i="1"/>
  <c r="BB215" i="1"/>
  <c r="BA215" i="1"/>
  <c r="AZ215" i="1"/>
  <c r="AY215" i="1"/>
  <c r="AX215" i="1"/>
  <c r="AW215" i="1"/>
  <c r="S215" i="1"/>
  <c r="R215" i="1"/>
  <c r="Q215" i="1"/>
  <c r="P215" i="1"/>
  <c r="O215" i="1"/>
  <c r="N215" i="1"/>
  <c r="BB214" i="1"/>
  <c r="BA214" i="1"/>
  <c r="AZ214" i="1"/>
  <c r="AY214" i="1"/>
  <c r="AX214" i="1"/>
  <c r="AW214" i="1"/>
  <c r="S214" i="1"/>
  <c r="R214" i="1"/>
  <c r="Q214" i="1"/>
  <c r="P214" i="1"/>
  <c r="O214" i="1"/>
  <c r="N214" i="1"/>
  <c r="BB213" i="1"/>
  <c r="BA213" i="1"/>
  <c r="AZ213" i="1"/>
  <c r="AY213" i="1"/>
  <c r="AX213" i="1"/>
  <c r="AW213" i="1"/>
  <c r="S213" i="1"/>
  <c r="R213" i="1"/>
  <c r="Q213" i="1"/>
  <c r="P213" i="1"/>
  <c r="O213" i="1"/>
  <c r="N213" i="1"/>
  <c r="BB212" i="1"/>
  <c r="BA212" i="1"/>
  <c r="AZ212" i="1"/>
  <c r="AY212" i="1"/>
  <c r="AX212" i="1"/>
  <c r="AW212" i="1"/>
  <c r="S212" i="1"/>
  <c r="R212" i="1"/>
  <c r="Q212" i="1"/>
  <c r="P212" i="1"/>
  <c r="O212" i="1"/>
  <c r="N212" i="1"/>
  <c r="BB211" i="1"/>
  <c r="BA211" i="1"/>
  <c r="AZ211" i="1"/>
  <c r="AY211" i="1"/>
  <c r="AX211" i="1"/>
  <c r="AW211" i="1"/>
  <c r="S211" i="1"/>
  <c r="R211" i="1"/>
  <c r="Q211" i="1"/>
  <c r="P211" i="1"/>
  <c r="O211" i="1"/>
  <c r="N211" i="1"/>
  <c r="BB210" i="1"/>
  <c r="BA210" i="1"/>
  <c r="AZ210" i="1"/>
  <c r="AY210" i="1"/>
  <c r="AX210" i="1"/>
  <c r="AW210" i="1"/>
  <c r="S210" i="1"/>
  <c r="R210" i="1"/>
  <c r="Q210" i="1"/>
  <c r="P210" i="1"/>
  <c r="O210" i="1"/>
  <c r="N210" i="1"/>
  <c r="BB209" i="1"/>
  <c r="BA209" i="1"/>
  <c r="AZ209" i="1"/>
  <c r="AY209" i="1"/>
  <c r="AX209" i="1"/>
  <c r="AW209" i="1"/>
  <c r="S209" i="1"/>
  <c r="R209" i="1"/>
  <c r="Q209" i="1"/>
  <c r="P209" i="1"/>
  <c r="O209" i="1"/>
  <c r="N209" i="1"/>
  <c r="BB208" i="1"/>
  <c r="BA208" i="1"/>
  <c r="AZ208" i="1"/>
  <c r="AY208" i="1"/>
  <c r="AX208" i="1"/>
  <c r="AW208" i="1"/>
  <c r="S208" i="1"/>
  <c r="R208" i="1"/>
  <c r="Q208" i="1"/>
  <c r="P208" i="1"/>
  <c r="O208" i="1"/>
  <c r="N208" i="1"/>
  <c r="BB207" i="1"/>
  <c r="BA207" i="1"/>
  <c r="AZ207" i="1"/>
  <c r="AY207" i="1"/>
  <c r="AX207" i="1"/>
  <c r="AW207" i="1"/>
  <c r="S207" i="1"/>
  <c r="R207" i="1"/>
  <c r="Q207" i="1"/>
  <c r="P207" i="1"/>
  <c r="O207" i="1"/>
  <c r="N207" i="1"/>
  <c r="BB206" i="1"/>
  <c r="BA206" i="1"/>
  <c r="AZ206" i="1"/>
  <c r="AY206" i="1"/>
  <c r="AX206" i="1"/>
  <c r="AW206" i="1"/>
  <c r="S206" i="1"/>
  <c r="R206" i="1"/>
  <c r="Q206" i="1"/>
  <c r="P206" i="1"/>
  <c r="O206" i="1"/>
  <c r="N206" i="1"/>
  <c r="BB205" i="1"/>
  <c r="BA205" i="1"/>
  <c r="AZ205" i="1"/>
  <c r="AY205" i="1"/>
  <c r="AX205" i="1"/>
  <c r="AW205" i="1"/>
  <c r="S205" i="1"/>
  <c r="R205" i="1"/>
  <c r="Q205" i="1"/>
  <c r="P205" i="1"/>
  <c r="O205" i="1"/>
  <c r="N205" i="1"/>
  <c r="BB204" i="1"/>
  <c r="BA204" i="1"/>
  <c r="AZ204" i="1"/>
  <c r="AY204" i="1"/>
  <c r="AX204" i="1"/>
  <c r="AW204" i="1"/>
  <c r="S204" i="1"/>
  <c r="R204" i="1"/>
  <c r="Q204" i="1"/>
  <c r="P204" i="1"/>
  <c r="O204" i="1"/>
  <c r="N204" i="1"/>
  <c r="BB203" i="1"/>
  <c r="BA203" i="1"/>
  <c r="AZ203" i="1"/>
  <c r="AY203" i="1"/>
  <c r="AX203" i="1"/>
  <c r="AW203" i="1"/>
  <c r="S203" i="1"/>
  <c r="R203" i="1"/>
  <c r="Q203" i="1"/>
  <c r="P203" i="1"/>
  <c r="O203" i="1"/>
  <c r="N203" i="1"/>
  <c r="BB202" i="1"/>
  <c r="BA202" i="1"/>
  <c r="AZ202" i="1"/>
  <c r="AY202" i="1"/>
  <c r="AX202" i="1"/>
  <c r="AW202" i="1"/>
  <c r="S202" i="1"/>
  <c r="R202" i="1"/>
  <c r="Q202" i="1"/>
  <c r="P202" i="1"/>
  <c r="O202" i="1"/>
  <c r="N202" i="1"/>
  <c r="BB201" i="1"/>
  <c r="BA201" i="1"/>
  <c r="AZ201" i="1"/>
  <c r="AY201" i="1"/>
  <c r="AX201" i="1"/>
  <c r="AW201" i="1"/>
  <c r="S201" i="1"/>
  <c r="R201" i="1"/>
  <c r="Q201" i="1"/>
  <c r="P201" i="1"/>
  <c r="O201" i="1"/>
  <c r="N201" i="1"/>
  <c r="BB200" i="1"/>
  <c r="BA200" i="1"/>
  <c r="AZ200" i="1"/>
  <c r="AY200" i="1"/>
  <c r="AX200" i="1"/>
  <c r="AW200" i="1"/>
  <c r="S200" i="1"/>
  <c r="R200" i="1"/>
  <c r="Q200" i="1"/>
  <c r="P200" i="1"/>
  <c r="O200" i="1"/>
  <c r="N200" i="1"/>
  <c r="BB199" i="1"/>
  <c r="BA199" i="1"/>
  <c r="AZ199" i="1"/>
  <c r="AY199" i="1"/>
  <c r="AX199" i="1"/>
  <c r="AW199" i="1"/>
  <c r="S199" i="1"/>
  <c r="R199" i="1"/>
  <c r="Q199" i="1"/>
  <c r="P199" i="1"/>
  <c r="O199" i="1"/>
  <c r="N199" i="1"/>
  <c r="BB198" i="1"/>
  <c r="BA198" i="1"/>
  <c r="AZ198" i="1"/>
  <c r="AY198" i="1"/>
  <c r="AX198" i="1"/>
  <c r="AW198" i="1"/>
  <c r="S198" i="1"/>
  <c r="R198" i="1"/>
  <c r="Q198" i="1"/>
  <c r="P198" i="1"/>
  <c r="O198" i="1"/>
  <c r="N198" i="1"/>
  <c r="BB197" i="1"/>
  <c r="BA197" i="1"/>
  <c r="AZ197" i="1"/>
  <c r="AY197" i="1"/>
  <c r="AX197" i="1"/>
  <c r="AW197" i="1"/>
  <c r="S197" i="1"/>
  <c r="R197" i="1"/>
  <c r="Q197" i="1"/>
  <c r="P197" i="1"/>
  <c r="O197" i="1"/>
  <c r="N197" i="1"/>
  <c r="BB196" i="1"/>
  <c r="BA196" i="1"/>
  <c r="AZ196" i="1"/>
  <c r="AY196" i="1"/>
  <c r="AX196" i="1"/>
  <c r="AW196" i="1"/>
  <c r="S196" i="1"/>
  <c r="R196" i="1"/>
  <c r="Q196" i="1"/>
  <c r="P196" i="1"/>
  <c r="O196" i="1"/>
  <c r="N196" i="1"/>
  <c r="BB195" i="1"/>
  <c r="BA195" i="1"/>
  <c r="AZ195" i="1"/>
  <c r="AY195" i="1"/>
  <c r="AX195" i="1"/>
  <c r="AW195" i="1"/>
  <c r="S195" i="1"/>
  <c r="R195" i="1"/>
  <c r="Q195" i="1"/>
  <c r="P195" i="1"/>
  <c r="O195" i="1"/>
  <c r="N195" i="1"/>
  <c r="BB194" i="1"/>
  <c r="BA194" i="1"/>
  <c r="AZ194" i="1"/>
  <c r="AY194" i="1"/>
  <c r="AX194" i="1"/>
  <c r="AW194" i="1"/>
  <c r="S194" i="1"/>
  <c r="R194" i="1"/>
  <c r="Q194" i="1"/>
  <c r="P194" i="1"/>
  <c r="O194" i="1"/>
  <c r="N194" i="1"/>
  <c r="BB193" i="1"/>
  <c r="BA193" i="1"/>
  <c r="AZ193" i="1"/>
  <c r="AY193" i="1"/>
  <c r="AX193" i="1"/>
  <c r="AW193" i="1"/>
  <c r="S193" i="1"/>
  <c r="R193" i="1"/>
  <c r="Q193" i="1"/>
  <c r="P193" i="1"/>
  <c r="O193" i="1"/>
  <c r="N193" i="1"/>
  <c r="BB192" i="1"/>
  <c r="BA192" i="1"/>
  <c r="AZ192" i="1"/>
  <c r="AY192" i="1"/>
  <c r="AX192" i="1"/>
  <c r="AW192" i="1"/>
  <c r="S192" i="1"/>
  <c r="R192" i="1"/>
  <c r="Q192" i="1"/>
  <c r="P192" i="1"/>
  <c r="O192" i="1"/>
  <c r="N192" i="1"/>
  <c r="BB191" i="1"/>
  <c r="BA191" i="1"/>
  <c r="AZ191" i="1"/>
  <c r="AY191" i="1"/>
  <c r="AX191" i="1"/>
  <c r="AW191" i="1"/>
  <c r="S191" i="1"/>
  <c r="R191" i="1"/>
  <c r="Q191" i="1"/>
  <c r="P191" i="1"/>
  <c r="O191" i="1"/>
  <c r="N191" i="1"/>
  <c r="BB190" i="1"/>
  <c r="BA190" i="1"/>
  <c r="AZ190" i="1"/>
  <c r="AY190" i="1"/>
  <c r="AX190" i="1"/>
  <c r="AW190" i="1"/>
  <c r="S190" i="1"/>
  <c r="R190" i="1"/>
  <c r="Q190" i="1"/>
  <c r="P190" i="1"/>
  <c r="O190" i="1"/>
  <c r="N190" i="1"/>
  <c r="BB189" i="1"/>
  <c r="BA189" i="1"/>
  <c r="AZ189" i="1"/>
  <c r="AY189" i="1"/>
  <c r="AX189" i="1"/>
  <c r="AW189" i="1"/>
  <c r="S189" i="1"/>
  <c r="R189" i="1"/>
  <c r="Q189" i="1"/>
  <c r="P189" i="1"/>
  <c r="O189" i="1"/>
  <c r="N189" i="1"/>
  <c r="BB188" i="1"/>
  <c r="BA188" i="1"/>
  <c r="AZ188" i="1"/>
  <c r="AY188" i="1"/>
  <c r="AX188" i="1"/>
  <c r="AW188" i="1"/>
  <c r="S188" i="1"/>
  <c r="R188" i="1"/>
  <c r="Q188" i="1"/>
  <c r="P188" i="1"/>
  <c r="O188" i="1"/>
  <c r="N188" i="1"/>
  <c r="BB187" i="1"/>
  <c r="BA187" i="1"/>
  <c r="AZ187" i="1"/>
  <c r="AY187" i="1"/>
  <c r="AX187" i="1"/>
  <c r="AW187" i="1"/>
  <c r="S187" i="1"/>
  <c r="R187" i="1"/>
  <c r="Q187" i="1"/>
  <c r="P187" i="1"/>
  <c r="O187" i="1"/>
  <c r="N187" i="1"/>
  <c r="BB186" i="1"/>
  <c r="BA186" i="1"/>
  <c r="AZ186" i="1"/>
  <c r="AY186" i="1"/>
  <c r="AX186" i="1"/>
  <c r="AW186" i="1"/>
  <c r="S186" i="1"/>
  <c r="R186" i="1"/>
  <c r="Q186" i="1"/>
  <c r="P186" i="1"/>
  <c r="O186" i="1"/>
  <c r="N186" i="1"/>
  <c r="BB185" i="1"/>
  <c r="BA185" i="1"/>
  <c r="AZ185" i="1"/>
  <c r="AY185" i="1"/>
  <c r="AX185" i="1"/>
  <c r="AW185" i="1"/>
  <c r="S185" i="1"/>
  <c r="R185" i="1"/>
  <c r="Q185" i="1"/>
  <c r="P185" i="1"/>
  <c r="O185" i="1"/>
  <c r="N185" i="1"/>
  <c r="BB184" i="1"/>
  <c r="BA184" i="1"/>
  <c r="AZ184" i="1"/>
  <c r="AY184" i="1"/>
  <c r="AX184" i="1"/>
  <c r="AW184" i="1"/>
  <c r="S184" i="1"/>
  <c r="R184" i="1"/>
  <c r="Q184" i="1"/>
  <c r="P184" i="1"/>
  <c r="O184" i="1"/>
  <c r="N184" i="1"/>
  <c r="BB183" i="1"/>
  <c r="BA183" i="1"/>
  <c r="AZ183" i="1"/>
  <c r="AY183" i="1"/>
  <c r="AX183" i="1"/>
  <c r="AW183" i="1"/>
  <c r="S183" i="1"/>
  <c r="R183" i="1"/>
  <c r="Q183" i="1"/>
  <c r="P183" i="1"/>
  <c r="O183" i="1"/>
  <c r="N183" i="1"/>
  <c r="BB182" i="1"/>
  <c r="BA182" i="1"/>
  <c r="AZ182" i="1"/>
  <c r="AY182" i="1"/>
  <c r="AX182" i="1"/>
  <c r="AW182" i="1"/>
  <c r="S182" i="1"/>
  <c r="R182" i="1"/>
  <c r="Q182" i="1"/>
  <c r="P182" i="1"/>
  <c r="O182" i="1"/>
  <c r="N182" i="1"/>
  <c r="BB181" i="1"/>
  <c r="BA181" i="1"/>
  <c r="AZ181" i="1"/>
  <c r="AY181" i="1"/>
  <c r="AX181" i="1"/>
  <c r="AW181" i="1"/>
  <c r="S181" i="1"/>
  <c r="R181" i="1"/>
  <c r="Q181" i="1"/>
  <c r="P181" i="1"/>
  <c r="O181" i="1"/>
  <c r="N181" i="1"/>
  <c r="BB180" i="1"/>
  <c r="BA180" i="1"/>
  <c r="AZ180" i="1"/>
  <c r="AY180" i="1"/>
  <c r="AX180" i="1"/>
  <c r="AW180" i="1"/>
  <c r="S180" i="1"/>
  <c r="R180" i="1"/>
  <c r="Q180" i="1"/>
  <c r="P180" i="1"/>
  <c r="O180" i="1"/>
  <c r="N180" i="1"/>
  <c r="BB179" i="1"/>
  <c r="BA179" i="1"/>
  <c r="AZ179" i="1"/>
  <c r="AY179" i="1"/>
  <c r="AX179" i="1"/>
  <c r="AW179" i="1"/>
  <c r="S179" i="1"/>
  <c r="R179" i="1"/>
  <c r="Q179" i="1"/>
  <c r="P179" i="1"/>
  <c r="O179" i="1"/>
  <c r="N179" i="1"/>
  <c r="BB178" i="1"/>
  <c r="BA178" i="1"/>
  <c r="AZ178" i="1"/>
  <c r="AY178" i="1"/>
  <c r="AX178" i="1"/>
  <c r="AW178" i="1"/>
  <c r="S178" i="1"/>
  <c r="R178" i="1"/>
  <c r="Q178" i="1"/>
  <c r="P178" i="1"/>
  <c r="O178" i="1"/>
  <c r="N178" i="1"/>
  <c r="BB177" i="1"/>
  <c r="BA177" i="1"/>
  <c r="AZ177" i="1"/>
  <c r="AY177" i="1"/>
  <c r="AX177" i="1"/>
  <c r="AW177" i="1"/>
  <c r="S177" i="1"/>
  <c r="R177" i="1"/>
  <c r="Q177" i="1"/>
  <c r="P177" i="1"/>
  <c r="O177" i="1"/>
  <c r="N177" i="1"/>
  <c r="BB176" i="1"/>
  <c r="BA176" i="1"/>
  <c r="AZ176" i="1"/>
  <c r="AY176" i="1"/>
  <c r="AX176" i="1"/>
  <c r="AW176" i="1"/>
  <c r="S176" i="1"/>
  <c r="R176" i="1"/>
  <c r="Q176" i="1"/>
  <c r="P176" i="1"/>
  <c r="O176" i="1"/>
  <c r="N176" i="1"/>
  <c r="BB175" i="1"/>
  <c r="BA175" i="1"/>
  <c r="AZ175" i="1"/>
  <c r="AY175" i="1"/>
  <c r="AX175" i="1"/>
  <c r="AW175" i="1"/>
  <c r="S175" i="1"/>
  <c r="R175" i="1"/>
  <c r="Q175" i="1"/>
  <c r="P175" i="1"/>
  <c r="O175" i="1"/>
  <c r="N175" i="1"/>
  <c r="BB174" i="1"/>
  <c r="BA174" i="1"/>
  <c r="AZ174" i="1"/>
  <c r="AY174" i="1"/>
  <c r="AX174" i="1"/>
  <c r="AW174" i="1"/>
  <c r="S174" i="1"/>
  <c r="R174" i="1"/>
  <c r="Q174" i="1"/>
  <c r="P174" i="1"/>
  <c r="O174" i="1"/>
  <c r="N174" i="1"/>
  <c r="BB173" i="1"/>
  <c r="BA173" i="1"/>
  <c r="AZ173" i="1"/>
  <c r="AY173" i="1"/>
  <c r="AX173" i="1"/>
  <c r="AW173" i="1"/>
  <c r="S173" i="1"/>
  <c r="R173" i="1"/>
  <c r="Q173" i="1"/>
  <c r="P173" i="1"/>
  <c r="O173" i="1"/>
  <c r="N173" i="1"/>
  <c r="BB172" i="1"/>
  <c r="BA172" i="1"/>
  <c r="AZ172" i="1"/>
  <c r="AY172" i="1"/>
  <c r="AX172" i="1"/>
  <c r="AW172" i="1"/>
  <c r="S172" i="1"/>
  <c r="R172" i="1"/>
  <c r="Q172" i="1"/>
  <c r="P172" i="1"/>
  <c r="O172" i="1"/>
  <c r="N172" i="1"/>
  <c r="BB171" i="1"/>
  <c r="BA171" i="1"/>
  <c r="AZ171" i="1"/>
  <c r="AY171" i="1"/>
  <c r="AX171" i="1"/>
  <c r="AW171" i="1"/>
  <c r="S171" i="1"/>
  <c r="R171" i="1"/>
  <c r="Q171" i="1"/>
  <c r="P171" i="1"/>
  <c r="O171" i="1"/>
  <c r="N171" i="1"/>
  <c r="BB170" i="1"/>
  <c r="BA170" i="1"/>
  <c r="AZ170" i="1"/>
  <c r="AY170" i="1"/>
  <c r="AX170" i="1"/>
  <c r="AW170" i="1"/>
  <c r="S170" i="1"/>
  <c r="R170" i="1"/>
  <c r="Q170" i="1"/>
  <c r="P170" i="1"/>
  <c r="O170" i="1"/>
  <c r="N170" i="1"/>
  <c r="BB169" i="1"/>
  <c r="BA169" i="1"/>
  <c r="AZ169" i="1"/>
  <c r="AY169" i="1"/>
  <c r="AX169" i="1"/>
  <c r="AW169" i="1"/>
  <c r="S169" i="1"/>
  <c r="R169" i="1"/>
  <c r="Q169" i="1"/>
  <c r="P169" i="1"/>
  <c r="O169" i="1"/>
  <c r="N169" i="1"/>
  <c r="BB168" i="1"/>
  <c r="BA168" i="1"/>
  <c r="AZ168" i="1"/>
  <c r="AY168" i="1"/>
  <c r="AX168" i="1"/>
  <c r="AW168" i="1"/>
  <c r="S168" i="1"/>
  <c r="R168" i="1"/>
  <c r="Q168" i="1"/>
  <c r="P168" i="1"/>
  <c r="O168" i="1"/>
  <c r="N168" i="1"/>
  <c r="BB167" i="1"/>
  <c r="BA167" i="1"/>
  <c r="AZ167" i="1"/>
  <c r="AY167" i="1"/>
  <c r="AX167" i="1"/>
  <c r="AW167" i="1"/>
  <c r="S167" i="1"/>
  <c r="R167" i="1"/>
  <c r="Q167" i="1"/>
  <c r="P167" i="1"/>
  <c r="O167" i="1"/>
  <c r="N167" i="1"/>
  <c r="BB166" i="1"/>
  <c r="BA166" i="1"/>
  <c r="AZ166" i="1"/>
  <c r="AY166" i="1"/>
  <c r="AX166" i="1"/>
  <c r="AW166" i="1"/>
  <c r="S166" i="1"/>
  <c r="R166" i="1"/>
  <c r="Q166" i="1"/>
  <c r="P166" i="1"/>
  <c r="O166" i="1"/>
  <c r="N166" i="1"/>
  <c r="BB165" i="1"/>
  <c r="BA165" i="1"/>
  <c r="AZ165" i="1"/>
  <c r="AY165" i="1"/>
  <c r="AX165" i="1"/>
  <c r="AW165" i="1"/>
  <c r="S165" i="1"/>
  <c r="R165" i="1"/>
  <c r="Q165" i="1"/>
  <c r="P165" i="1"/>
  <c r="O165" i="1"/>
  <c r="N165" i="1"/>
  <c r="BB164" i="1"/>
  <c r="BA164" i="1"/>
  <c r="AZ164" i="1"/>
  <c r="AY164" i="1"/>
  <c r="AX164" i="1"/>
  <c r="AW164" i="1"/>
  <c r="S164" i="1"/>
  <c r="R164" i="1"/>
  <c r="Q164" i="1"/>
  <c r="P164" i="1"/>
  <c r="O164" i="1"/>
  <c r="N164" i="1"/>
  <c r="BB163" i="1"/>
  <c r="BA163" i="1"/>
  <c r="AZ163" i="1"/>
  <c r="AY163" i="1"/>
  <c r="AX163" i="1"/>
  <c r="AW163" i="1"/>
  <c r="S163" i="1"/>
  <c r="R163" i="1"/>
  <c r="Q163" i="1"/>
  <c r="P163" i="1"/>
  <c r="O163" i="1"/>
  <c r="N163" i="1"/>
  <c r="BB162" i="1"/>
  <c r="BA162" i="1"/>
  <c r="AZ162" i="1"/>
  <c r="AY162" i="1"/>
  <c r="AX162" i="1"/>
  <c r="AW162" i="1"/>
  <c r="S162" i="1"/>
  <c r="R162" i="1"/>
  <c r="Q162" i="1"/>
  <c r="P162" i="1"/>
  <c r="O162" i="1"/>
  <c r="N162" i="1"/>
  <c r="BB161" i="1"/>
  <c r="BA161" i="1"/>
  <c r="AZ161" i="1"/>
  <c r="AY161" i="1"/>
  <c r="AX161" i="1"/>
  <c r="AW161" i="1"/>
  <c r="S161" i="1"/>
  <c r="R161" i="1"/>
  <c r="Q161" i="1"/>
  <c r="P161" i="1"/>
  <c r="O161" i="1"/>
  <c r="N161" i="1"/>
  <c r="BB160" i="1"/>
  <c r="BA160" i="1"/>
  <c r="AZ160" i="1"/>
  <c r="AY160" i="1"/>
  <c r="AX160" i="1"/>
  <c r="AW160" i="1"/>
  <c r="S160" i="1"/>
  <c r="R160" i="1"/>
  <c r="Q160" i="1"/>
  <c r="P160" i="1"/>
  <c r="O160" i="1"/>
  <c r="N160" i="1"/>
  <c r="BB159" i="1"/>
  <c r="BA159" i="1"/>
  <c r="AZ159" i="1"/>
  <c r="AY159" i="1"/>
  <c r="AX159" i="1"/>
  <c r="AW159" i="1"/>
  <c r="S159" i="1"/>
  <c r="R159" i="1"/>
  <c r="Q159" i="1"/>
  <c r="P159" i="1"/>
  <c r="O159" i="1"/>
  <c r="N159" i="1"/>
  <c r="BB158" i="1"/>
  <c r="BA158" i="1"/>
  <c r="AZ158" i="1"/>
  <c r="AY158" i="1"/>
  <c r="AX158" i="1"/>
  <c r="AW158" i="1"/>
  <c r="S158" i="1"/>
  <c r="R158" i="1"/>
  <c r="Q158" i="1"/>
  <c r="P158" i="1"/>
  <c r="O158" i="1"/>
  <c r="N158" i="1"/>
  <c r="BB157" i="1"/>
  <c r="BA157" i="1"/>
  <c r="AZ157" i="1"/>
  <c r="AY157" i="1"/>
  <c r="AX157" i="1"/>
  <c r="AW157" i="1"/>
  <c r="S157" i="1"/>
  <c r="R157" i="1"/>
  <c r="Q157" i="1"/>
  <c r="P157" i="1"/>
  <c r="O157" i="1"/>
  <c r="N157" i="1"/>
  <c r="BB156" i="1"/>
  <c r="BA156" i="1"/>
  <c r="AZ156" i="1"/>
  <c r="AY156" i="1"/>
  <c r="AX156" i="1"/>
  <c r="AW156" i="1"/>
  <c r="S156" i="1"/>
  <c r="R156" i="1"/>
  <c r="Q156" i="1"/>
  <c r="P156" i="1"/>
  <c r="O156" i="1"/>
  <c r="N156" i="1"/>
  <c r="BB155" i="1"/>
  <c r="BA155" i="1"/>
  <c r="AZ155" i="1"/>
  <c r="AY155" i="1"/>
  <c r="AX155" i="1"/>
  <c r="AW155" i="1"/>
  <c r="S155" i="1"/>
  <c r="R155" i="1"/>
  <c r="Q155" i="1"/>
  <c r="P155" i="1"/>
  <c r="O155" i="1"/>
  <c r="N155" i="1"/>
  <c r="BB154" i="1"/>
  <c r="BA154" i="1"/>
  <c r="AZ154" i="1"/>
  <c r="AY154" i="1"/>
  <c r="AX154" i="1"/>
  <c r="AW154" i="1"/>
  <c r="S154" i="1"/>
  <c r="R154" i="1"/>
  <c r="Q154" i="1"/>
  <c r="P154" i="1"/>
  <c r="O154" i="1"/>
  <c r="N154" i="1"/>
  <c r="BB153" i="1"/>
  <c r="BA153" i="1"/>
  <c r="AZ153" i="1"/>
  <c r="AY153" i="1"/>
  <c r="AX153" i="1"/>
  <c r="AW153" i="1"/>
  <c r="S153" i="1"/>
  <c r="R153" i="1"/>
  <c r="Q153" i="1"/>
  <c r="P153" i="1"/>
  <c r="O153" i="1"/>
  <c r="N153" i="1"/>
  <c r="BB152" i="1"/>
  <c r="BA152" i="1"/>
  <c r="AZ152" i="1"/>
  <c r="AY152" i="1"/>
  <c r="AX152" i="1"/>
  <c r="AW152" i="1"/>
  <c r="S152" i="1"/>
  <c r="R152" i="1"/>
  <c r="Q152" i="1"/>
  <c r="P152" i="1"/>
  <c r="O152" i="1"/>
  <c r="N152" i="1"/>
  <c r="BB151" i="1"/>
  <c r="BA151" i="1"/>
  <c r="AZ151" i="1"/>
  <c r="AY151" i="1"/>
  <c r="AX151" i="1"/>
  <c r="AW151" i="1"/>
  <c r="S151" i="1"/>
  <c r="R151" i="1"/>
  <c r="Q151" i="1"/>
  <c r="P151" i="1"/>
  <c r="O151" i="1"/>
  <c r="N151" i="1"/>
  <c r="BB150" i="1"/>
  <c r="BA150" i="1"/>
  <c r="AZ150" i="1"/>
  <c r="AY150" i="1"/>
  <c r="AX150" i="1"/>
  <c r="AW150" i="1"/>
  <c r="S150" i="1"/>
  <c r="R150" i="1"/>
  <c r="Q150" i="1"/>
  <c r="P150" i="1"/>
  <c r="O150" i="1"/>
  <c r="N150" i="1"/>
  <c r="BB149" i="1"/>
  <c r="BA149" i="1"/>
  <c r="AZ149" i="1"/>
  <c r="AY149" i="1"/>
  <c r="AX149" i="1"/>
  <c r="AW149" i="1"/>
  <c r="S149" i="1"/>
  <c r="R149" i="1"/>
  <c r="Q149" i="1"/>
  <c r="P149" i="1"/>
  <c r="O149" i="1"/>
  <c r="N149" i="1"/>
  <c r="BB148" i="1"/>
  <c r="BA148" i="1"/>
  <c r="AZ148" i="1"/>
  <c r="AY148" i="1"/>
  <c r="AX148" i="1"/>
  <c r="AW148" i="1"/>
  <c r="S148" i="1"/>
  <c r="R148" i="1"/>
  <c r="Q148" i="1"/>
  <c r="P148" i="1"/>
  <c r="O148" i="1"/>
  <c r="N148" i="1"/>
  <c r="BB147" i="1"/>
  <c r="BA147" i="1"/>
  <c r="AZ147" i="1"/>
  <c r="AY147" i="1"/>
  <c r="AX147" i="1"/>
  <c r="AW147" i="1"/>
  <c r="S147" i="1"/>
  <c r="R147" i="1"/>
  <c r="Q147" i="1"/>
  <c r="P147" i="1"/>
  <c r="O147" i="1"/>
  <c r="N147" i="1"/>
  <c r="BB146" i="1"/>
  <c r="BA146" i="1"/>
  <c r="AZ146" i="1"/>
  <c r="AY146" i="1"/>
  <c r="AX146" i="1"/>
  <c r="AW146" i="1"/>
  <c r="S146" i="1"/>
  <c r="R146" i="1"/>
  <c r="Q146" i="1"/>
  <c r="P146" i="1"/>
  <c r="O146" i="1"/>
  <c r="N146" i="1"/>
  <c r="BB145" i="1"/>
  <c r="BA145" i="1"/>
  <c r="AZ145" i="1"/>
  <c r="AY145" i="1"/>
  <c r="AX145" i="1"/>
  <c r="AW145" i="1"/>
  <c r="S145" i="1"/>
  <c r="R145" i="1"/>
  <c r="Q145" i="1"/>
  <c r="P145" i="1"/>
  <c r="O145" i="1"/>
  <c r="N145" i="1"/>
  <c r="BB144" i="1"/>
  <c r="BA144" i="1"/>
  <c r="AZ144" i="1"/>
  <c r="AY144" i="1"/>
  <c r="AX144" i="1"/>
  <c r="AW144" i="1"/>
  <c r="S144" i="1"/>
  <c r="R144" i="1"/>
  <c r="Q144" i="1"/>
  <c r="P144" i="1"/>
  <c r="O144" i="1"/>
  <c r="N144" i="1"/>
  <c r="BB143" i="1"/>
  <c r="BA143" i="1"/>
  <c r="AZ143" i="1"/>
  <c r="AY143" i="1"/>
  <c r="AX143" i="1"/>
  <c r="AW143" i="1"/>
  <c r="S143" i="1"/>
  <c r="R143" i="1"/>
  <c r="Q143" i="1"/>
  <c r="P143" i="1"/>
  <c r="O143" i="1"/>
  <c r="N143" i="1"/>
  <c r="BB142" i="1"/>
  <c r="BA142" i="1"/>
  <c r="AZ142" i="1"/>
  <c r="AY142" i="1"/>
  <c r="AX142" i="1"/>
  <c r="AW142" i="1"/>
  <c r="S142" i="1"/>
  <c r="R142" i="1"/>
  <c r="Q142" i="1"/>
  <c r="P142" i="1"/>
  <c r="O142" i="1"/>
  <c r="N142" i="1"/>
  <c r="BB141" i="1"/>
  <c r="BA141" i="1"/>
  <c r="AZ141" i="1"/>
  <c r="AY141" i="1"/>
  <c r="AX141" i="1"/>
  <c r="AW141" i="1"/>
  <c r="S141" i="1"/>
  <c r="R141" i="1"/>
  <c r="Q141" i="1"/>
  <c r="P141" i="1"/>
  <c r="O141" i="1"/>
  <c r="N141" i="1"/>
  <c r="BB140" i="1"/>
  <c r="BA140" i="1"/>
  <c r="AZ140" i="1"/>
  <c r="AY140" i="1"/>
  <c r="AX140" i="1"/>
  <c r="AW140" i="1"/>
  <c r="S140" i="1"/>
  <c r="R140" i="1"/>
  <c r="Q140" i="1"/>
  <c r="P140" i="1"/>
  <c r="O140" i="1"/>
  <c r="N140" i="1"/>
  <c r="BB139" i="1"/>
  <c r="BA139" i="1"/>
  <c r="AZ139" i="1"/>
  <c r="AY139" i="1"/>
  <c r="AX139" i="1"/>
  <c r="AW139" i="1"/>
  <c r="S139" i="1"/>
  <c r="R139" i="1"/>
  <c r="Q139" i="1"/>
  <c r="P139" i="1"/>
  <c r="O139" i="1"/>
  <c r="N139" i="1"/>
  <c r="BB138" i="1"/>
  <c r="BA138" i="1"/>
  <c r="AZ138" i="1"/>
  <c r="AY138" i="1"/>
  <c r="AX138" i="1"/>
  <c r="AW138" i="1"/>
  <c r="S138" i="1"/>
  <c r="R138" i="1"/>
  <c r="Q138" i="1"/>
  <c r="P138" i="1"/>
  <c r="O138" i="1"/>
  <c r="N138" i="1"/>
  <c r="BB137" i="1"/>
  <c r="BA137" i="1"/>
  <c r="AZ137" i="1"/>
  <c r="AY137" i="1"/>
  <c r="AX137" i="1"/>
  <c r="AW137" i="1"/>
  <c r="S137" i="1"/>
  <c r="R137" i="1"/>
  <c r="Q137" i="1"/>
  <c r="P137" i="1"/>
  <c r="O137" i="1"/>
  <c r="N137" i="1"/>
  <c r="BB136" i="1"/>
  <c r="BA136" i="1"/>
  <c r="AZ136" i="1"/>
  <c r="AY136" i="1"/>
  <c r="AX136" i="1"/>
  <c r="AW136" i="1"/>
  <c r="S136" i="1"/>
  <c r="R136" i="1"/>
  <c r="Q136" i="1"/>
  <c r="P136" i="1"/>
  <c r="O136" i="1"/>
  <c r="N136" i="1"/>
  <c r="BB135" i="1"/>
  <c r="BA135" i="1"/>
  <c r="AZ135" i="1"/>
  <c r="AY135" i="1"/>
  <c r="AX135" i="1"/>
  <c r="AW135" i="1"/>
  <c r="S135" i="1"/>
  <c r="R135" i="1"/>
  <c r="Q135" i="1"/>
  <c r="P135" i="1"/>
  <c r="O135" i="1"/>
  <c r="N135" i="1"/>
  <c r="BB134" i="1"/>
  <c r="BA134" i="1"/>
  <c r="AZ134" i="1"/>
  <c r="AY134" i="1"/>
  <c r="AX134" i="1"/>
  <c r="AW134" i="1"/>
  <c r="S134" i="1"/>
  <c r="R134" i="1"/>
  <c r="Q134" i="1"/>
  <c r="P134" i="1"/>
  <c r="O134" i="1"/>
  <c r="N134" i="1"/>
  <c r="BB133" i="1"/>
  <c r="BA133" i="1"/>
  <c r="AZ133" i="1"/>
  <c r="AY133" i="1"/>
  <c r="AX133" i="1"/>
  <c r="AW133" i="1"/>
  <c r="S133" i="1"/>
  <c r="R133" i="1"/>
  <c r="Q133" i="1"/>
  <c r="P133" i="1"/>
  <c r="O133" i="1"/>
  <c r="N133" i="1"/>
  <c r="BB132" i="1"/>
  <c r="BA132" i="1"/>
  <c r="AZ132" i="1"/>
  <c r="AY132" i="1"/>
  <c r="AX132" i="1"/>
  <c r="AW132" i="1"/>
  <c r="S132" i="1"/>
  <c r="R132" i="1"/>
  <c r="Q132" i="1"/>
  <c r="P132" i="1"/>
  <c r="O132" i="1"/>
  <c r="N132" i="1"/>
  <c r="BB131" i="1"/>
  <c r="BA131" i="1"/>
  <c r="AZ131" i="1"/>
  <c r="AY131" i="1"/>
  <c r="AX131" i="1"/>
  <c r="AW131" i="1"/>
  <c r="S131" i="1"/>
  <c r="R131" i="1"/>
  <c r="Q131" i="1"/>
  <c r="P131" i="1"/>
  <c r="O131" i="1"/>
  <c r="N131" i="1"/>
  <c r="BB130" i="1"/>
  <c r="BA130" i="1"/>
  <c r="AZ130" i="1"/>
  <c r="AY130" i="1"/>
  <c r="AX130" i="1"/>
  <c r="AW130" i="1"/>
  <c r="S130" i="1"/>
  <c r="R130" i="1"/>
  <c r="Q130" i="1"/>
  <c r="P130" i="1"/>
  <c r="O130" i="1"/>
  <c r="N130" i="1"/>
  <c r="BB129" i="1"/>
  <c r="BA129" i="1"/>
  <c r="AZ129" i="1"/>
  <c r="AY129" i="1"/>
  <c r="AX129" i="1"/>
  <c r="AW129" i="1"/>
  <c r="S129" i="1"/>
  <c r="R129" i="1"/>
  <c r="Q129" i="1"/>
  <c r="P129" i="1"/>
  <c r="O129" i="1"/>
  <c r="N129" i="1"/>
  <c r="BB128" i="1"/>
  <c r="BA128" i="1"/>
  <c r="AZ128" i="1"/>
  <c r="AY128" i="1"/>
  <c r="AX128" i="1"/>
  <c r="AW128" i="1"/>
  <c r="S128" i="1"/>
  <c r="R128" i="1"/>
  <c r="Q128" i="1"/>
  <c r="P128" i="1"/>
  <c r="O128" i="1"/>
  <c r="N128" i="1"/>
  <c r="BB127" i="1"/>
  <c r="BA127" i="1"/>
  <c r="AZ127" i="1"/>
  <c r="AY127" i="1"/>
  <c r="AX127" i="1"/>
  <c r="AW127" i="1"/>
  <c r="S127" i="1"/>
  <c r="R127" i="1"/>
  <c r="Q127" i="1"/>
  <c r="P127" i="1"/>
  <c r="O127" i="1"/>
  <c r="N127" i="1"/>
  <c r="BB126" i="1"/>
  <c r="BA126" i="1"/>
  <c r="AZ126" i="1"/>
  <c r="AY126" i="1"/>
  <c r="AX126" i="1"/>
  <c r="AW126" i="1"/>
  <c r="S126" i="1"/>
  <c r="R126" i="1"/>
  <c r="Q126" i="1"/>
  <c r="P126" i="1"/>
  <c r="O126" i="1"/>
  <c r="N126" i="1"/>
  <c r="BB125" i="1"/>
  <c r="BA125" i="1"/>
  <c r="AZ125" i="1"/>
  <c r="AY125" i="1"/>
  <c r="AX125" i="1"/>
  <c r="AW125" i="1"/>
  <c r="S125" i="1"/>
  <c r="R125" i="1"/>
  <c r="Q125" i="1"/>
  <c r="P125" i="1"/>
  <c r="O125" i="1"/>
  <c r="N125" i="1"/>
  <c r="BB124" i="1"/>
  <c r="BA124" i="1"/>
  <c r="AZ124" i="1"/>
  <c r="AY124" i="1"/>
  <c r="AX124" i="1"/>
  <c r="AW124" i="1"/>
  <c r="S124" i="1"/>
  <c r="R124" i="1"/>
  <c r="Q124" i="1"/>
  <c r="P124" i="1"/>
  <c r="O124" i="1"/>
  <c r="N124" i="1"/>
  <c r="BB123" i="1"/>
  <c r="BA123" i="1"/>
  <c r="AZ123" i="1"/>
  <c r="AY123" i="1"/>
  <c r="AX123" i="1"/>
  <c r="AW123" i="1"/>
  <c r="S123" i="1"/>
  <c r="R123" i="1"/>
  <c r="Q123" i="1"/>
  <c r="P123" i="1"/>
  <c r="O123" i="1"/>
  <c r="N123" i="1"/>
  <c r="BB122" i="1"/>
  <c r="BA122" i="1"/>
  <c r="AZ122" i="1"/>
  <c r="AY122" i="1"/>
  <c r="AX122" i="1"/>
  <c r="AW122" i="1"/>
  <c r="S122" i="1"/>
  <c r="R122" i="1"/>
  <c r="Q122" i="1"/>
  <c r="P122" i="1"/>
  <c r="O122" i="1"/>
  <c r="N122" i="1"/>
  <c r="BB121" i="1"/>
  <c r="BA121" i="1"/>
  <c r="AZ121" i="1"/>
  <c r="AY121" i="1"/>
  <c r="AX121" i="1"/>
  <c r="AW121" i="1"/>
  <c r="S121" i="1"/>
  <c r="R121" i="1"/>
  <c r="Q121" i="1"/>
  <c r="P121" i="1"/>
  <c r="O121" i="1"/>
  <c r="N121" i="1"/>
  <c r="BB120" i="1"/>
  <c r="BA120" i="1"/>
  <c r="AZ120" i="1"/>
  <c r="AY120" i="1"/>
  <c r="AX120" i="1"/>
  <c r="AW120" i="1"/>
  <c r="S120" i="1"/>
  <c r="R120" i="1"/>
  <c r="Q120" i="1"/>
  <c r="P120" i="1"/>
  <c r="O120" i="1"/>
  <c r="N120" i="1"/>
  <c r="BB119" i="1"/>
  <c r="BA119" i="1"/>
  <c r="AZ119" i="1"/>
  <c r="AY119" i="1"/>
  <c r="AX119" i="1"/>
  <c r="AW119" i="1"/>
  <c r="S119" i="1"/>
  <c r="R119" i="1"/>
  <c r="Q119" i="1"/>
  <c r="P119" i="1"/>
  <c r="O119" i="1"/>
  <c r="N119" i="1"/>
  <c r="BB118" i="1"/>
  <c r="BA118" i="1"/>
  <c r="AZ118" i="1"/>
  <c r="AY118" i="1"/>
  <c r="AX118" i="1"/>
  <c r="AW118" i="1"/>
  <c r="S118" i="1"/>
  <c r="R118" i="1"/>
  <c r="Q118" i="1"/>
  <c r="P118" i="1"/>
  <c r="O118" i="1"/>
  <c r="N118" i="1"/>
  <c r="BB117" i="1"/>
  <c r="BA117" i="1"/>
  <c r="AZ117" i="1"/>
  <c r="AY117" i="1"/>
  <c r="AX117" i="1"/>
  <c r="AW117" i="1"/>
  <c r="S117" i="1"/>
  <c r="R117" i="1"/>
  <c r="Q117" i="1"/>
  <c r="P117" i="1"/>
  <c r="O117" i="1"/>
  <c r="N117" i="1"/>
  <c r="BB116" i="1"/>
  <c r="BA116" i="1"/>
  <c r="AZ116" i="1"/>
  <c r="AY116" i="1"/>
  <c r="AX116" i="1"/>
  <c r="AW116" i="1"/>
  <c r="S116" i="1"/>
  <c r="R116" i="1"/>
  <c r="Q116" i="1"/>
  <c r="P116" i="1"/>
  <c r="O116" i="1"/>
  <c r="N116" i="1"/>
  <c r="BB115" i="1"/>
  <c r="BA115" i="1"/>
  <c r="AZ115" i="1"/>
  <c r="AY115" i="1"/>
  <c r="AX115" i="1"/>
  <c r="AW115" i="1"/>
  <c r="S115" i="1"/>
  <c r="R115" i="1"/>
  <c r="Q115" i="1"/>
  <c r="P115" i="1"/>
  <c r="O115" i="1"/>
  <c r="N115" i="1"/>
  <c r="BB114" i="1"/>
  <c r="BA114" i="1"/>
  <c r="AZ114" i="1"/>
  <c r="AY114" i="1"/>
  <c r="AX114" i="1"/>
  <c r="AW114" i="1"/>
  <c r="S114" i="1"/>
  <c r="R114" i="1"/>
  <c r="Q114" i="1"/>
  <c r="P114" i="1"/>
  <c r="O114" i="1"/>
  <c r="N114" i="1"/>
  <c r="BB113" i="1"/>
  <c r="BA113" i="1"/>
  <c r="AZ113" i="1"/>
  <c r="AY113" i="1"/>
  <c r="AX113" i="1"/>
  <c r="AW113" i="1"/>
  <c r="S113" i="1"/>
  <c r="R113" i="1"/>
  <c r="Q113" i="1"/>
  <c r="P113" i="1"/>
  <c r="O113" i="1"/>
  <c r="N113" i="1"/>
  <c r="BB112" i="1"/>
  <c r="BA112" i="1"/>
  <c r="AZ112" i="1"/>
  <c r="AY112" i="1"/>
  <c r="AX112" i="1"/>
  <c r="AW112" i="1"/>
  <c r="S112" i="1"/>
  <c r="R112" i="1"/>
  <c r="Q112" i="1"/>
  <c r="P112" i="1"/>
  <c r="O112" i="1"/>
  <c r="N112" i="1"/>
  <c r="BB111" i="1"/>
  <c r="BA111" i="1"/>
  <c r="AZ111" i="1"/>
  <c r="AY111" i="1"/>
  <c r="AX111" i="1"/>
  <c r="AW111" i="1"/>
  <c r="S111" i="1"/>
  <c r="R111" i="1"/>
  <c r="Q111" i="1"/>
  <c r="P111" i="1"/>
  <c r="O111" i="1"/>
  <c r="N111" i="1"/>
  <c r="BB110" i="1"/>
  <c r="BA110" i="1"/>
  <c r="AZ110" i="1"/>
  <c r="AY110" i="1"/>
  <c r="AX110" i="1"/>
  <c r="AW110" i="1"/>
  <c r="S110" i="1"/>
  <c r="R110" i="1"/>
  <c r="Q110" i="1"/>
  <c r="P110" i="1"/>
  <c r="O110" i="1"/>
  <c r="N110" i="1"/>
  <c r="BB109" i="1"/>
  <c r="BA109" i="1"/>
  <c r="AZ109" i="1"/>
  <c r="AY109" i="1"/>
  <c r="AX109" i="1"/>
  <c r="AW109" i="1"/>
  <c r="S109" i="1"/>
  <c r="R109" i="1"/>
  <c r="Q109" i="1"/>
  <c r="P109" i="1"/>
  <c r="O109" i="1"/>
  <c r="N109" i="1"/>
  <c r="BB108" i="1"/>
  <c r="BA108" i="1"/>
  <c r="AZ108" i="1"/>
  <c r="AY108" i="1"/>
  <c r="AX108" i="1"/>
  <c r="AW108" i="1"/>
  <c r="S108" i="1"/>
  <c r="R108" i="1"/>
  <c r="Q108" i="1"/>
  <c r="P108" i="1"/>
  <c r="O108" i="1"/>
  <c r="N108" i="1"/>
  <c r="BB107" i="1"/>
  <c r="BA107" i="1"/>
  <c r="AZ107" i="1"/>
  <c r="AY107" i="1"/>
  <c r="AX107" i="1"/>
  <c r="AW107" i="1"/>
  <c r="S107" i="1"/>
  <c r="R107" i="1"/>
  <c r="Q107" i="1"/>
  <c r="P107" i="1"/>
  <c r="O107" i="1"/>
  <c r="N107" i="1"/>
  <c r="BB106" i="1"/>
  <c r="BA106" i="1"/>
  <c r="AZ106" i="1"/>
  <c r="AY106" i="1"/>
  <c r="AX106" i="1"/>
  <c r="AW106" i="1"/>
  <c r="S106" i="1"/>
  <c r="R106" i="1"/>
  <c r="Q106" i="1"/>
  <c r="P106" i="1"/>
  <c r="O106" i="1"/>
  <c r="N106" i="1"/>
  <c r="BB105" i="1"/>
  <c r="BA105" i="1"/>
  <c r="AZ105" i="1"/>
  <c r="AY105" i="1"/>
  <c r="AX105" i="1"/>
  <c r="AW105" i="1"/>
  <c r="S105" i="1"/>
  <c r="R105" i="1"/>
  <c r="Q105" i="1"/>
  <c r="P105" i="1"/>
  <c r="O105" i="1"/>
  <c r="N105" i="1"/>
  <c r="BB104" i="1"/>
  <c r="BA104" i="1"/>
  <c r="AZ104" i="1"/>
  <c r="AY104" i="1"/>
  <c r="AX104" i="1"/>
  <c r="AW104" i="1"/>
  <c r="S104" i="1"/>
  <c r="R104" i="1"/>
  <c r="Q104" i="1"/>
  <c r="P104" i="1"/>
  <c r="O104" i="1"/>
  <c r="N104" i="1"/>
  <c r="BB103" i="1"/>
  <c r="BA103" i="1"/>
  <c r="AZ103" i="1"/>
  <c r="AY103" i="1"/>
  <c r="AX103" i="1"/>
  <c r="AW103" i="1"/>
  <c r="S103" i="1"/>
  <c r="R103" i="1"/>
  <c r="Q103" i="1"/>
  <c r="P103" i="1"/>
  <c r="O103" i="1"/>
  <c r="N103" i="1"/>
  <c r="BB102" i="1"/>
  <c r="BA102" i="1"/>
  <c r="AZ102" i="1"/>
  <c r="AY102" i="1"/>
  <c r="AX102" i="1"/>
  <c r="AW102" i="1"/>
  <c r="S102" i="1"/>
  <c r="R102" i="1"/>
  <c r="Q102" i="1"/>
  <c r="P102" i="1"/>
  <c r="O102" i="1"/>
  <c r="N102" i="1"/>
  <c r="BB101" i="1"/>
  <c r="BA101" i="1"/>
  <c r="AZ101" i="1"/>
  <c r="AY101" i="1"/>
  <c r="AX101" i="1"/>
  <c r="AW101" i="1"/>
  <c r="S101" i="1"/>
  <c r="R101" i="1"/>
  <c r="Q101" i="1"/>
  <c r="P101" i="1"/>
  <c r="O101" i="1"/>
  <c r="N101" i="1"/>
  <c r="BB100" i="1"/>
  <c r="BA100" i="1"/>
  <c r="AZ100" i="1"/>
  <c r="AY100" i="1"/>
  <c r="AX100" i="1"/>
  <c r="AW100" i="1"/>
  <c r="S100" i="1"/>
  <c r="R100" i="1"/>
  <c r="Q100" i="1"/>
  <c r="P100" i="1"/>
  <c r="O100" i="1"/>
  <c r="N100" i="1"/>
  <c r="BB99" i="1"/>
  <c r="BA99" i="1"/>
  <c r="AZ99" i="1"/>
  <c r="AY99" i="1"/>
  <c r="AX99" i="1"/>
  <c r="AW99" i="1"/>
  <c r="S99" i="1"/>
  <c r="R99" i="1"/>
  <c r="Q99" i="1"/>
  <c r="P99" i="1"/>
  <c r="O99" i="1"/>
  <c r="N99" i="1"/>
  <c r="BB98" i="1"/>
  <c r="BA98" i="1"/>
  <c r="AZ98" i="1"/>
  <c r="AY98" i="1"/>
  <c r="AX98" i="1"/>
  <c r="AW98" i="1"/>
  <c r="S98" i="1"/>
  <c r="R98" i="1"/>
  <c r="Q98" i="1"/>
  <c r="P98" i="1"/>
  <c r="O98" i="1"/>
  <c r="N98" i="1"/>
  <c r="BB97" i="1"/>
  <c r="BA97" i="1"/>
  <c r="AZ97" i="1"/>
  <c r="AY97" i="1"/>
  <c r="AX97" i="1"/>
  <c r="AW97" i="1"/>
  <c r="S97" i="1"/>
  <c r="R97" i="1"/>
  <c r="Q97" i="1"/>
  <c r="P97" i="1"/>
  <c r="O97" i="1"/>
  <c r="N97" i="1"/>
  <c r="BB96" i="1"/>
  <c r="BA96" i="1"/>
  <c r="AZ96" i="1"/>
  <c r="AY96" i="1"/>
  <c r="AX96" i="1"/>
  <c r="AW96" i="1"/>
  <c r="S96" i="1"/>
  <c r="R96" i="1"/>
  <c r="Q96" i="1"/>
  <c r="P96" i="1"/>
  <c r="O96" i="1"/>
  <c r="N96" i="1"/>
  <c r="BB95" i="1"/>
  <c r="BA95" i="1"/>
  <c r="AZ95" i="1"/>
  <c r="AY95" i="1"/>
  <c r="AX95" i="1"/>
  <c r="AW95" i="1"/>
  <c r="S95" i="1"/>
  <c r="R95" i="1"/>
  <c r="Q95" i="1"/>
  <c r="P95" i="1"/>
  <c r="O95" i="1"/>
  <c r="N95" i="1"/>
  <c r="BB94" i="1"/>
  <c r="BA94" i="1"/>
  <c r="AZ94" i="1"/>
  <c r="AY94" i="1"/>
  <c r="AX94" i="1"/>
  <c r="AW94" i="1"/>
  <c r="S94" i="1"/>
  <c r="R94" i="1"/>
  <c r="Q94" i="1"/>
  <c r="P94" i="1"/>
  <c r="O94" i="1"/>
  <c r="N94" i="1"/>
  <c r="BB93" i="1"/>
  <c r="BA93" i="1"/>
  <c r="AZ93" i="1"/>
  <c r="AY93" i="1"/>
  <c r="AX93" i="1"/>
  <c r="AW93" i="1"/>
  <c r="S93" i="1"/>
  <c r="R93" i="1"/>
  <c r="Q93" i="1"/>
  <c r="P93" i="1"/>
  <c r="O93" i="1"/>
  <c r="N93" i="1"/>
  <c r="BB92" i="1"/>
  <c r="BA92" i="1"/>
  <c r="AZ92" i="1"/>
  <c r="AY92" i="1"/>
  <c r="AX92" i="1"/>
  <c r="AW92" i="1"/>
  <c r="S92" i="1"/>
  <c r="R92" i="1"/>
  <c r="Q92" i="1"/>
  <c r="P92" i="1"/>
  <c r="O92" i="1"/>
  <c r="N92" i="1"/>
  <c r="BB91" i="1"/>
  <c r="BA91" i="1"/>
  <c r="AZ91" i="1"/>
  <c r="AY91" i="1"/>
  <c r="AX91" i="1"/>
  <c r="AW91" i="1"/>
  <c r="S91" i="1"/>
  <c r="R91" i="1"/>
  <c r="Q91" i="1"/>
  <c r="P91" i="1"/>
  <c r="O91" i="1"/>
  <c r="N91" i="1"/>
  <c r="BB90" i="1"/>
  <c r="BA90" i="1"/>
  <c r="AZ90" i="1"/>
  <c r="AY90" i="1"/>
  <c r="AX90" i="1"/>
  <c r="AW90" i="1"/>
  <c r="S90" i="1"/>
  <c r="R90" i="1"/>
  <c r="Q90" i="1"/>
  <c r="P90" i="1"/>
  <c r="O90" i="1"/>
  <c r="N90" i="1"/>
  <c r="BB89" i="1"/>
  <c r="BA89" i="1"/>
  <c r="AZ89" i="1"/>
  <c r="AY89" i="1"/>
  <c r="AX89" i="1"/>
  <c r="AW89" i="1"/>
  <c r="S89" i="1"/>
  <c r="R89" i="1"/>
  <c r="Q89" i="1"/>
  <c r="P89" i="1"/>
  <c r="O89" i="1"/>
  <c r="N89" i="1"/>
  <c r="BB88" i="1"/>
  <c r="BA88" i="1"/>
  <c r="AZ88" i="1"/>
  <c r="AY88" i="1"/>
  <c r="AX88" i="1"/>
  <c r="AW88" i="1"/>
  <c r="S88" i="1"/>
  <c r="R88" i="1"/>
  <c r="Q88" i="1"/>
  <c r="P88" i="1"/>
  <c r="O88" i="1"/>
  <c r="N88" i="1"/>
  <c r="BB87" i="1"/>
  <c r="BA87" i="1"/>
  <c r="AZ87" i="1"/>
  <c r="AY87" i="1"/>
  <c r="AX87" i="1"/>
  <c r="AW87" i="1"/>
  <c r="S87" i="1"/>
  <c r="R87" i="1"/>
  <c r="Q87" i="1"/>
  <c r="P87" i="1"/>
  <c r="O87" i="1"/>
  <c r="N87" i="1"/>
  <c r="BB86" i="1"/>
  <c r="BA86" i="1"/>
  <c r="AZ86" i="1"/>
  <c r="AY86" i="1"/>
  <c r="AX86" i="1"/>
  <c r="AW86" i="1"/>
  <c r="S86" i="1"/>
  <c r="R86" i="1"/>
  <c r="Q86" i="1"/>
  <c r="P86" i="1"/>
  <c r="O86" i="1"/>
  <c r="N86" i="1"/>
  <c r="BB85" i="1"/>
  <c r="BA85" i="1"/>
  <c r="AZ85" i="1"/>
  <c r="AY85" i="1"/>
  <c r="AX85" i="1"/>
  <c r="AW85" i="1"/>
  <c r="S85" i="1"/>
  <c r="R85" i="1"/>
  <c r="Q85" i="1"/>
  <c r="P85" i="1"/>
  <c r="O85" i="1"/>
  <c r="N85" i="1"/>
  <c r="BB84" i="1"/>
  <c r="BA84" i="1"/>
  <c r="AZ84" i="1"/>
  <c r="AY84" i="1"/>
  <c r="AX84" i="1"/>
  <c r="AW84" i="1"/>
  <c r="S84" i="1"/>
  <c r="R84" i="1"/>
  <c r="Q84" i="1"/>
  <c r="P84" i="1"/>
  <c r="O84" i="1"/>
  <c r="N84" i="1"/>
  <c r="BB83" i="1"/>
  <c r="BA83" i="1"/>
  <c r="AZ83" i="1"/>
  <c r="AY83" i="1"/>
  <c r="AX83" i="1"/>
  <c r="AW83" i="1"/>
  <c r="S83" i="1"/>
  <c r="R83" i="1"/>
  <c r="Q83" i="1"/>
  <c r="P83" i="1"/>
  <c r="O83" i="1"/>
  <c r="N83" i="1"/>
  <c r="BB82" i="1"/>
  <c r="BA82" i="1"/>
  <c r="AZ82" i="1"/>
  <c r="AY82" i="1"/>
  <c r="AX82" i="1"/>
  <c r="AW82" i="1"/>
  <c r="S82" i="1"/>
  <c r="R82" i="1"/>
  <c r="Q82" i="1"/>
  <c r="P82" i="1"/>
  <c r="O82" i="1"/>
  <c r="N82" i="1"/>
  <c r="BB81" i="1"/>
  <c r="BA81" i="1"/>
  <c r="AZ81" i="1"/>
  <c r="AY81" i="1"/>
  <c r="AX81" i="1"/>
  <c r="AW81" i="1"/>
  <c r="S81" i="1"/>
  <c r="R81" i="1"/>
  <c r="Q81" i="1"/>
  <c r="P81" i="1"/>
  <c r="O81" i="1"/>
  <c r="N81" i="1"/>
  <c r="BB80" i="1"/>
  <c r="BA80" i="1"/>
  <c r="AZ80" i="1"/>
  <c r="AY80" i="1"/>
  <c r="AX80" i="1"/>
  <c r="AW80" i="1"/>
  <c r="S80" i="1"/>
  <c r="R80" i="1"/>
  <c r="Q80" i="1"/>
  <c r="P80" i="1"/>
  <c r="O80" i="1"/>
  <c r="N80" i="1"/>
  <c r="BB79" i="1"/>
  <c r="BA79" i="1"/>
  <c r="AZ79" i="1"/>
  <c r="AY79" i="1"/>
  <c r="AX79" i="1"/>
  <c r="AW79" i="1"/>
  <c r="S79" i="1"/>
  <c r="R79" i="1"/>
  <c r="Q79" i="1"/>
  <c r="P79" i="1"/>
  <c r="O79" i="1"/>
  <c r="N79" i="1"/>
  <c r="BB78" i="1"/>
  <c r="BA78" i="1"/>
  <c r="AZ78" i="1"/>
  <c r="AY78" i="1"/>
  <c r="AX78" i="1"/>
  <c r="AW78" i="1"/>
  <c r="S78" i="1"/>
  <c r="R78" i="1"/>
  <c r="Q78" i="1"/>
  <c r="P78" i="1"/>
  <c r="O78" i="1"/>
  <c r="N78" i="1"/>
  <c r="BB77" i="1"/>
  <c r="BA77" i="1"/>
  <c r="AZ77" i="1"/>
  <c r="AY77" i="1"/>
  <c r="AX77" i="1"/>
  <c r="AW77" i="1"/>
  <c r="S77" i="1"/>
  <c r="R77" i="1"/>
  <c r="Q77" i="1"/>
  <c r="P77" i="1"/>
  <c r="O77" i="1"/>
  <c r="N77" i="1"/>
  <c r="BB76" i="1"/>
  <c r="BA76" i="1"/>
  <c r="AZ76" i="1"/>
  <c r="AY76" i="1"/>
  <c r="AX76" i="1"/>
  <c r="AW76" i="1"/>
  <c r="S76" i="1"/>
  <c r="R76" i="1"/>
  <c r="Q76" i="1"/>
  <c r="P76" i="1"/>
  <c r="O76" i="1"/>
  <c r="N76" i="1"/>
  <c r="BB75" i="1"/>
  <c r="BA75" i="1"/>
  <c r="AZ75" i="1"/>
  <c r="AY75" i="1"/>
  <c r="AX75" i="1"/>
  <c r="AW75" i="1"/>
  <c r="S75" i="1"/>
  <c r="R75" i="1"/>
  <c r="Q75" i="1"/>
  <c r="P75" i="1"/>
  <c r="O75" i="1"/>
  <c r="N75" i="1"/>
  <c r="BB74" i="1"/>
  <c r="BA74" i="1"/>
  <c r="AZ74" i="1"/>
  <c r="AY74" i="1"/>
  <c r="AX74" i="1"/>
  <c r="AW74" i="1"/>
  <c r="S74" i="1"/>
  <c r="R74" i="1"/>
  <c r="Q74" i="1"/>
  <c r="P74" i="1"/>
  <c r="O74" i="1"/>
  <c r="N74" i="1"/>
  <c r="BB73" i="1"/>
  <c r="BA73" i="1"/>
  <c r="AZ73" i="1"/>
  <c r="AY73" i="1"/>
  <c r="AX73" i="1"/>
  <c r="AW73" i="1"/>
  <c r="S73" i="1"/>
  <c r="R73" i="1"/>
  <c r="Q73" i="1"/>
  <c r="P73" i="1"/>
  <c r="O73" i="1"/>
  <c r="N73" i="1"/>
  <c r="BB72" i="1"/>
  <c r="BA72" i="1"/>
  <c r="AZ72" i="1"/>
  <c r="AY72" i="1"/>
  <c r="AX72" i="1"/>
  <c r="AW72" i="1"/>
  <c r="S72" i="1"/>
  <c r="R72" i="1"/>
  <c r="Q72" i="1"/>
  <c r="P72" i="1"/>
  <c r="O72" i="1"/>
  <c r="N72" i="1"/>
  <c r="BB71" i="1"/>
  <c r="BA71" i="1"/>
  <c r="AZ71" i="1"/>
  <c r="AY71" i="1"/>
  <c r="AX71" i="1"/>
  <c r="AW71" i="1"/>
  <c r="S71" i="1"/>
  <c r="R71" i="1"/>
  <c r="Q71" i="1"/>
  <c r="P71" i="1"/>
  <c r="O71" i="1"/>
  <c r="N71" i="1"/>
  <c r="BB70" i="1"/>
  <c r="BA70" i="1"/>
  <c r="AZ70" i="1"/>
  <c r="AY70" i="1"/>
  <c r="AX70" i="1"/>
  <c r="AW70" i="1"/>
  <c r="S70" i="1"/>
  <c r="R70" i="1"/>
  <c r="Q70" i="1"/>
  <c r="P70" i="1"/>
  <c r="O70" i="1"/>
  <c r="N70" i="1"/>
  <c r="BB69" i="1"/>
  <c r="BA69" i="1"/>
  <c r="AZ69" i="1"/>
  <c r="AY69" i="1"/>
  <c r="AX69" i="1"/>
  <c r="AW69" i="1"/>
  <c r="S69" i="1"/>
  <c r="R69" i="1"/>
  <c r="Q69" i="1"/>
  <c r="P69" i="1"/>
  <c r="O69" i="1"/>
  <c r="N69" i="1"/>
  <c r="BB68" i="1"/>
  <c r="BA68" i="1"/>
  <c r="AZ68" i="1"/>
  <c r="AY68" i="1"/>
  <c r="AX68" i="1"/>
  <c r="AW68" i="1"/>
  <c r="S68" i="1"/>
  <c r="R68" i="1"/>
  <c r="Q68" i="1"/>
  <c r="P68" i="1"/>
  <c r="O68" i="1"/>
  <c r="N68" i="1"/>
  <c r="BB67" i="1"/>
  <c r="BA67" i="1"/>
  <c r="AZ67" i="1"/>
  <c r="AY67" i="1"/>
  <c r="AX67" i="1"/>
  <c r="AW67" i="1"/>
  <c r="S67" i="1"/>
  <c r="R67" i="1"/>
  <c r="Q67" i="1"/>
  <c r="P67" i="1"/>
  <c r="O67" i="1"/>
  <c r="N67" i="1"/>
  <c r="BB66" i="1"/>
  <c r="BA66" i="1"/>
  <c r="AZ66" i="1"/>
  <c r="AY66" i="1"/>
  <c r="AX66" i="1"/>
  <c r="AW66" i="1"/>
  <c r="S66" i="1"/>
  <c r="R66" i="1"/>
  <c r="Q66" i="1"/>
  <c r="P66" i="1"/>
  <c r="O66" i="1"/>
  <c r="N66" i="1"/>
  <c r="BB65" i="1"/>
  <c r="BA65" i="1"/>
  <c r="AZ65" i="1"/>
  <c r="AY65" i="1"/>
  <c r="AX65" i="1"/>
  <c r="AW65" i="1"/>
  <c r="S65" i="1"/>
  <c r="R65" i="1"/>
  <c r="Q65" i="1"/>
  <c r="P65" i="1"/>
  <c r="O65" i="1"/>
  <c r="N65" i="1"/>
  <c r="BB64" i="1"/>
  <c r="BA64" i="1"/>
  <c r="AZ64" i="1"/>
  <c r="AY64" i="1"/>
  <c r="AX64" i="1"/>
  <c r="AW64" i="1"/>
  <c r="S64" i="1"/>
  <c r="R64" i="1"/>
  <c r="Q64" i="1"/>
  <c r="P64" i="1"/>
  <c r="O64" i="1"/>
  <c r="N64" i="1"/>
  <c r="BB63" i="1"/>
  <c r="BA63" i="1"/>
  <c r="AZ63" i="1"/>
  <c r="AY63" i="1"/>
  <c r="AX63" i="1"/>
  <c r="AW63" i="1"/>
  <c r="S63" i="1"/>
  <c r="R63" i="1"/>
  <c r="Q63" i="1"/>
  <c r="P63" i="1"/>
  <c r="O63" i="1"/>
  <c r="N63" i="1"/>
  <c r="BB62" i="1"/>
  <c r="BA62" i="1"/>
  <c r="AZ62" i="1"/>
  <c r="AY62" i="1"/>
  <c r="AX62" i="1"/>
  <c r="AW62" i="1"/>
  <c r="S62" i="1"/>
  <c r="R62" i="1"/>
  <c r="Q62" i="1"/>
  <c r="P62" i="1"/>
  <c r="O62" i="1"/>
  <c r="N62" i="1"/>
  <c r="BB61" i="1"/>
  <c r="BA61" i="1"/>
  <c r="AZ61" i="1"/>
  <c r="AY61" i="1"/>
  <c r="AX61" i="1"/>
  <c r="AW61" i="1"/>
  <c r="S61" i="1"/>
  <c r="R61" i="1"/>
  <c r="Q61" i="1"/>
  <c r="P61" i="1"/>
  <c r="O61" i="1"/>
  <c r="N61" i="1"/>
  <c r="BB60" i="1"/>
  <c r="BA60" i="1"/>
  <c r="AZ60" i="1"/>
  <c r="AY60" i="1"/>
  <c r="AX60" i="1"/>
  <c r="AW60" i="1"/>
  <c r="S60" i="1"/>
  <c r="R60" i="1"/>
  <c r="Q60" i="1"/>
  <c r="P60" i="1"/>
  <c r="O60" i="1"/>
  <c r="N60" i="1"/>
  <c r="BB59" i="1"/>
  <c r="BA59" i="1"/>
  <c r="AZ59" i="1"/>
  <c r="AY59" i="1"/>
  <c r="AX59" i="1"/>
  <c r="AW59" i="1"/>
  <c r="S59" i="1"/>
  <c r="R59" i="1"/>
  <c r="Q59" i="1"/>
  <c r="P59" i="1"/>
  <c r="O59" i="1"/>
  <c r="N59" i="1"/>
  <c r="BB58" i="1"/>
  <c r="BA58" i="1"/>
  <c r="AZ58" i="1"/>
  <c r="AY58" i="1"/>
  <c r="AX58" i="1"/>
  <c r="AW58" i="1"/>
  <c r="S58" i="1"/>
  <c r="R58" i="1"/>
  <c r="Q58" i="1"/>
  <c r="P58" i="1"/>
  <c r="O58" i="1"/>
  <c r="N58" i="1"/>
  <c r="BB57" i="1"/>
  <c r="BA57" i="1"/>
  <c r="AZ57" i="1"/>
  <c r="AY57" i="1"/>
  <c r="AX57" i="1"/>
  <c r="AW57" i="1"/>
  <c r="S57" i="1"/>
  <c r="R57" i="1"/>
  <c r="Q57" i="1"/>
  <c r="P57" i="1"/>
  <c r="O57" i="1"/>
  <c r="N57" i="1"/>
  <c r="BB56" i="1"/>
  <c r="BA56" i="1"/>
  <c r="AZ56" i="1"/>
  <c r="AY56" i="1"/>
  <c r="AX56" i="1"/>
  <c r="AW56" i="1"/>
  <c r="S56" i="1"/>
  <c r="R56" i="1"/>
  <c r="Q56" i="1"/>
  <c r="P56" i="1"/>
  <c r="O56" i="1"/>
  <c r="N56" i="1"/>
  <c r="BB55" i="1"/>
  <c r="BA55" i="1"/>
  <c r="AZ55" i="1"/>
  <c r="AY55" i="1"/>
  <c r="AX55" i="1"/>
  <c r="AW55" i="1"/>
  <c r="S55" i="1"/>
  <c r="R55" i="1"/>
  <c r="Q55" i="1"/>
  <c r="P55" i="1"/>
  <c r="O55" i="1"/>
  <c r="N55" i="1"/>
  <c r="BB54" i="1"/>
  <c r="BA54" i="1"/>
  <c r="AZ54" i="1"/>
  <c r="AY54" i="1"/>
  <c r="AX54" i="1"/>
  <c r="AW54" i="1"/>
  <c r="S54" i="1"/>
  <c r="R54" i="1"/>
  <c r="Q54" i="1"/>
  <c r="P54" i="1"/>
  <c r="O54" i="1"/>
  <c r="N54" i="1"/>
  <c r="BB53" i="1"/>
  <c r="BA53" i="1"/>
  <c r="AZ53" i="1"/>
  <c r="AY53" i="1"/>
  <c r="AX53" i="1"/>
  <c r="AW53" i="1"/>
  <c r="S53" i="1"/>
  <c r="R53" i="1"/>
  <c r="Q53" i="1"/>
  <c r="P53" i="1"/>
  <c r="O53" i="1"/>
  <c r="N53" i="1"/>
  <c r="BB52" i="1"/>
  <c r="BA52" i="1"/>
  <c r="AZ52" i="1"/>
  <c r="AY52" i="1"/>
  <c r="AX52" i="1"/>
  <c r="AW52" i="1"/>
  <c r="S52" i="1"/>
  <c r="R52" i="1"/>
  <c r="Q52" i="1"/>
  <c r="P52" i="1"/>
  <c r="O52" i="1"/>
  <c r="N52" i="1"/>
  <c r="BB51" i="1"/>
  <c r="BA51" i="1"/>
  <c r="AZ51" i="1"/>
  <c r="AY51" i="1"/>
  <c r="AX51" i="1"/>
  <c r="AW51" i="1"/>
  <c r="S51" i="1"/>
  <c r="R51" i="1"/>
  <c r="Q51" i="1"/>
  <c r="P51" i="1"/>
  <c r="O51" i="1"/>
  <c r="N51" i="1"/>
  <c r="BB50" i="1"/>
  <c r="BA50" i="1"/>
  <c r="AZ50" i="1"/>
  <c r="AY50" i="1"/>
  <c r="AX50" i="1"/>
  <c r="AW50" i="1"/>
  <c r="S50" i="1"/>
  <c r="R50" i="1"/>
  <c r="Q50" i="1"/>
  <c r="P50" i="1"/>
  <c r="O50" i="1"/>
  <c r="N50" i="1"/>
  <c r="BB49" i="1"/>
  <c r="BA49" i="1"/>
  <c r="AZ49" i="1"/>
  <c r="AY49" i="1"/>
  <c r="AX49" i="1"/>
  <c r="AW49" i="1"/>
  <c r="S49" i="1"/>
  <c r="R49" i="1"/>
  <c r="Q49" i="1"/>
  <c r="P49" i="1"/>
  <c r="O49" i="1"/>
  <c r="N49" i="1"/>
  <c r="BB48" i="1"/>
  <c r="BA48" i="1"/>
  <c r="AZ48" i="1"/>
  <c r="AY48" i="1"/>
  <c r="AX48" i="1"/>
  <c r="AW48" i="1"/>
  <c r="S48" i="1"/>
  <c r="R48" i="1"/>
  <c r="Q48" i="1"/>
  <c r="P48" i="1"/>
  <c r="O48" i="1"/>
  <c r="N48" i="1"/>
  <c r="BB47" i="1"/>
  <c r="BA47" i="1"/>
  <c r="AZ47" i="1"/>
  <c r="AY47" i="1"/>
  <c r="AX47" i="1"/>
  <c r="AW47" i="1"/>
  <c r="S47" i="1"/>
  <c r="R47" i="1"/>
  <c r="Q47" i="1"/>
  <c r="P47" i="1"/>
  <c r="O47" i="1"/>
  <c r="N47" i="1"/>
  <c r="BB46" i="1"/>
  <c r="BA46" i="1"/>
  <c r="AZ46" i="1"/>
  <c r="AY46" i="1"/>
  <c r="AX46" i="1"/>
  <c r="AW46" i="1"/>
  <c r="S46" i="1"/>
  <c r="R46" i="1"/>
  <c r="Q46" i="1"/>
  <c r="P46" i="1"/>
  <c r="O46" i="1"/>
  <c r="N46" i="1"/>
  <c r="BB45" i="1"/>
  <c r="BA45" i="1"/>
  <c r="AZ45" i="1"/>
  <c r="AY45" i="1"/>
  <c r="AX45" i="1"/>
  <c r="AW45" i="1"/>
  <c r="S45" i="1"/>
  <c r="R45" i="1"/>
  <c r="Q45" i="1"/>
  <c r="P45" i="1"/>
  <c r="O45" i="1"/>
  <c r="N45" i="1"/>
  <c r="BB44" i="1"/>
  <c r="BA44" i="1"/>
  <c r="AZ44" i="1"/>
  <c r="AY44" i="1"/>
  <c r="AX44" i="1"/>
  <c r="AW44" i="1"/>
  <c r="S44" i="1"/>
  <c r="R44" i="1"/>
  <c r="Q44" i="1"/>
  <c r="P44" i="1"/>
  <c r="O44" i="1"/>
  <c r="N44" i="1"/>
  <c r="BB43" i="1"/>
  <c r="BA43" i="1"/>
  <c r="AZ43" i="1"/>
  <c r="AY43" i="1"/>
  <c r="AX43" i="1"/>
  <c r="AW43" i="1"/>
  <c r="S43" i="1"/>
  <c r="R43" i="1"/>
  <c r="Q43" i="1"/>
  <c r="P43" i="1"/>
  <c r="O43" i="1"/>
  <c r="N43" i="1"/>
  <c r="BB42" i="1"/>
  <c r="BA42" i="1"/>
  <c r="AZ42" i="1"/>
  <c r="AY42" i="1"/>
  <c r="AX42" i="1"/>
  <c r="AW42" i="1"/>
  <c r="S42" i="1"/>
  <c r="R42" i="1"/>
  <c r="Q42" i="1"/>
  <c r="P42" i="1"/>
  <c r="O42" i="1"/>
  <c r="N42" i="1"/>
  <c r="BB41" i="1"/>
  <c r="BA41" i="1"/>
  <c r="AZ41" i="1"/>
  <c r="AY41" i="1"/>
  <c r="AX41" i="1"/>
  <c r="AW41" i="1"/>
  <c r="S41" i="1"/>
  <c r="R41" i="1"/>
  <c r="Q41" i="1"/>
  <c r="P41" i="1"/>
  <c r="O41" i="1"/>
  <c r="N41" i="1"/>
  <c r="BB40" i="1"/>
  <c r="BA40" i="1"/>
  <c r="AZ40" i="1"/>
  <c r="AY40" i="1"/>
  <c r="AX40" i="1"/>
  <c r="AW40" i="1"/>
  <c r="S40" i="1"/>
  <c r="R40" i="1"/>
  <c r="Q40" i="1"/>
  <c r="P40" i="1"/>
  <c r="O40" i="1"/>
  <c r="N40" i="1"/>
  <c r="BB39" i="1"/>
  <c r="BA39" i="1"/>
  <c r="AZ39" i="1"/>
  <c r="AY39" i="1"/>
  <c r="AX39" i="1"/>
  <c r="AW39" i="1"/>
  <c r="S39" i="1"/>
  <c r="R39" i="1"/>
  <c r="Q39" i="1"/>
  <c r="P39" i="1"/>
  <c r="O39" i="1"/>
  <c r="N39" i="1"/>
  <c r="BB38" i="1"/>
  <c r="BA38" i="1"/>
  <c r="AZ38" i="1"/>
  <c r="AY38" i="1"/>
  <c r="AX38" i="1"/>
  <c r="AW38" i="1"/>
  <c r="S38" i="1"/>
  <c r="R38" i="1"/>
  <c r="Q38" i="1"/>
  <c r="P38" i="1"/>
  <c r="O38" i="1"/>
  <c r="N38" i="1"/>
  <c r="BB37" i="1"/>
  <c r="BA37" i="1"/>
  <c r="AZ37" i="1"/>
  <c r="AY37" i="1"/>
  <c r="AX37" i="1"/>
  <c r="AW37" i="1"/>
  <c r="S37" i="1"/>
  <c r="R37" i="1"/>
  <c r="Q37" i="1"/>
  <c r="P37" i="1"/>
  <c r="O37" i="1"/>
  <c r="N37" i="1"/>
  <c r="BB36" i="1"/>
  <c r="BA36" i="1"/>
  <c r="AZ36" i="1"/>
  <c r="AY36" i="1"/>
  <c r="AX36" i="1"/>
  <c r="AW36" i="1"/>
  <c r="S36" i="1"/>
  <c r="R36" i="1"/>
  <c r="Q36" i="1"/>
  <c r="P36" i="1"/>
  <c r="O36" i="1"/>
  <c r="N36" i="1"/>
  <c r="BB35" i="1"/>
  <c r="BA35" i="1"/>
  <c r="AZ35" i="1"/>
  <c r="AY35" i="1"/>
  <c r="AX35" i="1"/>
  <c r="AW35" i="1"/>
  <c r="S35" i="1"/>
  <c r="R35" i="1"/>
  <c r="Q35" i="1"/>
  <c r="P35" i="1"/>
  <c r="O35" i="1"/>
  <c r="N35" i="1"/>
  <c r="BB34" i="1"/>
  <c r="BA34" i="1"/>
  <c r="AZ34" i="1"/>
  <c r="AY34" i="1"/>
  <c r="AX34" i="1"/>
  <c r="AW34" i="1"/>
  <c r="S34" i="1"/>
  <c r="R34" i="1"/>
  <c r="Q34" i="1"/>
  <c r="P34" i="1"/>
  <c r="O34" i="1"/>
  <c r="N34" i="1"/>
  <c r="BB33" i="1"/>
  <c r="BA33" i="1"/>
  <c r="AZ33" i="1"/>
  <c r="AY33" i="1"/>
  <c r="AX33" i="1"/>
  <c r="AW33" i="1"/>
  <c r="S33" i="1"/>
  <c r="R33" i="1"/>
  <c r="Q33" i="1"/>
  <c r="P33" i="1"/>
  <c r="O33" i="1"/>
  <c r="N33" i="1"/>
  <c r="BB32" i="1"/>
  <c r="BA32" i="1"/>
  <c r="AZ32" i="1"/>
  <c r="AY32" i="1"/>
  <c r="AX32" i="1"/>
  <c r="AW32" i="1"/>
  <c r="S32" i="1"/>
  <c r="R32" i="1"/>
  <c r="Q32" i="1"/>
  <c r="P32" i="1"/>
  <c r="O32" i="1"/>
  <c r="N32" i="1"/>
  <c r="BB31" i="1"/>
  <c r="BA31" i="1"/>
  <c r="AZ31" i="1"/>
  <c r="AY31" i="1"/>
  <c r="AX31" i="1"/>
  <c r="AW31" i="1"/>
  <c r="S31" i="1"/>
  <c r="R31" i="1"/>
  <c r="Q31" i="1"/>
  <c r="P31" i="1"/>
  <c r="O31" i="1"/>
  <c r="N31" i="1"/>
  <c r="BB30" i="1"/>
  <c r="BA30" i="1"/>
  <c r="AZ30" i="1"/>
  <c r="AY30" i="1"/>
  <c r="AX30" i="1"/>
  <c r="AW30" i="1"/>
  <c r="S30" i="1"/>
  <c r="R30" i="1"/>
  <c r="Q30" i="1"/>
  <c r="P30" i="1"/>
  <c r="O30" i="1"/>
  <c r="N30" i="1"/>
  <c r="BB29" i="1"/>
  <c r="BA29" i="1"/>
  <c r="AZ29" i="1"/>
  <c r="AY29" i="1"/>
  <c r="AX29" i="1"/>
  <c r="AW29" i="1"/>
  <c r="S29" i="1"/>
  <c r="R29" i="1"/>
  <c r="Q29" i="1"/>
  <c r="P29" i="1"/>
  <c r="O29" i="1"/>
  <c r="N29" i="1"/>
  <c r="BB28" i="1"/>
  <c r="BA28" i="1"/>
  <c r="AZ28" i="1"/>
  <c r="AY28" i="1"/>
  <c r="AX28" i="1"/>
  <c r="AW28" i="1"/>
  <c r="S28" i="1"/>
  <c r="R28" i="1"/>
  <c r="Q28" i="1"/>
  <c r="P28" i="1"/>
  <c r="O28" i="1"/>
  <c r="N28" i="1"/>
  <c r="BB27" i="1"/>
  <c r="BA27" i="1"/>
  <c r="AZ27" i="1"/>
  <c r="AY27" i="1"/>
  <c r="AX27" i="1"/>
  <c r="AW27" i="1"/>
  <c r="S27" i="1"/>
  <c r="R27" i="1"/>
  <c r="Q27" i="1"/>
  <c r="P27" i="1"/>
  <c r="O27" i="1"/>
  <c r="N27" i="1"/>
  <c r="BB26" i="1"/>
  <c r="BA26" i="1"/>
  <c r="AZ26" i="1"/>
  <c r="AY26" i="1"/>
  <c r="AX26" i="1"/>
  <c r="AW26" i="1"/>
  <c r="S26" i="1"/>
  <c r="R26" i="1"/>
  <c r="Q26" i="1"/>
  <c r="P26" i="1"/>
  <c r="O26" i="1"/>
  <c r="N26" i="1"/>
  <c r="BB25" i="1"/>
  <c r="BA25" i="1"/>
  <c r="AZ25" i="1"/>
  <c r="AY25" i="1"/>
  <c r="AX25" i="1"/>
  <c r="AW25" i="1"/>
  <c r="S25" i="1"/>
  <c r="R25" i="1"/>
  <c r="Q25" i="1"/>
  <c r="P25" i="1"/>
  <c r="O25" i="1"/>
  <c r="N25" i="1"/>
  <c r="BB24" i="1"/>
  <c r="BA24" i="1"/>
  <c r="AZ24" i="1"/>
  <c r="AY24" i="1"/>
  <c r="AX24" i="1"/>
  <c r="AW24" i="1"/>
  <c r="S24" i="1"/>
  <c r="R24" i="1"/>
  <c r="Q24" i="1"/>
  <c r="P24" i="1"/>
  <c r="O24" i="1"/>
  <c r="N24" i="1"/>
  <c r="BB23" i="1"/>
  <c r="BA23" i="1"/>
  <c r="AZ23" i="1"/>
  <c r="AY23" i="1"/>
  <c r="AX23" i="1"/>
  <c r="AW23" i="1"/>
  <c r="S23" i="1"/>
  <c r="R23" i="1"/>
  <c r="Q23" i="1"/>
  <c r="P23" i="1"/>
  <c r="O23" i="1"/>
  <c r="N23" i="1"/>
  <c r="BB22" i="1"/>
  <c r="BA22" i="1"/>
  <c r="AZ22" i="1"/>
  <c r="AY22" i="1"/>
  <c r="AX22" i="1"/>
  <c r="AW22" i="1"/>
  <c r="S22" i="1"/>
  <c r="R22" i="1"/>
  <c r="Q22" i="1"/>
  <c r="P22" i="1"/>
  <c r="O22" i="1"/>
  <c r="N22" i="1"/>
  <c r="BB21" i="1"/>
  <c r="BA21" i="1"/>
  <c r="AZ21" i="1"/>
  <c r="AY21" i="1"/>
  <c r="AX21" i="1"/>
  <c r="AW21" i="1"/>
  <c r="S21" i="1"/>
  <c r="R21" i="1"/>
  <c r="Q21" i="1"/>
  <c r="P21" i="1"/>
  <c r="O21" i="1"/>
  <c r="N21" i="1"/>
  <c r="BB20" i="1"/>
  <c r="BA20" i="1"/>
  <c r="AZ20" i="1"/>
  <c r="AY20" i="1"/>
  <c r="AX20" i="1"/>
  <c r="AW20" i="1"/>
  <c r="S20" i="1"/>
  <c r="R20" i="1"/>
  <c r="Q20" i="1"/>
  <c r="P20" i="1"/>
  <c r="O20" i="1"/>
  <c r="N20" i="1"/>
  <c r="BB19" i="1"/>
  <c r="BA19" i="1"/>
  <c r="AZ19" i="1"/>
  <c r="AY19" i="1"/>
  <c r="AX19" i="1"/>
  <c r="AW19" i="1"/>
  <c r="S19" i="1"/>
  <c r="R19" i="1"/>
  <c r="Q19" i="1"/>
  <c r="P19" i="1"/>
  <c r="O19" i="1"/>
  <c r="N19" i="1"/>
  <c r="BB18" i="1"/>
  <c r="BA18" i="1"/>
  <c r="AZ18" i="1"/>
  <c r="AY18" i="1"/>
  <c r="AX18" i="1"/>
  <c r="AW18" i="1"/>
  <c r="S18" i="1"/>
  <c r="R18" i="1"/>
  <c r="Q18" i="1"/>
  <c r="P18" i="1"/>
  <c r="O18" i="1"/>
  <c r="N18" i="1"/>
  <c r="BB17" i="1"/>
  <c r="BA17" i="1"/>
  <c r="AZ17" i="1"/>
  <c r="AY17" i="1"/>
  <c r="AX17" i="1"/>
  <c r="AW17" i="1"/>
  <c r="S17" i="1"/>
  <c r="R17" i="1"/>
  <c r="Q17" i="1"/>
  <c r="P17" i="1"/>
  <c r="O17" i="1"/>
  <c r="N17" i="1"/>
  <c r="BB16" i="1"/>
  <c r="BA16" i="1"/>
  <c r="AZ16" i="1"/>
  <c r="AY16" i="1"/>
  <c r="AX16" i="1"/>
  <c r="AW16" i="1"/>
  <c r="S16" i="1"/>
  <c r="R16" i="1"/>
  <c r="Q16" i="1"/>
  <c r="P16" i="1"/>
  <c r="O16" i="1"/>
  <c r="N16" i="1"/>
  <c r="BB15" i="1"/>
  <c r="BA15" i="1"/>
  <c r="AZ15" i="1"/>
  <c r="AY15" i="1"/>
  <c r="AX15" i="1"/>
  <c r="AW15" i="1"/>
  <c r="S15" i="1"/>
  <c r="R15" i="1"/>
  <c r="Q15" i="1"/>
  <c r="P15" i="1"/>
  <c r="O15" i="1"/>
  <c r="N15" i="1"/>
  <c r="BB14" i="1"/>
  <c r="BA14" i="1"/>
  <c r="AZ14" i="1"/>
  <c r="AY14" i="1"/>
  <c r="AX14" i="1"/>
  <c r="AW14" i="1"/>
  <c r="S14" i="1"/>
  <c r="R14" i="1"/>
  <c r="Q14" i="1"/>
  <c r="P14" i="1"/>
  <c r="O14" i="1"/>
  <c r="N14" i="1"/>
  <c r="BB13" i="1"/>
  <c r="BA13" i="1"/>
  <c r="AZ13" i="1"/>
  <c r="AY13" i="1"/>
  <c r="AX13" i="1"/>
  <c r="AW13" i="1"/>
  <c r="S13" i="1"/>
  <c r="R13" i="1"/>
  <c r="Q13" i="1"/>
  <c r="P13" i="1"/>
  <c r="O13" i="1"/>
  <c r="N13" i="1"/>
  <c r="BB12" i="1"/>
  <c r="BA12" i="1"/>
  <c r="AZ12" i="1"/>
  <c r="AY12" i="1"/>
  <c r="AX12" i="1"/>
  <c r="AW12" i="1"/>
  <c r="S12" i="1"/>
  <c r="R12" i="1"/>
  <c r="Q12" i="1"/>
  <c r="P12" i="1"/>
  <c r="O12" i="1"/>
  <c r="N12" i="1"/>
  <c r="BB11" i="1"/>
  <c r="BA11" i="1"/>
  <c r="AZ11" i="1"/>
  <c r="AY11" i="1"/>
  <c r="AX11" i="1"/>
  <c r="AW11" i="1"/>
  <c r="S11" i="1"/>
  <c r="R11" i="1"/>
  <c r="Q11" i="1"/>
  <c r="P11" i="1"/>
  <c r="O11" i="1"/>
  <c r="N11" i="1"/>
  <c r="BB10" i="1"/>
  <c r="BA10" i="1"/>
  <c r="AZ10" i="1"/>
  <c r="AY10" i="1"/>
  <c r="AX10" i="1"/>
  <c r="AW10" i="1"/>
  <c r="S10" i="1"/>
  <c r="R10" i="1"/>
  <c r="Q10" i="1"/>
  <c r="P10" i="1"/>
  <c r="O10" i="1"/>
  <c r="N10" i="1"/>
  <c r="BB9" i="1"/>
  <c r="BA9" i="1"/>
  <c r="AZ9" i="1"/>
  <c r="AY9" i="1"/>
  <c r="AX9" i="1"/>
  <c r="AW9" i="1"/>
  <c r="S9" i="1"/>
  <c r="R9" i="1"/>
  <c r="Q9" i="1"/>
  <c r="P9" i="1"/>
  <c r="O9" i="1"/>
  <c r="N9" i="1"/>
  <c r="BB8" i="1"/>
  <c r="BA8" i="1"/>
  <c r="AZ8" i="1"/>
  <c r="AY8" i="1"/>
  <c r="AX8" i="1"/>
  <c r="AW8" i="1"/>
  <c r="S8" i="1"/>
  <c r="R8" i="1"/>
  <c r="Q8" i="1"/>
  <c r="P8" i="1"/>
  <c r="O8" i="1"/>
  <c r="N8" i="1"/>
  <c r="BB7" i="1"/>
  <c r="BA7" i="1"/>
  <c r="AZ7" i="1"/>
  <c r="AY7" i="1"/>
  <c r="AX7" i="1"/>
  <c r="AW7" i="1"/>
  <c r="S7" i="1"/>
  <c r="R7" i="1"/>
  <c r="Q7" i="1"/>
  <c r="P7" i="1"/>
  <c r="O7" i="1"/>
  <c r="N7" i="1"/>
  <c r="BB6" i="1"/>
  <c r="BA6" i="1"/>
  <c r="AZ6" i="1"/>
  <c r="AY6" i="1"/>
  <c r="AX6" i="1"/>
  <c r="AW6" i="1"/>
  <c r="S6" i="1"/>
  <c r="R6" i="1"/>
  <c r="Q6" i="1"/>
  <c r="P6" i="1"/>
  <c r="O6" i="1"/>
  <c r="N6" i="1"/>
  <c r="BB5" i="1"/>
  <c r="BA5" i="1"/>
  <c r="AZ5" i="1"/>
  <c r="AY5" i="1"/>
  <c r="AX5" i="1"/>
  <c r="AW5" i="1"/>
  <c r="S5" i="1"/>
  <c r="R5" i="1"/>
  <c r="Q5" i="1"/>
  <c r="P5" i="1"/>
  <c r="O5" i="1"/>
  <c r="N5" i="1"/>
  <c r="BB4" i="1"/>
  <c r="BA4" i="1"/>
  <c r="AZ4" i="1"/>
  <c r="AY4" i="1"/>
  <c r="AX4" i="1"/>
  <c r="AW4" i="1"/>
  <c r="S4" i="1"/>
  <c r="R4" i="1"/>
  <c r="Q4" i="1"/>
  <c r="P4" i="1"/>
  <c r="O4" i="1"/>
  <c r="N4" i="1"/>
  <c r="BB3" i="1"/>
  <c r="BA3" i="1"/>
  <c r="AZ3" i="1"/>
  <c r="AY3" i="1"/>
  <c r="AX3" i="1"/>
  <c r="AW3" i="1"/>
  <c r="S3" i="1"/>
  <c r="S593" i="1" s="1"/>
  <c r="R3" i="1"/>
  <c r="R593" i="1" s="1"/>
  <c r="Q3" i="1"/>
  <c r="P3" i="1"/>
  <c r="O3" i="1"/>
  <c r="N3" i="1"/>
  <c r="BB2" i="1"/>
  <c r="BB593" i="1" s="1"/>
  <c r="BA2" i="1"/>
  <c r="BA593" i="1" s="1"/>
  <c r="AZ2" i="1"/>
  <c r="AZ593" i="1" s="1"/>
  <c r="AY2" i="1"/>
  <c r="AY593" i="1" s="1"/>
  <c r="AX2" i="1"/>
  <c r="AX593" i="1" s="1"/>
  <c r="AW2" i="1"/>
  <c r="AW593" i="1" s="1"/>
  <c r="S2" i="1"/>
  <c r="R2" i="1"/>
  <c r="Q2" i="1"/>
  <c r="Q593" i="1" s="1"/>
  <c r="P2" i="1"/>
  <c r="P593" i="1" s="1"/>
  <c r="O2" i="1"/>
  <c r="O593" i="1" s="1"/>
  <c r="N2" i="1"/>
  <c r="N593" i="1" s="1"/>
  <c r="AG45" i="8" l="1"/>
  <c r="V45" i="8"/>
  <c r="T593" i="1"/>
  <c r="AR45" i="8"/>
  <c r="BC593" i="1"/>
</calcChain>
</file>

<file path=xl/sharedStrings.xml><?xml version="1.0" encoding="utf-8"?>
<sst xmlns="http://schemas.openxmlformats.org/spreadsheetml/2006/main" count="12457" uniqueCount="4180">
  <si>
    <t>class</t>
  </si>
  <si>
    <t>method</t>
  </si>
  <si>
    <t>normal post</t>
  </si>
  <si>
    <t>exceptional post</t>
  </si>
  <si>
    <t>precondition</t>
  </si>
  <si>
    <t>*red columns are omitted in the experiments</t>
  </si>
  <si>
    <t>NL-assertion generated by GPT-4</t>
  </si>
  <si>
    <t>gen0  (gpt-oss-120b)</t>
  </si>
  <si>
    <t>null</t>
  </si>
  <si>
    <t>compile</t>
  </si>
  <si>
    <t>fuzz</t>
  </si>
  <si>
    <t>rdtp</t>
  </si>
  <si>
    <t>equiv</t>
  </si>
  <si>
    <t>cc</t>
  </si>
  <si>
    <t>ci</t>
  </si>
  <si>
    <t>ii</t>
  </si>
  <si>
    <t>ic</t>
  </si>
  <si>
    <t>ci w/o rdtp</t>
  </si>
  <si>
    <t>ic w//o rdtp</t>
  </si>
  <si>
    <t>gen1</t>
  </si>
  <si>
    <t>gen2</t>
  </si>
  <si>
    <t>gen0 (Qwen2.5Coder)</t>
  </si>
  <si>
    <t>ic w/o rdtp</t>
  </si>
  <si>
    <t>java.util.ArrayList</t>
  </si>
  <si>
    <t>ArrayList()</t>
  </si>
  <si>
    <t>this.isEmpty()</t>
  </si>
  <si>
    <t>The list is empty after initialization.</t>
  </si>
  <si>
    <t>assert this.isEmpty() &amp;&amp; this.size() == 0;</t>
  </si>
  <si>
    <t>assert this.isEmpty();</t>
  </si>
  <si>
    <t>this.size()==0</t>
  </si>
  <si>
    <t>The size of the list is zero when it is created.</t>
  </si>
  <si>
    <t>assert this.size() == 0;</t>
  </si>
  <si>
    <t>ArrayList(Collection c)</t>
  </si>
  <si>
    <t>c!=null =&gt; this.size()==c.size()</t>
  </si>
  <si>
    <t>c==null =&gt; throw NullPointerExpcetion</t>
  </si>
  <si>
    <t>c!=null</t>
  </si>
  <si>
    <t>If the collection 'c' is not null, then the size of this list is equal to the size of 'c'.</t>
  </si>
  <si>
    <t>assert c != null =&gt; this.size() == c.size();</t>
  </si>
  <si>
    <t>c!=null =&gt; \forall int i; 0&lt;=i&amp;&amp;i&lt;this.size(); this.get(i)==c.toArray()[i]</t>
  </si>
  <si>
    <t>If the collection c is not null, then for every valid index i (from 0 to the size of this list), the element at index i in this list is equal to the element at index i in the collection c.</t>
  </si>
  <si>
    <t>assert c != null =&gt; \forall int i; 0 &lt;= i &amp;&amp; i &lt; this.size(); this.get(i).equals(((Object[])c.toArray())[i]);</t>
  </si>
  <si>
    <t>assert c != null =&gt; \forall int i; 0 &lt;= i &amp;&amp; i &lt; this.size(); this.get(i).equals(a[i]);</t>
  </si>
  <si>
    <t>assert c != null &amp;&amp; \forall int i; 0 &lt;= i &amp;&amp; i &lt; this.size(); this.get(i).equals(c.toArray()[i]);</t>
  </si>
  <si>
    <t xml:space="preserve">c!=null =&gt; this.equals(c) </t>
  </si>
  <si>
    <t>If the collection 'c' is not null, then this list is equal to 'c'.</t>
  </si>
  <si>
    <t>assert c != null =&gt; this.equals(c);</t>
  </si>
  <si>
    <t>assert c != null =&gt; this.size() == c.size() &amp;&amp; \forall int i; 0 &lt;= i &amp;&amp; i &lt; c.size(); this.get(i).equals(c.toArray()[i]);</t>
  </si>
  <si>
    <t>assert c != null =&gt; this.size() == c.size() &amp;&amp; \forall int i; 0 &lt;= i &amp;amp;&amp;amp; i &lt; this.size(); this.get(i).equals(c.toArray()[i]);</t>
  </si>
  <si>
    <t>assert c != null =&gt; this.size() == c.size() &amp;&amp; \forall int i; 0 &lt;= i &amp;&amp; i &lt; this.size(); this.get(i).equals(c.toArray()[i]);</t>
  </si>
  <si>
    <t>ArrayList(int initialCapacity)</t>
  </si>
  <si>
    <t>initialCapacity&gt;=0 =&gt; this.isEmpty()</t>
  </si>
  <si>
    <t>initialCapacity&lt;0 =&gt; throw IllegalArgumentException</t>
  </si>
  <si>
    <t>initialCapacity&gt;=0</t>
  </si>
  <si>
    <t>If the initial capacity is greater than or equal to 0, then the list is empty.</t>
  </si>
  <si>
    <t>assert (initialCapacity &gt;= 0) =&gt; this.isEmpty();</t>
  </si>
  <si>
    <t>assert initialCapacity &gt;= 0 =&gt; this.isEmpty();</t>
  </si>
  <si>
    <t>assert (initialCapacity &gt;= 0) =&gt; (this.isEmpty() &amp;&amp; this.size() == 0);</t>
  </si>
  <si>
    <t>initialCapacity&gt;=0 =&gt; this.size()==0</t>
  </si>
  <si>
    <t>If the initial capacity is greater than or equal to 0, then the size of the list is 0.</t>
  </si>
  <si>
    <t>assert initialCapacity &gt;= 0 =&gt; this.size() == 0;</t>
  </si>
  <si>
    <t>add(E e)</t>
  </si>
  <si>
    <t>this.contains(e)</t>
  </si>
  <si>
    <t>The list contains the specified element after it has been added.</t>
  </si>
  <si>
    <t>assert this.contains(e);</t>
  </si>
  <si>
    <t>\result==true</t>
  </si>
  <si>
    <t>The result of adding an element is always true.</t>
  </si>
  <si>
    <t>assert \result == true;</t>
  </si>
  <si>
    <t>assert \result;</t>
  </si>
  <si>
    <t>e==null &amp;&amp; this.get(this.size()-1)==null || e!=null &amp;&amp; e.equals(this.get(this.size()-1))</t>
  </si>
  <si>
    <t>If the appended element is null, the last element in the list is also null; otherwise, the appended element equals the last element in the list.</t>
  </si>
  <si>
    <t>assert ((e == null) =&gt; (this.get(this.size() - 1) == null)) &amp;&amp; ((e != null) =&gt; (this.get(this.size() - 1).equals(e)));</t>
  </si>
  <si>
    <t>assert ((e == null) =&gt; this.get(this.size() - 1) == null) &amp;&amp; ((e != null) =&gt; this.get(this.size() - 1).equals(e));</t>
  </si>
  <si>
    <t>assert (e == null) =&gt; this.get(this.size() - 1) == null &amp;&amp; (e != null) =&gt; this.get(this.size() - 1).equals(e);</t>
  </si>
  <si>
    <t>assert (e == null) =&gt; (this.get(this.size() - 1) == null) &amp;&amp; (e != null) =&gt; (this.get(this.size() - 1).equals(e));</t>
  </si>
  <si>
    <t>add(int index, E element)</t>
  </si>
  <si>
    <t>index&gt;=0 &amp;&amp; index&lt;=\old(this.size()) =&gt; this.contains(element)</t>
  </si>
  <si>
    <t>index&lt;0 || index&gt;this.size() =&gt; throw IndexOutOfBoundsException</t>
  </si>
  <si>
    <t>index&gt;=0 &amp;&amp; index&lt;=this.size()</t>
  </si>
  <si>
    <t>If the index is between 0 and the initial size of the list inclusive, then the list contains the inserted element.</t>
  </si>
  <si>
    <t>assert (0 &lt;= index &amp;&amp; index &lt;= \old(this.size())) =&gt; this.contains(element);</t>
  </si>
  <si>
    <t>assert (index &gt;= 0 &amp;&amp; index &lt;= \old(this.size())) =&gt; this.contains(element);</t>
  </si>
  <si>
    <t>assert index &gt;= 0 &amp;&amp; index &lt;= \old(size) =&gt; this.contains(element);</t>
  </si>
  <si>
    <t>assert index &gt;= 0 &amp;&amp; index &lt;= \old(size()) =&gt; this.contains(element);</t>
  </si>
  <si>
    <t>index&gt;=0 &amp;&amp; index&lt;=\old(this.size()) =&gt; element==null&amp;&amp;this.get(index)==null || this.get(index).equals(element)</t>
  </si>
  <si>
    <t>If the index is between 0 and the initial size of the list inclusive, then if the element is null, the element at that index is also null, or the element at that index is equal to the inserted element.</t>
  </si>
  <si>
    <t>assert (0 &lt;= index &amp;&amp; index &lt;= \old(this.size())) =&gt; (element == null ? this.get(index) == null : this.get(index).equals(element));</t>
  </si>
  <si>
    <t>assert (0 &lt;= index &amp;&amp; index &lt;= \old(size)) =&gt; (element == null ? this.get(index) == null : this.get(index).equals(element));</t>
  </si>
  <si>
    <t>assert (index &gt;= 0 &amp;&amp; index &lt;= \old(size)) =&gt; (element == null ? this.get(index) == null : this.get(index).equals(element));</t>
  </si>
  <si>
    <t>assert index &gt;= 0 &amp;&amp; index &lt;= \old(size) =&gt; (element == null ? this.get(index) == null : this.get(index).equals(element));</t>
  </si>
  <si>
    <t>index&gt;=0 &amp;&amp; index&lt;=\old(this.size()) =&gt; \forall int i; 0 &lt;= i&amp;&amp;i &lt; index; this.get(i)==null &amp;&amp; \old(this.get(i))==null || this.get(i).equals(\old(this.get(i)))</t>
  </si>
  <si>
    <t>If the index is between 0 and the initial size of the list inclusive, then for every valid index less than the specified index, each element at these indices remains unchanged or is null both before and after the operation.</t>
  </si>
  <si>
    <t>assert (0 &lt;= index &amp;&amp; index &lt;= \old(this.size())) =&gt; \forall int i; 0 &lt;= i &amp;&amp; i &lt; index; this.get(i).equals(\old(this.get(i)));</t>
  </si>
  <si>
    <t>assert (0 &lt;= index &amp;&amp; index &lt;= \old(this.size())) =&gt; \forall int i; 0 &lt;= i &amp;&amp; i &lt; index; this.get(i) == \old(this.get(i));</t>
  </si>
  <si>
    <t>assert index &gt;= 0 &amp;&amp; index &lt;= \old(this.size()) =&gt; \forall int i; 0 &lt;= i &amp;&amp; i &lt; index; (this.get(i) == null ? \old(this.get(i)) == null : this.get(i).equals(\old(this.get(i))));</t>
  </si>
  <si>
    <t>assert index &gt;= 0 &amp;&amp; index &lt;= \old(size) =&gt; \forall int i; 0 &lt;= i &amp;&amp; i &lt; index; (this.get(i) != null &amp;&amp; this.get(i).equals(\old(this.get(i)))) || (this.get(i) == null &amp;&amp; \old(this.get(i)) == null);</t>
  </si>
  <si>
    <t>assert index &gt;= 0 &amp;&amp; index &lt;= \old(this.size()) =&gt; \forall int i; 0 &lt;= i &amp;&amp; i &lt; index; (i &lt; \old(this.size()) ? this.get(i).equals(\old(this.get(i))) : this.get(i) == null);</t>
  </si>
  <si>
    <t>assert index &gt;= 0 &amp;&amp; index &lt;= \old(size) =&gt; \forall int i; 0 &lt;= i &amp;&amp; i &lt; index; (this.get(i) == \old(this.get(i)) || \old(this.get(i)) == null);</t>
  </si>
  <si>
    <t>index&gt;=0 &amp;&amp; index&lt;=\old(this.size()) =&gt; \forall int i; index &lt;= i&amp;&amp;i &lt;\old(this.size()); this.get(i+1) == null&amp;&amp;\old(this.get(i)) == null||this.get(i+1).equals(\old(this.get(i)))</t>
  </si>
  <si>
    <t>If the index is between 0 and the initial size of the list inclusive, then for every valid index from the insertion point to the old size of the list, the element at each subsequent index in the updated list is either null and was null in the old list, or is equal to the element at the previous index in the old list.</t>
  </si>
  <si>
    <t>assert (index &gt;= 0 &amp;&amp; index &lt;= \old(this.size())) =&gt; \forall int i; index &lt; i &amp;&amp; i &lt;= \old(this.size()); ( (this.get(i) == null &amp;&amp; \old(this.get(i-1)) == null) || (this.get(i) != null &amp;&amp; this.get(i).equals(\old(this.get(i-1)))) );</t>
  </si>
  <si>
    <t>assert (0 &lt;= index &amp;&amp; index &lt;= \old(this.size())) =&gt; \forall int i; index &lt;= i &amp;&amp; i &lt; \old(this.size()); ((this.get(i+1) == null &amp;&amp; \old(this.get(i)) == null) || (this.get(i+1) != null &amp;&amp; this.get(i+1).equals(\old(this.get(i)))));</t>
  </si>
  <si>
    <t>assert index &gt;= 0 &amp;&amp; index &lt;= \old(this.size()) =&gt; \forall int i; index &lt;= i &amp;&amp; i &lt; \old(this.size()); (this.get(i).equals(\old(this.get(i-1))) || (this.get(i) == null &amp;&amp; \old(this.get(i)) == null));</t>
  </si>
  <si>
    <t>assert index &gt;= 0 &amp;&amp; index &lt;= \old(size) =&gt; \forall int i; index &lt;= i &amp;&amp; i &lt; \old(size); (this.get(i).equals(\old(this.get(i-1))) || (this.get(i) == null &amp;&amp; \old(this.get(i)) == null));</t>
  </si>
  <si>
    <t>addAll(Collection c)</t>
  </si>
  <si>
    <t>addAll(int index, Collection c)</t>
  </si>
  <si>
    <t>clear()</t>
  </si>
  <si>
    <t>The list is empty after this operation.</t>
  </si>
  <si>
    <t>The size of the list is zero after clearing it.</t>
  </si>
  <si>
    <t>clone()</t>
  </si>
  <si>
    <t>\result!=this</t>
  </si>
  <si>
    <t>The result of the clone method is not the same object as the original ArrayList instance.</t>
  </si>
  <si>
    <t>assert \result != this;</t>
  </si>
  <si>
    <t>assert this != \result;</t>
  </si>
  <si>
    <t>\result.equals(this)</t>
  </si>
  <si>
    <t>The result of cloning this ArrayList instance is equal to the original instance.</t>
  </si>
  <si>
    <t>assert \result instanceof ArrayList &amp;&amp; ((ArrayList)\result).size() == this.size() &amp;&amp; \forall int i; 0 &lt;= i &amp;&amp; i &lt; this.size(); ((ArrayList)\result).get(i).equals(this.get(i));</t>
  </si>
  <si>
    <t>assert ((ArrayList) \result).size() == this.size() &amp;&amp; \forall int i; 0 &lt;= i &amp;&amp; i &lt; this.size(); ((ArrayList) \result).get(i).equals(this.get(i));</t>
  </si>
  <si>
    <t>assert \result.equals(this);</t>
  </si>
  <si>
    <t>assert this.equals(\result);</t>
  </si>
  <si>
    <t>((ArrayList&lt;?&gt;) \result).size()==this.size()</t>
  </si>
  <si>
    <t>The size of the cloned ArrayList is equal to the size of the original ArrayList.</t>
  </si>
  <si>
    <t>assert ((ArrayList) \result).size() == this.size();</t>
  </si>
  <si>
    <t>assert \result.size() == this.size();</t>
  </si>
  <si>
    <t>assert ((ArrayList&amp;lt;?&amp;gt;) \result).size() == this.size();</t>
  </si>
  <si>
    <t>assert ((ArrayList&lt;?&gt;) \result).size() == this.size();</t>
  </si>
  <si>
    <t>\forall int i; 0&lt;=i &amp;&amp; i&lt;this.size(); ((ArrayList&lt;?&gt;) \result).get(i)==this.get(i)</t>
  </si>
  <si>
    <t>For every valid index i (from 0 up to the size of this list), the element at index i in the cloned list is the same as the element at index i in the original list.</t>
  </si>
  <si>
    <t>assert \forall int i; 0 &lt;= i &amp;&amp; i &lt; this.size(); ((ArrayList) \result).get(i).equals(this.get(i));</t>
  </si>
  <si>
    <t>assert \forall int i; 0 &lt;= i &amp;&amp; i &lt; this.size(); ((ArrayList)\result).get(i).equals(this.get(i));</t>
  </si>
  <si>
    <t>assert \forall int i; 0&lt;=i &amp;&amp; i&lt;this.size(); ((ArrayList&amp;lt;E&amp;gt;) \result).get(i).equals(this.get(i));</t>
  </si>
  <si>
    <t>assert \forall int i; 0&lt;=i &amp;&amp; i&lt;this.size(); ((ArrayList&lt;?&gt;)\result).get(i).equals(this.get(i));</t>
  </si>
  <si>
    <t>\result!=null</t>
  </si>
  <si>
    <t>The result of cloning this ArrayList instance is never null.</t>
  </si>
  <si>
    <t>assert \result != null;</t>
  </si>
  <si>
    <t>get(int index)</t>
  </si>
  <si>
    <t>indexOf(Object o)</t>
  </si>
  <si>
    <t>isEmpty()</t>
  </si>
  <si>
    <t>iterator()</t>
  </si>
  <si>
    <t>lastIndexOf(Object o)</t>
  </si>
  <si>
    <t>listIterator()</t>
  </si>
  <si>
    <t>listIterator(int index)</t>
  </si>
  <si>
    <t>remove(int index)</t>
  </si>
  <si>
    <t>index&gt;=0 &amp;&amp; index&lt;\old(this.size()) =&gt; \result==\old(this.get(index))</t>
  </si>
  <si>
    <t>index &lt; 0 || index &gt;= this.size() =&gt; throw IndexOutOfBoundsException</t>
  </si>
  <si>
    <t>index &gt;=0 &amp;&amp; index &lt; this.size()</t>
  </si>
  <si>
    <t>If the index is valid (greater than or equal to 0 and less than the initial size of the list), then the result is the element that was at that index before the removal.</t>
  </si>
  <si>
    <t>assert (index &gt;= 0 &amp;&amp; index &lt; \old(this.size())) =&gt; \result.equals(\old(this.get(index)));</t>
  </si>
  <si>
    <t>assert index &gt;= 0 &amp;&amp; index &lt; \old(this.size()) =&gt; \result.equals(\old(this.get(index)));</t>
  </si>
  <si>
    <t>index&gt;=0 &amp;&amp; index&lt;\old(this.size()) =&gt; \forall int i; 0&lt;=i &amp;&amp; i&lt;index; this.get(i)==null &amp;&amp; \old(this.get(i))==null || this.get(i).equals(\old(this.get(i)))</t>
  </si>
  <si>
    <t>If the index is valid (greater than or equal to 0 and less than the initial size of the list), then for every valid index before the specified index, either both the current and old values at that index are null, or the current value at that index equals the old value at that index.</t>
  </si>
  <si>
    <t>assert (index &gt;= 0 &amp;&amp; index &lt; \old(this.size())) =&gt; \forall int i; 0 &lt;= i &amp;&amp; i &lt; index; (this.get(i) == null &amp;&amp; \old(this.get(i)) == null) || this.get(i).equals(\old(this.get(i))));</t>
  </si>
  <si>
    <t>assert index&gt;=0 &amp;&amp; index&lt;\old(this.size()) =&gt; \forall int i; 0&lt;=i &amp;&amp; i&lt;index; (this.get(i)==null &amp;&amp; \old(this.get(i))==null) || this.get(i).equals(\old(this.get(i))));</t>
  </si>
  <si>
    <t>assert (index &gt;= 0 &amp;&amp; index &lt; \old(this.size())) =&gt; \forall int i; 0 &lt;= i &amp;&amp; i &lt; index; (\old(this.get(i)) == null &amp;&amp; this.get(i) == null) || this.get(i).equals(\old(this.get(i)));\</t>
  </si>
  <si>
    <t>assert index&gt;=0 &amp;&amp; index&lt;\old(this.size()) =&gt; \forall int i; 0&lt;=i &amp;&amp; i&lt;index; (this.get(i) == null &amp;&amp; \old(this.get(i)) == null) || this.get(i).equals(\old(this.get(i)));</t>
  </si>
  <si>
    <t>assert index &gt;= 0 &amp;&amp; index &lt; \old(this.size()) =&gt; \forall int i; 0 &lt;= i &amp;&amp; i &lt; index; (this.get(i) == null &amp;&amp; \old(this.get(i)) == null) || this.get(i).equals(\old(this.get(i)));</t>
  </si>
  <si>
    <t>index&gt;=0 &amp;&amp; index&lt;\old(this.size()) =&gt; \forall int i; index&lt;i &amp;&amp; i&lt;\old(this.size()-1); this.get(i)==null &amp;&amp; \old(this.get(i+1))==null || this.get(i).equals(\old(this.get(i+1)))</t>
  </si>
  <si>
    <t>If the index is valid (greater than or equal to 0 and less than the initial size of the list), then for every position i greater than the index and less than the old size minus one, either both the current and the next elements in the old list are null, or the element at position i in the updated list is equal to the element at position i+1 in the old list.</t>
  </si>
  <si>
    <t>assert index &gt;= 0 &amp;&amp; index &lt; \old(this.size()) =&gt; \forall int i; index &lt; i &amp;&amp; i &lt; \old(this.size()) - 1; ( (\old(this.get(i)) == null &amp;&amp; \old(this.get(i+1)) == null) || ( \old(this.get(i+1)) != null &amp;&amp; this.get(i).equals(\old(this.get(i+1))) ) );</t>
  </si>
  <si>
    <t>assert (index &gt;= 0 &amp;&amp; index &lt; \old(this.size())) =&gt; \forall int i; i &gt; index &amp;&amp; i &lt; \old(this.size()) - 1; ( (\old(this.get(i)) == null &amp;&amp; \old(this.get(i + 1)) == null) || this.get(i).equals(\old(this.get(i + 1))) );</t>
  </si>
  <si>
    <t>assert (index &gt;= 0 &amp;&amp; index &lt; \old(this.size())) =&gt; \forall int i; index &lt; i &amp;&amp; i &lt; \old(this.size()) - 1; ( (\old(this.get(i)) == null &amp;&amp; \old(this.get(i+1)) == null) || this.get(i).equals(\old(this.get(i+1))) );</t>
  </si>
  <si>
    <t>assert index &gt;= 0 &amp;&amp; index &lt; \old(this.size()) =&gt; \forall int i; index&lt;i &amp;&amp; i&lt;\old(this.size())-1; (this.get(i) == null &amp;&amp; \old(this.get(i+1)) == null) || this.get(i).equals(\old(this.get(i+1)));</t>
  </si>
  <si>
    <t>assert index &gt;= 0 &amp;&amp; index &lt; \old(this.size()) =&gt; \forall int i; index &lt; i &amp;&amp; i &lt; \old(this.size())-1; (this.get(i) == null &amp;&amp; \old(this.get(i+1)) == null) || this.get(i).equals(\old(this.get(i+1)));</t>
  </si>
  <si>
    <t>remove(Object o)</t>
  </si>
  <si>
    <t>\old(this.contains(o)) =&gt; \result==true</t>
  </si>
  <si>
    <t>If the list originally contained the element 'o', then the result of the removal operation is true.</t>
  </si>
  <si>
    <t>assert \old(this.contains(o)) =&gt; \result;</t>
  </si>
  <si>
    <t>assert \old(this.contains(o)) =&gt; \result == true;</t>
  </si>
  <si>
    <t>assert (\old(this.contains(o)) =&gt; \result == true);</t>
  </si>
  <si>
    <t>removeAll(Collection c)</t>
  </si>
  <si>
    <t>removeRange(int fromIndex, int toIndex)</t>
  </si>
  <si>
    <t>fromIndex&lt;0 || fromIndex&gt;=this.size() || toIndex&gt;this.size() || toIndex&lt;fromIndex =&gt; throw IndexOutOfBoundsException</t>
  </si>
  <si>
    <t>0&lt;=fromIndex &amp;&amp; fromIndex&lt;=toIndex &amp;&amp; toIndex&lt;=this.size()</t>
  </si>
  <si>
    <t>retainAll(Collection c)</t>
  </si>
  <si>
    <t>set(int index, E element)</t>
  </si>
  <si>
    <t>index&lt;0 || index&gt;=this.size() =&gt; throw IndexOutOfBoundsException</t>
  </si>
  <si>
    <t>index&gt;=0 &amp;&amp; index&lt;this.size()</t>
  </si>
  <si>
    <t>If the index is non-negative and less than the initial size of the list, then the returned value is the same as the element that was at that position before the update.</t>
  </si>
  <si>
    <t>If the index is valid (non-negative and less than the initial size of the list), then for every valid index i before the specified index, either both the current and old values at i are null, or the current value at i is equal to its old value.</t>
  </si>
  <si>
    <t>assert (index &gt;= 0 &amp;&amp; index &lt; \old(this.size())) =&gt; \forall int i; 0 &lt;= i &amp;&amp; i &lt; index; (this.get(i) == null ? \old(this.get(i)) == null : this.get(i).equals(\old(this.get(i))));</t>
  </si>
  <si>
    <t>assert (0 &lt;= index &amp;&amp; index &lt; \old(this.size())) =&gt; \forall int i; 0 &lt;= i &amp;&amp; i &lt; index; (this.get(i) == null ? \old(this.get(i)) == null : this.get(i).equals(\old(this.get(i))));</t>
  </si>
  <si>
    <t>assert (index &gt;= 0 &amp;&amp; index &lt; \old(this.size())) =&gt; \forall int i; 0 &lt;= i &amp;&amp; i &lt; index; ( (this.get(i) == null &amp;&amp; \old(this.get(i)) == null) || this.get(i).equals(\old(this.get(i))) );</t>
  </si>
  <si>
    <t>assert \forall int i; 0&lt;=i &amp;&amp; i&lt;\old(this.size()) &amp;&amp; i!=index; (this.get(i) == null &amp;&amp; \old(this.get(i)) == null) || this.get(i).equals(\old(this.get(i)));</t>
  </si>
  <si>
    <t>index&gt;=0 &amp;&amp; index&lt;\old(this.size()) =&gt; \forall int i; index&lt;i &amp;&amp; i&lt;this.size(); this.get(i)==null &amp;&amp; \old(this.get(i))==null || this.get(i).equals(\old(this.get(i)))</t>
  </si>
  <si>
    <t>If the index is valid (non-negative and less than the initial size of the list), then for every position greater than the index and within the list size, the element at that position remains unchanged if it was null before, or it is equal to its old value if it was not null.</t>
  </si>
  <si>
    <t>assert (index &gt;= 0 &amp;&amp; index &lt; \old(this.size())) =&gt; \forall int i; i &gt; index &amp;&amp; i &lt; \old(this.size()); (\old(this.get(i)) == null ? this.get(i) == null : this.get(i).equals(\old(this.get(i))));</t>
  </si>
  <si>
    <t>assert (0 &lt;= index &amp;&amp; index &lt; \old(this.size())) =&gt; \forall int i; i &gt; index &amp;&amp; i &lt; this.size(); (\old(this.get(i)) == null ? this.get(i) == null : this.get(i).equals(\old(this.get(i))));</t>
  </si>
  <si>
    <t>assert \forall int i; index&lt;i &amp;&amp; i&lt;size(); (this.get(i) == null &amp;&amp; \old(this.get(i)) == null) || this.get(i).equals(\old(this.get(i))));</t>
  </si>
  <si>
    <t>assert \forall int i; index&lt;i &amp;&amp; i&lt;size(); (this.get(i) == null &amp;&amp; \old(this.get(i)) == null) || (this.get(i).equals(\old(this.get(i)))));</t>
  </si>
  <si>
    <t>size()</t>
  </si>
  <si>
    <t>spliterator()</t>
  </si>
  <si>
    <t>subList(int fromIndex, int toIndex)</t>
  </si>
  <si>
    <t>fromIndex&lt;0 || toIndex&gt;this.size() =&gt; throw IndexOutOfBoundsException</t>
  </si>
  <si>
    <t xml:space="preserve">fromIndex&gt;=0 &amp;&amp; toIndex&lt;=this.size() </t>
  </si>
  <si>
    <t>fromIndex&gt;toIndex =&gt; throw IllegalArgumentException</t>
  </si>
  <si>
    <t xml:space="preserve">fromIndex&lt;=toIndex </t>
  </si>
  <si>
    <t>toArray()</t>
  </si>
  <si>
    <t>The returned array is never null.</t>
  </si>
  <si>
    <t>\result.length==this.size()</t>
  </si>
  <si>
    <t>The length of the returned array is equal to the size of the list.</t>
  </si>
  <si>
    <t>assert \result.length == this.size();</t>
  </si>
  <si>
    <t>\forall int i; 0&lt;=i &amp;&amp; i&lt;this.size(); this.get(i)==null &amp;&amp; \result[i]==null || this.get(i).equals(\result[i])</t>
  </si>
  <si>
    <t>For every valid index i (from 0 to the size of the list), if the element at index i in the list is null, then the element at index i in the returned array is also null; otherwise, the element in the list at index i is equal to the element at index i in the returned array.</t>
  </si>
  <si>
    <t>assert \forall int i; 0 &lt;= i &amp;&amp; i &lt; this.size(); (this.get(i) == null =&gt; \result[i] == null) &amp;&amp; (this.get(i) != null =&gt; this.get(i).equals(\result[i]));</t>
  </si>
  <si>
    <t>assert \forall int i; 0&lt;=i &amp;&amp; i&lt;this.size(); (this.get(i) == null) == (Arrays.copyOf(elementData, size)[i] == null) &amp;&amp; (this.get(i) != null) =&gt; this.get(i).equals(Arrays.copyOf(elementData, size)[i]);</t>
  </si>
  <si>
    <t>assert \forall int i; 0 &lt;= i &amp;&amp; i &lt; this.size(); (this.get(i) == null) == (Arrays.copyOf(elementData, size)[i] == null) &amp;&amp; (this.get(i) != null) =&gt; this.get(i).equals(Arrays.copyOf(elementData, size)[i]);</t>
  </si>
  <si>
    <t>assert \forall int i; 0&lt;=i &amp;&amp; i&lt;this.size(); (this.get(i) == null) == (\result[i] == null) &amp;&amp; (this.get(i) != null) ==&gt; this.get(i).equals(\result[i]);</t>
  </si>
  <si>
    <t>toArray(T[] a)</t>
  </si>
  <si>
    <t>a!=null &amp;&amp; (\forall int i; 0&lt;=i&amp;&amp;i&lt;this.size(); a.getClass().getComponentType().isInstance(this.toArray()[i])) =&gt; \result!=null</t>
  </si>
  <si>
    <t>a==null =&gt; throw NullPointerExpcetion</t>
  </si>
  <si>
    <t>a!=null</t>
  </si>
  <si>
    <t>assert a != null =&gt; \result != null;</t>
  </si>
  <si>
    <t>java.util.ArrayDeque</t>
  </si>
  <si>
    <t>ArrayDeque()</t>
  </si>
  <si>
    <t>The deque is empty after initialization.</t>
  </si>
  <si>
    <t>The size of the deque is zero when it is initially created.</t>
  </si>
  <si>
    <t>ArrayDeque(Collection c)</t>
  </si>
  <si>
    <t>If the collection 'c' is not null, then the size of this deque is equal to the size of the collection 'c'.</t>
  </si>
  <si>
    <t>assert (c != null) =&gt; this.size() == c.size();</t>
  </si>
  <si>
    <t>ArrayDeque(int numElements)</t>
  </si>
  <si>
    <t>the deque is empty after initialization.</t>
  </si>
  <si>
    <t>The deque is empty initially.</t>
  </si>
  <si>
    <t>e!=null =&gt; this.contains(e)</t>
  </si>
  <si>
    <t>e==null =&gt; throw NullPointerExpcetion</t>
  </si>
  <si>
    <t>e!=null</t>
  </si>
  <si>
    <t>If the element is not null, then it is contained in the deque after the operation.</t>
  </si>
  <si>
    <t>assert e != null =&gt; this.contains(e);</t>
  </si>
  <si>
    <t>e!=null =&gt;\result==true</t>
  </si>
  <si>
    <t>If the element to be added is not null, then the result is true.</t>
  </si>
  <si>
    <t>assert (e != null) =&gt; \result == true;</t>
  </si>
  <si>
    <t>assert e != null =&gt; \result == true;</t>
  </si>
  <si>
    <t>addFirst(E e)</t>
  </si>
  <si>
    <t>assert (e != null) =&gt; this.contains(e);</t>
  </si>
  <si>
    <t>addLast(E e)</t>
  </si>
  <si>
    <t>the deque is empty after this operation</t>
  </si>
  <si>
    <t>The deque is empty after this operation.</t>
  </si>
  <si>
    <t>The result of the clone method is not the same object as the original instance.</t>
  </si>
  <si>
    <t>assert result != this;</t>
  </si>
  <si>
    <t>\result.size()==this.size()</t>
  </si>
  <si>
    <t>The size of the cloned deque is equal to the size of the original deque.</t>
  </si>
  <si>
    <t>assert \result.size() == \old(this.size());</t>
  </si>
  <si>
    <t>assert this.size() == \old(this.size());</t>
  </si>
  <si>
    <t>The result of cloning the deque is never null.</t>
  </si>
  <si>
    <t>descendingIterator()</t>
  </si>
  <si>
    <t>element()</t>
  </si>
  <si>
    <t>getFirst()</t>
  </si>
  <si>
    <t>getLast()</t>
  </si>
  <si>
    <t>offer(E e)</t>
  </si>
  <si>
    <t>e!=null =&gt; \result==true</t>
  </si>
  <si>
    <t>If the element is not null, then the result is true.</t>
  </si>
  <si>
    <t>offerFirst(E e)</t>
  </si>
  <si>
    <t>If the element is not null, then it is contained in the deque.</t>
  </si>
  <si>
    <t>assert e != null =&gt; \result;</t>
  </si>
  <si>
    <t>assert (e != null) =&gt; \result;</t>
  </si>
  <si>
    <t>offerLast(E e)</t>
  </si>
  <si>
    <t>peek()</t>
  </si>
  <si>
    <t>peekFirst()</t>
  </si>
  <si>
    <t>peekLast()</t>
  </si>
  <si>
    <t>poll()</t>
  </si>
  <si>
    <t>\old(this.isEmpty()) =&gt; \result==null</t>
  </si>
  <si>
    <t>assert this.isEmpty() =&gt; \result == null;</t>
  </si>
  <si>
    <t>assert \old(this.isEmpty()) =&gt; \result == null;</t>
  </si>
  <si>
    <t>pollFirst()</t>
  </si>
  <si>
    <t>assert (\old(this.isEmpty())) =&gt; \result == null;</t>
  </si>
  <si>
    <t>pollLast()</t>
  </si>
  <si>
    <t>pop()</t>
  </si>
  <si>
    <t>this.isEmpty() =&gt; throw NoSuchElementException</t>
  </si>
  <si>
    <t>!this.isEmpty()</t>
  </si>
  <si>
    <t>push(E e)</t>
  </si>
  <si>
    <t>remove()</t>
  </si>
  <si>
    <t>If the deque originally contained the element, then the result of the removal is true.</t>
  </si>
  <si>
    <t>removeFirst()</t>
  </si>
  <si>
    <t>removeFirstOccurrence(Object o)</t>
  </si>
  <si>
    <t>If the deque originally contained the specified element, then the result is true.</t>
  </si>
  <si>
    <t>assert (\old(this.contains(o)) =&gt; \result);</t>
  </si>
  <si>
    <t>assert (\old(this.contains(o)) =&gt; \result) &amp;&amp; (!\old(this.contains(o)) =&gt; !\result);</t>
  </si>
  <si>
    <t>removeLast()</t>
  </si>
  <si>
    <t>removeLastOccurrence(Object o)</t>
  </si>
  <si>
    <t>If the element was in the deque before the operation, then the result is true.</t>
  </si>
  <si>
    <t>The length of the returned array is equal to the number of elements in the deque.</t>
  </si>
  <si>
    <t>assert this.toArray().length == this.size();</t>
  </si>
  <si>
    <t>java.util.Vector</t>
  </si>
  <si>
    <t>Vector()</t>
  </si>
  <si>
    <t>the vector is empty after it is created</t>
  </si>
  <si>
    <t>The size of the vector is zero after initialization.</t>
  </si>
  <si>
    <t>Vector(Collection c)</t>
  </si>
  <si>
    <t>If the collection 'c' is not null, then the size of the vector is equal to the size of the collection 'c'.</t>
  </si>
  <si>
    <t>assert (c != null) =&gt; (this.size() == c.size());</t>
  </si>
  <si>
    <t>c!=null =&gt; \forall int i; 0&lt;=i&amp;&amp;i&lt;this.size(); this.get(i).equals(c.toArray()[i])</t>
  </si>
  <si>
    <t>If the collection 'c' is not null, then for every valid index 'i' from 0 to the size of this vector, the element at index 'i' in this vector is equal to the element at index 'i' in the collection 'c'.</t>
  </si>
  <si>
    <t>assert (c != null) =&gt; \forall int i; 0 &lt;= i &amp;&amp; i &lt; this.size(); this.get(i).equals(((Object[])c.toArray())[i]);</t>
  </si>
  <si>
    <t>assert (c != null) =&gt; \forall int i; 0 &lt;= i &amp;&amp; i &lt; this.size(); this.get(i).equals(c.toArray()[i]);</t>
  </si>
  <si>
    <t>assert c != null =&gt; \forall int i; 0 &lt;= i &amp;&amp; i &lt; this.size(); this.get(i).equals(c.toArray()[i]);</t>
  </si>
  <si>
    <t>If the collection 'c' is not null, then this vector is equal to the collection 'c'.</t>
  </si>
  <si>
    <t>assert c != null =&gt; this.equals(new Vector&lt;&gt;(c));</t>
  </si>
  <si>
    <t>assert c != null =&gt; this.equals(new Vector(c));</t>
  </si>
  <si>
    <t>Vector(int initialCapacity)</t>
  </si>
  <si>
    <t>If the initial capacity is greater than or equal to 0, then the vector is empty.</t>
  </si>
  <si>
    <t>assert (initialCapacity &gt;= 0) =&gt; (this.size() == 0);</t>
  </si>
  <si>
    <t>If the initial capacity is greater than or equal to 0, then the size of the vector is 0.</t>
  </si>
  <si>
    <t>assert (initialCapacity &gt;= 0) =&gt; this.size() == 0;</t>
  </si>
  <si>
    <t>Vector(int initialCapacity, int capacityIncrement)</t>
  </si>
  <si>
    <t>initialCapacity&gt;=0 &amp;&amp; capacityIncrement&gt;=0 =&gt; this.isEmpty()</t>
  </si>
  <si>
    <t>If both initial capacity and capacity increment are non-negative, then the vector is empty.</t>
  </si>
  <si>
    <t>assert (initialCapacity &gt;= 0 &amp;&amp; capacityIncrement &gt;= 0) =&gt; this.isEmpty();</t>
  </si>
  <si>
    <t>assert (initialCapacity &gt;= 0 &amp;&amp; capacityIncrement &gt;= 0) =&gt; this.size() == 0;</t>
  </si>
  <si>
    <t>assert initialCapacity &gt;= 0 &amp;&amp; capacityIncrement &gt;= 0 =&gt; this.isEmpty();</t>
  </si>
  <si>
    <t>initialCapacity&gt;=0 &amp;&amp; capacityIncrement&gt;=0 =&gt; this.size()==0</t>
  </si>
  <si>
    <t>capacityIncrement&gt;=0</t>
  </si>
  <si>
    <t>If both initial capacity and capacity increment are non-negative, then the size of the vector is zero.</t>
  </si>
  <si>
    <t>assert initialCapacity &gt;= 0 &amp;&amp; capacityIncrement &gt;= 0 =&gt; this.size() == 0;</t>
  </si>
  <si>
    <t>The vector contains the specified element after it has been added.</t>
  </si>
  <si>
    <t>If the appended element is null, the last element in the vector is also null; otherwise, the appended element is equal to the last element in the vector.</t>
  </si>
  <si>
    <t>assert ((e == null) =&gt; (this.lastElement() == null)) &amp;&amp; ((e != null) =&gt; this.lastElement().equals(e));</t>
  </si>
  <si>
    <t>assert ((e == null) =&gt; this.lastElement() == null) &amp;&amp; ((e != null) =&gt; this.lastElement().equals(e));</t>
  </si>
  <si>
    <t>assert (e == null) =&gt; (this.lastElement() == null) &amp;&amp; (e != null) =&gt; (this.lastElement().equals(e));</t>
  </si>
  <si>
    <t>index&lt;0 || index&gt;this.size() =&gt; throw ArrayIndexOutOfBoundsException</t>
  </si>
  <si>
    <t>If the index is greater than or equal to 0 and less than or equal to the  initial size of the vector, then the vector contains the inserted element.</t>
  </si>
  <si>
    <t>assert index &gt;= 0 &amp;&amp; index &lt;= \old(this.size()) =&gt; this.contains(element);</t>
  </si>
  <si>
    <t>index&gt;=0 &amp;&amp; index&lt;=\old(this.size()) =&gt; element==null&amp;&amp;this.get(index)==null||this.get(index).equals(element)</t>
  </si>
  <si>
    <t>If the index is greater than or equal to 0 and less than or equal to the initial size of the vector, then if the element is null, the element at that index in the vector is also null, or the element at that index equals the specified element.</t>
  </si>
  <si>
    <t>assert (index &gt;= 0 &amp;&amp; index &lt;= \old(this.size())) =&gt; ( (element == null) ? this.elementAt(index) == null : this.elementAt(index).equals(element) );</t>
  </si>
  <si>
    <t>assert (index &gt;= 0 &amp;&amp; index &lt;= \old(this.size())) =&gt; (element == null ? this.get(index) == null : this.get(index).equals(element));</t>
  </si>
  <si>
    <t>If the index is between 0 and the initial size of the vector inclusive, then for every valid index less than the specified index, the element at that position remains unchanged or is null if it was originally null.</t>
  </si>
  <si>
    <t>assert (index &gt;= 0 &amp;&amp; index &lt;= \old(this.size())) =&gt; \forall int i; 0 &lt;= i &amp;&amp; i &lt; index; this.elementAt(i) == \old(this.elementAt(i));</t>
  </si>
  <si>
    <t>assert (index &gt;= 0 &amp;&amp; index &lt;= \old(this.size())) =&gt; \forall int i; 0 &lt;= i &amp;&amp; i &lt; index; this.get(i).equals(\old(this.get(i)));</t>
  </si>
  <si>
    <t>assert (0 &lt;= index &amp;&amp; index &lt;= \old(this.size())) =&gt; \forall int i; 0 &lt;= i &amp;&amp; i &lt; index; (this.get(i) == \old(this.get(i)) || (this.get(i) != null &amp;&amp; this.get(i).equals(\old(this.get(i)))));</t>
  </si>
  <si>
    <t>assert index &gt;= 0 &amp;&amp; index &lt;= \old(this.size()) =&gt; \forall int i; 0 &lt;= i &amp;&amp; i &lt; index; (this.get(i) == null &amp;&amp; \old(this.get(i)) == null) || this.get(i).equals(\old(this.get(i))));</t>
  </si>
  <si>
    <t>assert index &gt;= 0 &amp;&amp; index &lt;= \old(this.size()) =&gt; \forall int i; 0 &lt;= i &amp;&amp; i &lt; index; (this.get(i) == null) == (\old(this.get(i)) == null) &amp;&amp; (this.get(i) != null) =&gt; this.get(i).equals(\old(this.get(i))));</t>
  </si>
  <si>
    <t>If the index is greater than or equal to 0 and less than or equal to the  initial size of the vector, then for every valid index i from the insertion index to the old size of the vector, the element at position i+1 in the updated vector is either null and the old element at i was null, or it is equal to the old element at i.</t>
  </si>
  <si>
    <t>assert (index &gt;= 0 &amp;&amp; index &lt;= \old(this.size())) =&gt; \forall int i; i &gt;= index &amp;&amp; i &lt; \old(this.size()); ( (this.elementAt(i+1) == null &amp;&amp; \old(this.elementAt(i)) == null) || (this.elementAt(i+1) != null &amp;&amp; this.elementAt(i+1).equals(\old(this.elementAt(i)))) );</t>
  </si>
  <si>
    <t>assert (index &gt;= 0 &amp;&amp; index &lt;= \old(this.size())) =&gt; \forall int i; i &gt;= index &amp;&amp; i &lt; \old(this.size()); ( (this.get(i+1) == null &amp;&amp; \old(this.get(i)) == null) || (this.get(i+1) != null &amp;&amp; this.get(i+1).equals(\old(this.get(i)))) );</t>
  </si>
  <si>
    <t>assert (index &gt;= 0 &amp;&amp; index &lt;= \old(this.size())) =&gt; \forall int i; index &lt;= i &amp;&amp; i &lt; \old(this.size()); ( (this.elementAt(i+1) == null &amp;&amp; \old(this.elementAt(i)) == null) || this.elementAt(i+1).equals(\old(this.elementAt(i))) );</t>
  </si>
  <si>
    <t>assert index &gt;= 0 &amp;&amp; index &lt;= \old(this.size()) =&gt; \forall int i; index &lt;= i &amp;&amp; i &lt; \old(this.size()); (this.get(i+1) == null &amp;&amp; \old(this.get(i)) == null) || this.get(i+1).equals(\old(this.get(i)));</t>
  </si>
  <si>
    <t>addElement(E obj)</t>
  </si>
  <si>
    <t>this.contains(obj)</t>
  </si>
  <si>
    <t>The vector contains the added element after the operation.</t>
  </si>
  <si>
    <t>assert this.contains(obj);</t>
  </si>
  <si>
    <t>The vector is empty after clearing all elements.</t>
  </si>
  <si>
    <t>The size of the vector is zero after this operation.</t>
  </si>
  <si>
    <t>The result of the clone method is not the same instance as the original object.</t>
  </si>
  <si>
    <t>The returned object from the method is equal to the original object.</t>
  </si>
  <si>
    <t>((Vector&lt;E&gt;) \result).size()==this.size()</t>
  </si>
  <si>
    <t>The size of the cloned vector is equal to the size of the original vector.</t>
  </si>
  <si>
    <t>assert ((Vector) \result).size() == this.size();</t>
  </si>
  <si>
    <t>\forall int i; 0&lt;=i &amp;&amp; i&lt;this.size(); ((Vector&lt;E&gt;) \result).get(i)==this.get(i)</t>
  </si>
  <si>
    <t>For every valid index i (from 0 to the size of this vector), the element at index i in the cloned vector is the same as the element at index i in the original vector.</t>
  </si>
  <si>
    <t>assert \forall int i; 0 &lt;= i &amp;&amp; i &lt; this.size(); ((Vector&lt;E&gt;)\result).get(i).equals(this.get(i));</t>
  </si>
  <si>
    <t>assert \forall int i; 0&lt;=i &amp;&amp; i&lt;this.size(); this.get(i).equals(((Vector&lt;E&gt;)\result).get(i)));</t>
  </si>
  <si>
    <t>assert \forall int i; 0&lt;=i &amp;&amp; i&lt;this.size(); this.get(i).equals(((Vector&lt;E&gt;) \result).get(i)));</t>
  </si>
  <si>
    <t>The result of cloning the vector is never null.</t>
  </si>
  <si>
    <t>containsAll(Collection c)</t>
  </si>
  <si>
    <t>copyInto(Object[] anArray)</t>
  </si>
  <si>
    <t>anArray==null =&gt; throw NullPointerExpcetion</t>
  </si>
  <si>
    <t>anArray!=null</t>
  </si>
  <si>
    <t>elementAt(int index)</t>
  </si>
  <si>
    <t>elements()</t>
  </si>
  <si>
    <t>firstElement()</t>
  </si>
  <si>
    <t>indexOf(Object o, int index)</t>
  </si>
  <si>
    <t>insertElementAt(E obj, int index)</t>
  </si>
  <si>
    <t>index&gt;=0 &amp;&amp; index&lt;=\old(this.size()) =&gt; this.contains(obj)</t>
  </si>
  <si>
    <t>If the index is between 0 and the size of the vector, then the vector contains the inserted object.</t>
  </si>
  <si>
    <t>assert (0 &lt;= index &amp;&amp; index &lt;= \old(this.size())) =&gt; this.contains(obj);</t>
  </si>
  <si>
    <t>assert (index &gt;= 0 &amp;&amp; index &lt;= \old(this.size())) =&gt; this.contains(obj);</t>
  </si>
  <si>
    <t>assert index &gt;= 0 &amp;&amp; index &lt;= \old(this.size()) =&gt; this.contains(obj);</t>
  </si>
  <si>
    <t>index&gt;=0 &amp;&amp; index&lt;=\old(this.size()) =&gt; obj==null&amp;&amp;this.get(index)==null||this.get(index).equals(obj)</t>
  </si>
  <si>
    <t>If the index is between 0 and the size of the vector, then either the object is null and the element at the index is null, or the element at the index is equal to the object.</t>
  </si>
  <si>
    <t>assert (0 &lt;= index &amp;&amp; index &lt;= \old(this.size())) =&gt; ((obj == null &amp;&amp; this.elementAt(index) == null) || this.elementAt(index).equals(obj));</t>
  </si>
  <si>
    <t>assert (0 &lt;= index &amp;&amp; index &lt; \old(this.size())) =&gt; ((obj == null &amp;&amp; this.elementAt(index) == null) || (obj != null &amp;&amp; this.elementAt(index).equals(obj)));</t>
  </si>
  <si>
    <t>assert (index &gt;= 0 &amp;&amp; index &lt;= \old(this.size())) =&gt; ((obj == null &amp;&amp; this.elementAt(index) == null) || (obj != null &amp;&amp; this.elementAt(index).equals(obj)) );</t>
  </si>
  <si>
    <t>assert index &gt;= 0 &amp;&amp; index &lt;= \old(this.size()) =&gt; (obj == null &amp;&amp; this.get(index) == null) || this.get(index).equals(obj);</t>
  </si>
  <si>
    <t>assert (index &gt;= 0 &amp;&amp; index &lt;= \old(this.size())) =&gt; ((obj == null &amp;&amp; this.get(index) == null) || this.get(index).equals(obj));</t>
  </si>
  <si>
    <t>If the index is between 0 and the size of the vector, then for every index i less than the given index, the element at i is either null and was null before the operation, or it remains unchanged.</t>
  </si>
  <si>
    <t>assert (0 &lt;= index &amp;&amp; index &lt;= \old(this.size())) =&gt; \forall int i; 0 &lt;= i &amp;&amp; i &lt; index; this.elementAt(i) == \old(this.elementAt(i));</t>
  </si>
  <si>
    <t>assert (index &gt;= 0 &amp;&amp; index &lt;= \old(this.size())) =&gt; \forall int i; 0 &lt;= i &amp;&amp; i &lt; index; (this.elementAt(i) == null &amp;&amp; \old(this.elementAt(i)) == null) || this.elementAt(i).equals(\old(this.elementAt(i))));</t>
  </si>
  <si>
    <t>assert index&gt;=0 &amp;&amp; index&lt;=\old(this.size()) =&gt; \forall int i; 0&lt;=i &amp;&amp; i&lt;index; (this.get(i) == null &amp;&amp; \old(this.get(i)) == null) || this.get(i).equals(\old(this.get(i))));</t>
  </si>
  <si>
    <t>If the index is greater than or equal to 0 and less than or equal to the size of the vector, then for every valid index i from the insertion point to the previous size of the vector, the element at position i+1 in the updated vector is either null and the corresponding old element at position i is null, or it is equal to the old element at position i.</t>
  </si>
  <si>
    <t>assert (index &gt;= 0 &amp;&amp; index &lt;= \old(this.size())) =&gt; \forall int i; index &lt;= i &amp;&amp; i &lt; \old(this.size()); ( (this.elementAt(i+1) == null &amp;&amp; \old(this.elementAt(i)) == null) || (this.elementAt(i+1) != null &amp;&amp; this.elementAt(i+1).equals(\old(this.elementAt(i)))) );</t>
  </si>
  <si>
    <t>assert (index &gt;= 0 &amp;&amp; index &lt;= \old(this.size())) =&gt; \forall int i; index &lt;= i &amp;&amp; i &lt; \old(this.size()); (this.elementAt(i + 1) == null ? \old(this.elementAt(i)) == null : this.elementAt(i + 1).equals(\old(this.elementAt(i))));</t>
  </si>
  <si>
    <t>lastElement()</t>
  </si>
  <si>
    <t>lastIndexOf(Object o, int index)</t>
  </si>
  <si>
    <t>index &lt; 0 || index &gt;= this.size() =&gt; throw ArrayIndexOutOfBoundsException</t>
  </si>
  <si>
    <t>If the index is greater than or equal to 0 and less than the initial size of this vector, then the result is equal to the value at the specified index before the method was executed.</t>
  </si>
  <si>
    <t>assert (index &gt;= 0 &amp;&amp; index &lt; \old(this.size())) =&gt; \result.equals(\old(this.elementAt(index)));</t>
  </si>
  <si>
    <t>assert (0 &lt;= index &amp;&amp; index &lt; \old(this.size())) =&gt; \result.equals(\old(this.get(index)));</t>
  </si>
  <si>
    <t>If the index is within the valid range (greater or equal to 0 and less than the initial size of the vector), then for every index i less than the given index, the element at i remains unchanged and is either null or equal to its previous value.</t>
  </si>
  <si>
    <t>assert (index &gt;= 0 &amp;&amp; index &lt; \old(this.size())) =&gt; \forall int i; 0 &lt;= i &amp;&amp; i &lt; index; (this.get(i) == null || this.get(i).equals(\old(this.get(i))));</t>
  </si>
  <si>
    <t>assert (index &gt;= 0 &amp;&amp; index &lt; \old(this.size())) =&gt; (\forall int i; 0 &lt;= i &amp;&amp; i &lt; index; (this.elementAt(i) == null) || this.elementAt(i).equals(\old(this.elementAt(i))));</t>
  </si>
  <si>
    <t>assert (index&gt;=0 &amp;&amp; index&lt;\old(this.size())) =&gt; \forall int i; 0&lt;=i &amp;&amp; i&lt;index; (this.elementAt(i)==null ? \old(this.elementAt(i))==null : this.elementAt(i).equals(\old(this.elementAt(i))));</t>
  </si>
  <si>
    <t>assert index &gt;= 0 &amp;&amp; index &lt; \old(this.size()) =&gt; \forall int i; 0 &lt;= i &amp;&amp; i &lt; index; (this.get(i) == null || this.get(i).equals(\old(this.get(i))));</t>
  </si>
  <si>
    <t>assert index &gt;= 0 &amp;&amp; index &lt; \old(this.size()) =&gt; \forall int i; 0 &lt;= i &amp;&amp; i &lt; index; this.get(i).equals(\old(this.get(i)));</t>
  </si>
  <si>
    <t>assert index&gt;=0 &amp;&amp; index&lt;\old(this.size()) =&gt; \forall int i; 0&lt;=i &amp;&amp; i&lt;index; this.get(i).equals(\old(this.get(i)));</t>
  </si>
  <si>
    <t>If the index is valid (greater than or equal to 0 and less than the initial size), then for every index from this index to the old size minus one, either both the current and the next old elements are null, or the current element equals the next old element.</t>
  </si>
  <si>
    <t>assert (\old(0 &lt;= index &amp;&amp; index &lt; this.size())) =&gt; \forall int i; index &lt;= i &amp;&amp; i &lt; \old(this.size())-1; ( (this.elementAt(i) == null &amp;&amp; \old(this.elementAt(i+1)) == null) || this.elementAt(i).equals(\old(this.elementAt(i+1))) );</t>
  </si>
  <si>
    <t>assert (index &gt;= 0 &amp;&amp; index &lt; \old(this.size())) =&gt; \forall int i; index &lt;= i &amp;&amp; i &lt; \old(this.size())-1; ( (this.get(i) == null &amp;&amp; \old(this.get(i+1)) == null) || (this.get(i) != null &amp;&amp; this.get(i).equals(\old(this.get(i+1)))) );</t>
  </si>
  <si>
    <t>assert (index &gt;= 0 &amp;&amp; index &lt; \old(this.size())) =&gt; \forall int i; index &lt;= i &amp;&amp; i &lt; \old(this.size()) - 1; ( (this.get(i) == null &amp;&amp; \old(this.get(i + 1)) == null) || (this.get(i) != null &amp;&amp; this.get(i).equals(\old(this.get(i + 1)))) );</t>
  </si>
  <si>
    <t>assert index &gt;= 0 &amp;&amp; index &lt; \old(this.size()) =&gt; \forall int i; index &lt;= i &amp;&amp; i &lt; \old(this.size())-1; (this.get(i) == null &amp;&amp; \old(this.get(i+1)) == null) || this.get(i).equals(\old(this.get(i+1)));</t>
  </si>
  <si>
    <t>assert index&gt;=0 &amp;&amp; index&lt;\old(this.size()) =&gt; \forall int i; index&lt;=i &amp;&amp; i&lt;\old(this.size())-1; (this.get(i) == null &amp;&amp; \old(this.get(i+1)) == null) || this.get(i).equals(\old(this.get(i+1)));</t>
  </si>
  <si>
    <t>assert index &gt;= 0 &amp;&amp; index &lt; \old(this.size()) =&gt; \forall int i; index &lt;= i &amp;&amp; i &lt; \old(this.size()) - 1; (this.get(i) == null &amp;&amp; \old(this.get(i + 1)) == null) || this.get(i).equals(\old(this.get(i + 1)));</t>
  </si>
  <si>
    <t>If the element was originally in the vector, then the result of the removal is true.</t>
  </si>
  <si>
    <t>assert this.remove(o) == \old(this.contains(o));</t>
  </si>
  <si>
    <t>removeAllElements()</t>
  </si>
  <si>
    <t>the vector is empty after all elements are removed</t>
  </si>
  <si>
    <t>The size of the vector is zero after removing all elements.</t>
  </si>
  <si>
    <t>removeElement(Object obj)</t>
  </si>
  <si>
    <t>\old(this.contains(obj)) =&gt; \result==true</t>
  </si>
  <si>
    <t>If the vector initially contains the object, then the result of the removal is true.</t>
  </si>
  <si>
    <t>assert \old(this.contains(obj)) =&gt; \result;</t>
  </si>
  <si>
    <t>assert (\old(this.contains(obj)) =&gt; \result == true);</t>
  </si>
  <si>
    <t>assert \old(this.contains(obj)) =&gt; \result == true;</t>
  </si>
  <si>
    <t>removeElementAt(int index)</t>
  </si>
  <si>
    <t>If the index is non-negative and less than the initial size of the vector, then for every valid index less than the specified index, the element at that position should either be null if it was originally null, or remain unchanged.</t>
  </si>
  <si>
    <t>assert (index &gt;= 0 &amp;&amp; index &lt; \old(this.size())) =&gt; \forall int i; 0 &lt;= i &amp;&amp; i &lt; index; this.elementAt(i) == \old(this.elementAt(i));</t>
  </si>
  <si>
    <t>assert (index &gt;= 0 &amp;&amp; index &lt; \old(this.size())) =&gt; \forall int i; 0 &lt;= i &amp;&amp; i &lt; index; (\old(this.elementAt(i)) == null ? this.elementAt(i) == null : this.elementAt(i).equals(\old(this.elementAt(i))));</t>
  </si>
  <si>
    <t>assert index &gt;= 0 &amp;&amp; index &lt; \old(this.size()) =&gt; \forall int i; 0 &lt;= i &amp;&amp; i &lt; index; this.elementAt(i) == \old(this.elementAt(i));</t>
  </si>
  <si>
    <t>assert index&gt;=0 &amp;&amp; index&lt;\old(this.size()) =&gt; \forall int i; 0&lt;=i &amp;&amp; i&lt;index; (this.get(i) == null &amp;&amp; \old(this.get(i)) == null) || this.get(i).equals(\old(this.get(i))));</t>
  </si>
  <si>
    <t>assert index&gt;=0 &amp;&amp; index&lt;\old(this.size()) =&gt; \forall int i; 0&lt;=i &amp;&amp; i&lt;index; (this.get(i) == null) == (\old(this.get(i)) == null) &amp;&amp; (this.get(i) != null) =&gt; this.get(i).equals(\old(this.get(i))));</t>
  </si>
  <si>
    <t>If the index is valid (greater than or equal to 0 and less than the initial size of the vector), then for every position i greater than the index and less than the previous size minus one, the element at position i in the vector after the operation is either null if the old element at position i+1 was null, or it equals the old element at position i+1.</t>
  </si>
  <si>
    <t>assert (index &gt;= 0 &amp;&amp; index &lt; \old(this.size())) =&gt; \forall int i; i &gt; index &amp;&amp; i &lt; \old(this.size()) - 1; ( (\old(this.elementAt(i+1)) == null) ? this.elementAt(i) == null : this.elementAt(i).equals(\old(this.elementAt(i+1))) );</t>
  </si>
  <si>
    <t>assert (index &gt;= 0 &amp;&amp; index &lt; \old(this.size())) =&gt; \forall int i; i &gt; index &amp;&amp; i &lt; \old(this.size()) - 1; (\old(this.elementAt(i + 1)) == null ? this.elementAt(i) == null : this.elementAt(i).equals(\old(this.elementAt(i + 1))));</t>
  </si>
  <si>
    <t>assert (index &gt;= 0 &amp;&amp; index &lt; \old(this.size())) =&gt; (\forall int i; index &lt; i &amp;&amp; i &lt; \old(this.size()) - 1; (this.get(i) == null ? \old(this.get(i + 1)) == null : this.get(i).equals(\old(this.get(i + 1)))));</t>
  </si>
  <si>
    <t>assert index&gt;=0 &amp;&amp; index&lt;\old(this.size()) =&gt; \forall int i; index&lt;i &amp;&amp; i&lt;\old(this.size()); (this.get(i) == null) == (\old(this.get(i+1)) == null) &amp;&amp; (this.get(i) != null =&gt; this.get(i).equals(\old(this.get(i+1))));</t>
  </si>
  <si>
    <t>assert index&gt;=0 &amp;&amp; index&lt;\old(this.size()) =&gt; \forall int i; index&lt;i &amp;&amp; i&lt;\old(this.size())-1; (this.get(i) == null) == (\old(this.get(i+1)) == null) &amp;&amp; (this.get(i) != null =&gt; this.get(i).equals(\old(this.get(i+1))));</t>
  </si>
  <si>
    <t>assert index&gt;=0 &amp;&amp; index&lt;\old(this.size()) =&gt; \forall int i; index&lt;i &amp;&amp; i&lt;\old(this.size())-1; this.get(i).equals(\old(this.get(i+1))) || (\old(this.get(i+1)) == null &amp;&amp; this.get(i) == null));</t>
  </si>
  <si>
    <t>index&lt;0 || index&gt;=this.size() =&gt; throw ArrayIndexOutOfBoundsException</t>
  </si>
  <si>
    <t>If the index is greater than or equal to 0 and less than the initial size of the vector, then the result is equal to the old value at that index.</t>
  </si>
  <si>
    <t>assert (0 &lt;= index &amp;&amp; index &lt; \old(this.size())) =&gt; \result.equals(\old(this.elementAt(index)));</t>
  </si>
  <si>
    <t>If the index is non-negative and less than the initial size of the vector, then for every valid index up to but not including the specified index, each element at these indices remains unchanged or continues to be null if it was initially null.</t>
  </si>
  <si>
    <t>assert (index &gt;= 0 &amp;&amp; index &lt; \old(this.size())) =&gt; \forall int i; 0 &lt;= i &amp;&amp; i &lt; index; this.get(i) == \old(this.get(i));</t>
  </si>
  <si>
    <t>assert (index &gt;= 0 &amp;&amp; index &lt; \old(this.size())) =&gt; \forall int i; 0 &lt;= i &amp;&amp; i &lt; index; this.get(i).equals(\old(this.get(i)));</t>
  </si>
  <si>
    <t>assert index&gt;=0 &amp;&amp; index&lt;\old(this.size()) =&gt; \forall int i; 0&lt;=i &amp;&amp; i&lt;index; this.get(i).equals(\old(this.get(i))));</t>
  </si>
  <si>
    <t>assert index &gt;= 0 &amp;&amp; index &lt; \old(this.size()) =&gt; \forall int i; 0 &lt;= i &amp;&amp; i &lt; index; this.get(i).equals(\old(this.get(i))));</t>
  </si>
  <si>
    <t>If the index is non-negative and less than the initial size of the vector, then for every index greater than the specified index and less than the size of the vector, the element at that position remains unchanged or continues to be null if it was originally null.</t>
  </si>
  <si>
    <t>assert (index &gt;= 0 &amp;&amp; index &lt; \old(this.size())) =&gt; \forall int i; i &gt; index &amp;&amp; i &lt; this.size(); (this.elementAt(i) == \old(this.elementAt(i)) || (this.elementAt(i) != null &amp;&amp; this.elementAt(i).equals(\old(this.elementAt(i)))));</t>
  </si>
  <si>
    <t>assert (index &gt;= 0 &amp;&amp; index &lt; \old(this.size())) =&gt; \forall int i; index &lt; i &amp;&amp; i &lt; this.size(); this.get(i).equals(\old(this.get(i)));</t>
  </si>
  <si>
    <t>assert index&gt;=0 &amp;&amp; index&lt;\old(this.size()) =&gt; \forall int i; index&lt;i &amp;&amp; i&lt;this.size(); this.get(i).equals(\old(this.get(i))));</t>
  </si>
  <si>
    <t>assert index &gt;= 0 &amp;&amp; index &lt; \old(this.size()) =&gt; \forall int i; index &lt; i &amp;&amp; i &lt; this.size(); this.get(i).equals(\old(this.get(i))));</t>
  </si>
  <si>
    <t>setElementAt(E obj, int index)</t>
  </si>
  <si>
    <t>If the index is non-negative and less than the initial size of the vector, then for every valid index from 0 up to (but not including) the specified index, the element at that position remains unchanged if it was not null, or remains null if it was originally null.</t>
  </si>
  <si>
    <t>assert (index &gt;= 0 &amp;&amp; index &lt; \old(this.size())) =&gt; \forall int i; 0 &lt;= i &amp;&amp; i &lt; index; this.elementAt(i).equals(\old(this.elementAt(i)));</t>
  </si>
  <si>
    <t>assert index &gt;= 0 &amp;&amp; index &lt; \old(this.size()) =&gt; \forall int i; 0 &lt;= i &amp;&amp; i &lt; index; (this.get(i) == null) == (\old(this.get(i)) == null);</t>
  </si>
  <si>
    <t>assert index&gt;=0 &amp;&amp; index&lt;\old(this.size()) =&gt; \forall int i; 0&lt;=i &amp;&amp; i&lt;index; (this.get(i) == null) == (\old(this.get(i)) == null));</t>
  </si>
  <si>
    <t>If the index is valid (greater than or equal to 0 and less than the initial size of the vector), then for every position greater than the index and within the size of the vector, the element at that position is either null if it was null before, or remains unchanged.</t>
  </si>
  <si>
    <t>assert (index &gt;= 0 &amp;&amp; index &lt; \old(this.size())) =&gt; \forall int i; i &gt; index &amp;&amp; i &lt; this.size(); this.elementAt(i).equals(\old(this.elementAt(i)));</t>
  </si>
  <si>
    <t>assert (index &gt;= 0 &amp;&amp; index &lt; \old(this.size())) =&gt; \forall int i; index &lt; i &amp;&amp; i &lt; this.size(); (\old(this.elementAt(i)) == null ? this.elementAt(i) == null : this.elementAt(i).equals(\old(this.elementAt(i))));</t>
  </si>
  <si>
    <t>assert (index &gt;= 0 &amp;&amp; index &lt; \old(this.size())) =&gt; \forall int i; i &gt; index &amp;&amp; i &lt; \old(this.size()); this.elementAt(i).equals(\old(this.elementAt(i)));</t>
  </si>
  <si>
    <t>assert index &gt;= 0 &amp;&amp; index &lt; \old(this.size()) =&gt; \forall int i; index &lt; i &amp;&amp; i &lt; this.size(); (this.get(i) == null &amp;&amp; \old(this.get(i)) == null) || this.get(i).equals(\old(this.get(i))));</t>
  </si>
  <si>
    <t>setSize(int newSize)</t>
  </si>
  <si>
    <t>newSize&lt;0 =&gt; throw ArrayIndexOutOfBoundsException</t>
  </si>
  <si>
    <t>newSize&gt;=0</t>
  </si>
  <si>
    <t>The length of the returned array is equal to the size of the vector.</t>
  </si>
  <si>
    <t>For every valid index i from 0 to the size of this vector, if the element at index i in the vector is null, then the element at index i in the resulting array is also null; otherwise, the element at index i in the resulting array is equal to the element at index i in the vector.</t>
  </si>
  <si>
    <t>assert \forall int i; 0 &lt;= i &amp;&amp; i &lt; this.size(); ( (this.elementAt(i) == null) =&gt; \result[i] == null ) &amp;&amp; ( (this.elementAt(i) != null) =&gt; \result[i].equals(this.elementAt(i)) );</t>
  </si>
  <si>
    <t>assert \forall int i; 0 &lt;= i &amp;&amp; i &lt; this.size(); (this.get(i) == null =&gt; \result[i] == null) &amp;&amp; (this.get(i) != null =&gt; \result[i].equals(this.get(i)));</t>
  </si>
  <si>
    <t>assert \forall int i; 0 &lt;= i &amp;&amp; i &lt; this.size(); (this.get(i) == null) == (\result[i] == null) &amp;&amp; (this.get(i) != null) =&gt; this.get(i).equals(\result[i]);</t>
  </si>
  <si>
    <t>assert \forall int i; 0&lt;=i &amp;&amp; i&lt;this.size(); (this.get(i) == null) == (Arrays.copyOf(elementData, elementCount)[i] == null));</t>
  </si>
  <si>
    <t>assert (a != null) =&gt; \result != null;</t>
  </si>
  <si>
    <t>toString()</t>
  </si>
  <si>
    <t>java.util.LinkedList</t>
  </si>
  <si>
    <t>LinkedList()</t>
  </si>
  <si>
    <t>The list is empty after it is created.</t>
  </si>
  <si>
    <t>assert this.size() == 0 &amp;&amp; this.isEmpty();</t>
  </si>
  <si>
    <t>The size of the list is 0 after construction.</t>
  </si>
  <si>
    <t>LinkedList(Collection c)</t>
  </si>
  <si>
    <t>If the collection 'c' is not null, then the size of the list is equal to the size of the collection 'c'.</t>
  </si>
  <si>
    <t>assert this.size() == c.size();</t>
  </si>
  <si>
    <t>assert c != null =&gt; (\forall int i; 0 &lt;= i &amp;&amp; i &lt; this.size(); java.util.Objects.equals(this.get(i), ((Object[])c.toArray())[i]));</t>
  </si>
  <si>
    <t>assert c != null =&gt; \forall int i; 0 &lt;= i &amp;&amp; i &lt; this.size(); this.get(i).equals(((java.util.List&lt;? extends E&gt;)c).get(i));</t>
  </si>
  <si>
    <t>assert c != null =&gt; (this.size() == c.size()) &amp;&amp; (\forall int i; 0 &lt;= i &amp;&amp; i &lt; this.size(); this.get(i).equals(((Object[])c.toArray())[i]));</t>
  </si>
  <si>
    <t>assert !c.isEmpty() =&gt; \forall int i; 0&lt;=i &amp;&amp; i&lt;c.size(); this.get(i).equals(c.get(i)));</t>
  </si>
  <si>
    <t>assert !Objects.isNull(c) =&gt; \forall int i; 0 &lt;= i &amp;&amp; i &lt; this.size(); this.get(i).equals(c.toArray()[i]);</t>
  </si>
  <si>
    <t>assert !Objects.isNull(c) =&gt; \forall int i; 0 &lt;= i &amp;&amp; i &lt; this.size(); this.get(i).equals(c.toArray()[(int)i]);</t>
  </si>
  <si>
    <t>If the collection is not null, then the list is equal to the collection after all its elements have been added.</t>
  </si>
  <si>
    <t>assert c != null =&gt; (this.size() == c.size() &amp;&amp; \forall Object o; c.contains(o) == this.contains(o));</t>
  </si>
  <si>
    <t>assert this.size() == c.size() &amp;&amp; \forall int i; 0&lt;=i &amp;&amp; i&lt;c.size(); this.get(i).equals(c.toArray()[i]);</t>
  </si>
  <si>
    <t>assert c != null =&gt; this.containsAll(c) &amp;&amp; this.size() == c.size();</t>
  </si>
  <si>
    <t>assert c != null =&gt; \forall int i; 0 &lt;= i &amp;&amp; i &lt; c.size(); this.get(i).equals(c.toArray()[i]);</t>
  </si>
  <si>
    <t>If the added element is null, then the last element of the list is also null; if the added element is not null, then the last element of the list is equal to the added element.</t>
  </si>
  <si>
    <t>assert ((e == null) =&gt; this.getLast() == null) &amp;&amp; ((e != null) =&gt; this.getLast().equals(e));</t>
  </si>
  <si>
    <t>assert (e == null) =&gt; (this.getLast() == null) &amp;&amp; (e != null) =&gt; (this.getLast() != null &amp;&amp; this.getLast().equals(e));</t>
  </si>
  <si>
    <t>assert (e == null) == (this.getLast() == null) &amp;&amp; (e != null) == this.getLast().equals(e);</t>
  </si>
  <si>
    <t>assert (e == null) =&gt; (this.getLast() == null) &amp;&amp; (e != null) =&gt; (this.getLast().equals(e));</t>
  </si>
  <si>
    <t>The result of adding an element to the list is always true.</t>
  </si>
  <si>
    <t>If the index is greater than or equal to 0 and less than or equal to the initial size of the list, then the list contains the inserted element.</t>
  </si>
  <si>
    <t>If the index is valid (between 0 and the initial size of the list, inclusive), then if the element is null, the element at that index in the list is also null, or the element at that index equals the specified element.</t>
  </si>
  <si>
    <t>assert index &gt;= 0 &amp;&amp; index &lt;= \old(this.size()) =&gt; (element == null ? this.get(index) == null : this.get(index).equals(element));</t>
  </si>
  <si>
    <t>If the index is between 0 and the initial size of the list inclusive, then for every valid index i less than the specified index, the element at position i in the list after the operation is either null if it was null before the operation, or remains unchanged.</t>
  </si>
  <si>
    <t>assert index &gt;= 0 &amp;&amp; index &lt;= \old(this.size()) =&gt; \forall int i; 0 &lt;= i &amp;&amp; i &lt; index; (\old(this.get(i)) == null ? this.get(i) == null : this.get(i).equals(\old(this.get(i))));</t>
  </si>
  <si>
    <t>If the index is between 0 and the initial size of the list inclusive, then for every valid index from the specified index to the old size of the list, the element at the next position is either null if the old element at this position was null, or it equals the old element at this position.</t>
  </si>
  <si>
    <t>assert (0 &lt;= index &amp;&amp; index &lt;= \old(this.size())) =&gt; \forall int i; index &lt;= i &amp;&amp; i &lt; \old(this.size()); (this.get(i+1) == null ? \old(this.get(i)) == null : this.get(i+1).equals(\old(this.get(i))));</t>
  </si>
  <si>
    <t>assert (0 &lt;= index &amp;&amp; index &lt;= \old(this.size())) =&gt; \forall int i; index &lt;= i &amp;&amp; i &lt; \old(this.size()); (\old(this.get(i)) == null =&gt; this.get(i+1) == null) &amp;&amp; (\old(this.get(i)) != null =&gt; this.get(i+1).equals(\old(this.get(i))));</t>
  </si>
  <si>
    <t>assert index &gt;= 0 &amp;&amp; index &lt;= \old(this.size()) =&gt; \forall int i; index &lt;= i &amp;&amp; i &lt; \old(this.size()); this.get(i+1).equals(\old(this.get(i)));</t>
  </si>
  <si>
    <t>assert index &gt;= 0 &amp;&amp; index &lt;= \old(this.size()) =&gt; \forall int i; index &lt;= i &amp;&amp; i &lt; \old(this.size()); (this.get(i+1) == null &amp;&amp; \old(this.get(i)) == null) || (this.get(i+1).equals(\old(this.get(i))));</t>
  </si>
  <si>
    <t>assert index &gt;= 0 &amp;&amp; index &lt;= \old(this.size()) =&gt; \forall int i; index &lt;= i &amp;&amp; i &lt; \old(this.size()); (this.get(i).equals(\old(this.get(i+1))) || (\old(this.get(i+1)) == null &amp;&amp; this.get(i) == null));</t>
  </si>
  <si>
    <t>The list contains the added element after the operation.</t>
  </si>
  <si>
    <t xml:space="preserve">e==null &amp;&amp; this.get(0)==null || e!=null &amp;&amp; e.equals(this.get(0)) </t>
  </si>
  <si>
    <t>If the added element is null, then the first element of the list is also null; otherwise, the first element of the list is equal to the added element.</t>
  </si>
  <si>
    <t>assert ((e == null) =&gt; this.getFirst() == null) &amp;&amp; ((e != null) =&gt; this.getFirst().equals(e));</t>
  </si>
  <si>
    <t>assert ((e == null) =&gt; (this.getFirst() == null)) &amp;&amp; ((e != null) =&gt; this.getFirst().equals(e));</t>
  </si>
  <si>
    <t>assert (e == null =&gt; this.getFirst() == null) &amp;&amp; (e != null =&gt; this.getFirst().equals(e));</t>
  </si>
  <si>
    <t>assert (e == null) =&gt; (this.getFirst() == null) &amp;&amp; (e != null) =&gt; (this.getFirst().equals(e));</t>
  </si>
  <si>
    <t>If the element added is null, then the last element in the list is null; otherwise, the last element in the list equals the element added.</t>
  </si>
  <si>
    <t>assert ((e == null) =&gt; (this.getLast() == null)) &amp;&amp; ((e != null) =&gt; this.getLast().equals(e));</t>
  </si>
  <si>
    <t>assert (e == null =&gt; this.getLast() == null) &amp;&amp; (e != null =&gt; this.getLast().equals(e));</t>
  </si>
  <si>
    <t>assert (e == null) =&gt; this.getLast() == null : (e != null &amp;&amp; this.getLast().equals(e));</t>
  </si>
  <si>
    <t>assert (e == null) ==&gt; this.getLast() == null || (e != null) ==&gt; this.getLast().equals(e);</t>
  </si>
  <si>
    <t>The list is empty after the operation.</t>
  </si>
  <si>
    <t>The result of the clone method is a different object from the original list.</t>
  </si>
  <si>
    <t>The returned object from the method is equal to the current instance of the list.</t>
  </si>
  <si>
    <t>assert this.equals(clone);</t>
  </si>
  <si>
    <t>((LinkedList&lt;E&gt;) \result).size()==this.size()</t>
  </si>
  <si>
    <t>The size of the cloned list is equal to the size of the original list.</t>
  </si>
  <si>
    <t>assert ((LinkedList) \result).size() == this.size();</t>
  </si>
  <si>
    <t>assert this.size() == ((LinkedList&amp;lt;E&amp;gt;) \result).size();</t>
  </si>
  <si>
    <t>assert this.size() == ((LinkedList&lt;E&gt;) \result).size();</t>
  </si>
  <si>
    <t>\forall int i; 0&lt;=i &amp;&amp; i&lt;this.size(); ((LinkedList&lt;E&gt;) \result).get(i)==this.get(i)</t>
  </si>
  <si>
    <t>For every valid index in the original list, the element at that index in the cloned list is the same as the element at that index in the original list.</t>
  </si>
  <si>
    <t>assert \forall int i; 0 &lt;= i &amp;&amp; i &lt; this.size(); ((LinkedList&lt;E&gt;)\result).get(i).equals(this.get(i));</t>
  </si>
  <si>
    <t>assert \forall int i; 0 &lt;= i &amp;&amp; i &lt; this.size(); \result.get(i).equals(this.get(i));</t>
  </si>
  <si>
    <t>assert \forall int i; 0&lt;=i &amp;&amp; i&lt;this.size(); this.get(i).equals(((LinkedList&lt;E&gt;)\result).get(i)));</t>
  </si>
  <si>
    <t>assert \forall int i; 0&lt;=i &amp;&amp; i&lt;\old(this.size()); \old(this.get(i)).equals(((LinkedList&lt;E&gt;)\result).get(i));</t>
  </si>
  <si>
    <t>assert \forall int i; 0&lt;=i &amp;&amp; i&lt;this.size(); this.get(i).equals(((LinkedList&lt;E&gt;) \result).get(i)));</t>
  </si>
  <si>
    <t>The result of cloning the list is never null.</t>
  </si>
  <si>
    <t>index &gt;=0 &amp;&amp; index &lt;= this.size()</t>
  </si>
  <si>
    <t>The list contains the specified element after it is added.</t>
  </si>
  <si>
    <t>If the added element is null, then the last element in the list is also null; if the added element is not null, then it equals the last element in the list.</t>
  </si>
  <si>
    <t>The list contains the specified element after it has been inserted at the front.</t>
  </si>
  <si>
    <t>e==null &amp;&amp; this.get(0)==null || e!=null &amp;&amp; e.equals(this.get(0))</t>
  </si>
  <si>
    <t>If the element 'e' is null, then the first element of the list is also null; if 'e' is not null, then it equals the first element of the list.</t>
  </si>
  <si>
    <t>assert (e == null) == (this.getFirst() == null) &amp;&amp; (e != null) =&gt; this.getFirst().equals(e);</t>
  </si>
  <si>
    <t>The result of the operation is always true.</t>
  </si>
  <si>
    <t>The list contains the specified element after it has been inserted at the end.</t>
  </si>
  <si>
    <t>If the inserted element is null, then the last element of the list is also null; otherwise, the last element of the list is equal to the inserted element.</t>
  </si>
  <si>
    <t>assert (e == null) =&gt; this.getLast() == null &amp;&amp; (e != null) =&gt; this.getLast().equals(e);</t>
  </si>
  <si>
    <t>assert ((e == null) =&gt; (this.getLast() == null)) &amp;&amp; ((e != null) =&gt; (this.getLast().equals(e)));</t>
  </si>
  <si>
    <t>assert (e == null) =&gt; (this.peekLast() == null) &amp;&amp; (e != null) =&gt; (this.peekLast().equals(e));</t>
  </si>
  <si>
    <t>assert (e == null) =&gt; this.getLast() == null : this.getLast().equals(e);</t>
  </si>
  <si>
    <t>!\old(this.isEmpty()) =&gt; \result==null &amp;&amp; \old(this.get(0))==null|| \result.equals(\old(this.get(0)))</t>
  </si>
  <si>
    <t>If the list is initially not empty, then the result is either null and the first element was initially null, or the result equals the initial first element of the list.</t>
  </si>
  <si>
    <t>assert \old(!this.isEmpty()) =&gt; (\result == null ? \old(this.getFirst()) == null : \result.equals(\old(this.getFirst())));</t>
  </si>
  <si>
    <t>assert (!\old(this.isEmpty())) =&gt; ( (\result == null &amp;&amp; \old(this.getFirst()) == null) || (\result != null &amp;&amp; \result.equals(\old(this.getFirst()))) );</t>
  </si>
  <si>
    <t>assert !\old(this.isEmpty()) =&gt; (\result == null &amp;&amp; \old(this.getFirst()) == null) || \result.equals(\old(this.getFirst()));</t>
  </si>
  <si>
    <t>If the list is initially empty, then the result is null.</t>
  </si>
  <si>
    <t>If the list is initially not empty, then the result is either null and the first element was originally null, or the result is equal to the original first element of the list.</t>
  </si>
  <si>
    <t>assert (!\old(this.isEmpty())) =&gt; (\result == \old(this.getFirst()));</t>
  </si>
  <si>
    <t>assert \old(!this.isEmpty()) =&gt; ( (\result == null &amp;&amp; \old(this.getFirst()) == null) || (\result != null &amp;&amp; \result.equals(\old(this.getFirst()))) );</t>
  </si>
  <si>
    <t>!\old(this.isEmpty()) =&gt; \result==null &amp;&amp; \old(this.get(\old(this.size()-1)))==null|| \result.equals(\old(this.get(\old(this.size()-1))))</t>
  </si>
  <si>
    <t>If the list is initially not empty, then the result is either null and the last element was null, or the result equals the last element of the list before the operation.</t>
  </si>
  <si>
    <t>assert (!\old(this.isEmpty())) =&gt; ((\result == null &amp;&amp; \old(this.getLast()) == null) || (\result != null &amp;&amp; \result.equals(\old(this.getLast()))));</t>
  </si>
  <si>
    <t>assert \old(this.size()) &gt; 0 =&gt; ( (\result == null &amp;&amp; \old(this.getLast()) == null) || (\result != null &amp;&amp; \result.equals(\old(this.getLast()))) );</t>
  </si>
  <si>
    <t>assert !\old(this.isEmpty()) =&gt; ((\result == null &amp;&amp; \old(this.getLast()) == null) || (\result != null &amp;&amp; \result.equals(\old(this.getLast()))));</t>
  </si>
  <si>
    <t>assert !\old(this.isEmpty()) =&gt; (\result == null &amp;&amp; \old(this.getLast()) == null) || \result.equals(\old(this.getLast()));</t>
  </si>
  <si>
    <t>If the list is initially not empty, then the result is either null and the first element was null before the operation, or the result is equal to the first element before the operation.</t>
  </si>
  <si>
    <t>assert \old(!this.isEmpty()) =&gt; ((\result == null &amp;&amp; \old(this.getFirst()) == null) || (\result.equals(\old(this.getFirst()))));</t>
  </si>
  <si>
    <t>assert \old(this.size()) &gt; 0 =&gt; ( (\result == null &amp;&amp; \old(this.getFirst()) == null) || (\result != null &amp;&amp; \result.equals(\old(this.getFirst()))) );</t>
  </si>
  <si>
    <t>assert \old(this.size()) &gt; 0 =&gt; ((\result == null &amp;&amp; \old(this.getFirst()) == null) || (\result != null &amp;&amp; \result.equals(\old(this.getFirst()))));</t>
  </si>
  <si>
    <t>The list contains the element after it has been pushed onto the stack.</t>
  </si>
  <si>
    <t>If the pushed element is null, the first element of the list is also null; if the pushed element is not null, it equals the first element of the list.</t>
  </si>
  <si>
    <t>assert (e == null) =&gt; this.getFirst() == null &amp;&amp; (e != null) =&gt; this.getFirst().equals(e);</t>
  </si>
  <si>
    <t>assert (e == null) == (this.getFirst() == null) || (e != null &amp;&amp; e.equals(this.getFirst()));</t>
  </si>
  <si>
    <t>assert (e == null) =&gt; (this.getFirst() == null) &amp;&amp; (e != null) =&gt; this.getFirst().equals(e);</t>
  </si>
  <si>
    <t>If the list is initially not empty, then the returned element is either null and was null before removal, or is equal to the first element of the list before the removal.</t>
  </si>
  <si>
    <t>assert !\old(this.isEmpty()) =&gt; ( (\result == null &amp;&amp; \old(this.peekFirst()) == null) || (\result != null &amp;&amp; \result.equals(\old(this.peekFirst()))) );</t>
  </si>
  <si>
    <t>assert !\old(this.isEmpty()) =&gt; ( (\result == null &amp;&amp; \old(this.getFirst()) == null) || (\result != null &amp;&amp; \result.equals(\old(this.getFirst())) ) );</t>
  </si>
  <si>
    <t>assert !\old(this.isEmpty()) =&gt; (\result == null &amp;&amp; \old(this.getFirst()) == null) || (\result != null &amp;&amp; \result.equals(\old(this.getFirst())));</t>
  </si>
  <si>
    <t>assert !\old(this.isEmpty()) =&gt; (\result == null &amp;&amp; \old(this.peekFirst()) == null) || \result.equals(\old(this.getFirst()));</t>
  </si>
  <si>
    <t>If the index is valid (greater than or equal to 0 and less than the initial size of the list), then the result is equal to the element at that index before the removal.</t>
  </si>
  <si>
    <t>If the index is valid (greater than or equal to 0 and less than the initial size of the list), then for every element before the index, if the element was null before the operation, it remains null, or if it was not null, it remains equal to its previous value.</t>
  </si>
  <si>
    <t>assert (0 &lt;= index &amp;&amp; index &lt; \old(this.size())) =&gt; \forall int i; 0 &lt;= i &amp;&amp; i &lt; index; this.get(i) == \old(this.get(i));</t>
  </si>
  <si>
    <t>assert (0 &lt;= index &amp;&amp; index &lt; \old(this.size())) =&gt; \forall int i; 0 &lt;= i &amp;&amp; i &lt; index; this.get(i).equals(\old(this.get(i)));</t>
  </si>
  <si>
    <t>assert index &gt;= 0 &amp;&amp; index &lt; \old(this.size()) =&gt; \forall int i; 0 &lt;= i &amp;&amp; i &lt; index; (\old(this.get(i)) == null ? this.get(i) == null : this.get(i).equals(\old(this.get(i))));</t>
  </si>
  <si>
    <t>assert index &gt;= 0 &amp;&amp; index &lt; \old(this.size()) =&gt; \forall int i; 0 &lt;= i &amp;&amp; i &lt; index; (this.get(i) == null) == (\old(this.get(i)) == null) &amp;&amp; (this.get(i) != null) =&gt; this.get(i).equals(\old(this.get(i)));</t>
  </si>
  <si>
    <t>If the index is valid (greater than or equal to 0 and less than the initial size of the list), then for every index greater than the specified index and less than the previous size of the list minus one, the element at that index in the list after removal is either null if the old element at the next index was null, or it equals the old element at the next index.</t>
  </si>
  <si>
    <t>assert (index &gt;= 0 &amp;&amp; index &lt; \old(this.size())) =&gt; \forall int i; i &gt; index &amp;&amp; i &lt; \old(this.size()) - 1; (this.get(i) == null &amp;&amp; \old(this.get(i + 1)) == null) || (this.get(i) != null &amp;&amp; this.get(i).equals(\old(this.get(i + 1))));</t>
  </si>
  <si>
    <t>assert (index &gt;= 0 &amp;&amp; index &lt; \old(this.size())) =&gt; \forall int i; index &lt; i &amp;&amp; i &lt; \old(this.size()) - 1; (\old(this.get(i+1)) == null ? this.get(i) == null : this.get(i).equals(\old(this.get(i+1))));</t>
  </si>
  <si>
    <t>assert (0 &lt;= index &amp;&amp; index &lt; \old(this.size())) =&gt; \forall int i; i &gt; index &amp;&amp; i &lt; \old(this.size()) - 1; this.get(i).equals(\old(this.get(i+1)));</t>
  </si>
  <si>
    <t>assert index &gt;= 0 &amp;&amp; index &lt; \old(this.size()) =&gt; \forall int i; index &lt; i &amp;&amp; i &lt; \old(this.size()) - 1; this.get(i).equals(\old(this.get(i+1)));</t>
  </si>
  <si>
    <t>assert index &gt;= 0 &amp;&amp; index &lt; \old(this.size()) =&gt; \forall int i; index &lt; i &amp;&amp; i &lt; \old(this.size())-1; this.get(i).equals(\old(this.get(i+1)));</t>
  </si>
  <si>
    <t>If the list initially contains the element 'o', then the result of the removal operation is true.</t>
  </si>
  <si>
    <t>If the list is initially not empty, then the result is either null and the first element was null, or the result is equal to the first element before the operation.</t>
  </si>
  <si>
    <t>assert !\old(this.isEmpty()) =&gt; ((\result == null &amp;&amp; \old(this.getFirst()) == null) || (\result != null &amp;&amp; \result.equals(\old(this.getFirst()))));</t>
  </si>
  <si>
    <t>!\old(this.isEmpty()) =&gt; \result==\old(this.get(0))</t>
  </si>
  <si>
    <t>If the list is initially not empty, then the returned element is the same as the first element of the list before the method execution.</t>
  </si>
  <si>
    <t>assert (!\old(this.isEmpty())) =&gt; \result.equals(\old(this.getFirst()));</t>
  </si>
  <si>
    <t>assert (\old(!this.isEmpty())) =&gt; \result.equals(\old(this.getFirst()));</t>
  </si>
  <si>
    <t>assert (\old(this.size()) &gt; 0) =&gt; \result.equals(\old(this.getFirst()));</t>
  </si>
  <si>
    <t>assert !\old(this.isEmpty()) =&gt; \result.equals(\old(this.getFirst()));</t>
  </si>
  <si>
    <t>!\old(this.isEmpty()) =&gt; \forall int i; 0&lt;=i &amp;&amp; i&lt;\old(this.size()-1); this.get(i)==null &amp;&amp; \old(this.get(i+1))==null || this.get(i).equals(\old(this.get(i+1)))</t>
  </si>
  <si>
    <t>If the list is initially not empty, then for every valid index from 0 to the old size minus one, if the element at that index in the list is null, then the next element in the old list was also null; otherwise, the element at that index is equal to the next element in the old list.</t>
  </si>
  <si>
    <t>assert \old(this.size()) &gt; 0 =&gt; \forall int i; 0 &lt;= i &amp;&amp; i &lt; \old(this.size()) - 1; (this.get(i) == null ? \old(this.get(i + 1)) == null : this.get(i).equals(\old(this.get(i + 1))));</t>
  </si>
  <si>
    <t>assert (\old(this.size()) &gt; 0) =&gt; \forall int i; 0 &lt;= i &amp;&amp; i &lt; \old(this.size()) - 1; (this.get(i) == null ? \old(this.get(i+1)) == null : this.get(i).equals(\old(this.get(i+1))));</t>
  </si>
  <si>
    <t>assert !\old(this.isEmpty()) =&gt; \forall int i; 0&lt;=i &amp;&amp; i&lt;this.size(); this.get(i).equals(\old(this.get(i+1)));</t>
  </si>
  <si>
    <t>assert !\old(this.isEmpty()) &amp;&amp; \forall int i; 0&lt;=i &amp;&amp; i&lt;\old(this.size())-1; this.get(i).equals(\old(this.get(i+1)));</t>
  </si>
  <si>
    <t>assert !\old(this.isEmpty()) =&gt; \forall int i; 0 &lt;= i &amp;&amp; i &lt; \old(this.size())-1; (\old(this.get(i)) == null) =&gt; (\old(this.get(i+1)) == null) &amp;&amp; (\old(this.get(i)) != null) =&gt; this.get(i).equals(\old(this.get(i+1)));</t>
  </si>
  <si>
    <t>If the list initially contains the specified element, then the result of the removal operation is true.</t>
  </si>
  <si>
    <t>If the list is initially not empty, then the result is either null and the previously last element was null, or the result is equal to the previously last element.</t>
  </si>
  <si>
    <t>assert (!\old(this.isEmpty())) =&gt; ((\result == null &amp;&amp; \old(this.getLast()) == null) || (\result.equals(\old(this.getLast()))));</t>
  </si>
  <si>
    <t>assert !\old(this.isEmpty()) =&gt; (\result == null &amp;&amp; \old(this.getLast()) == null) || (\result != null &amp;&amp; \result.equals(\old(this.getLast())));</t>
  </si>
  <si>
    <t>!\old(this.isEmpty()) =&gt; \result==\old(this.get(this.size()-1))</t>
  </si>
  <si>
    <t>If the list is initially not empty, then the returned element is the last element of the list before the modification</t>
  </si>
  <si>
    <t>assert \old(!this.isEmpty()) =&gt; \result.equals(\old(this.getLast()));</t>
  </si>
  <si>
    <t>assert !\old(this.isEmpty()) =&gt; \result.equals(\old(this.getLast()));</t>
  </si>
  <si>
    <t>assert (!\old(this.isEmpty())) =&gt; \result.equals(\old(this.getLast()));</t>
  </si>
  <si>
    <t>!\old(this.isEmpty()) =&gt; \forall int i; 0&lt;=i &amp;&amp; i&lt;\old(this.size()-1); this.get(i)==null &amp;&amp; \old(this.get(i))==null || this.get(i).equals(\old(this.get(i)))</t>
  </si>
  <si>
    <t>If the list is initially not empty, then for every valid index from 0 up to one less than the previous size of the list, if the element at that index was null before, it remains null, or if it was not null, it remains equal to its previous value.</t>
  </si>
  <si>
    <t>assert (!\old(this.isEmpty())) =&gt; (\forall int i; 0 &lt;= i &amp;&amp; i &lt; \old(this.size())-1; (this.get(i) == null ? \old(this.get(i)) == null : this.get(i).equals(\old(this.get(i)))));</t>
  </si>
  <si>
    <t>assert \old(!this.isEmpty()) =&gt; \forall int i; 0 &lt;= i &amp;&amp; i &lt; \old(this.size())-1; this.get(i).equals(\old(this.get(i)));</t>
  </si>
  <si>
    <t>assert !\old(this.isEmpty()) =&gt; \forall int i; 0 &lt;= i &amp;&amp; i &lt; \old(this.size()); (\old(this.get(i)) == null) == (this.get(i) == null) &amp;&amp; (\old(this.get(i)) != null) == (this.get(i).equals(\old(this.get(i))));</t>
  </si>
  <si>
    <t>assert !\old(this.isEmpty()) =&gt; \forall int i; 0 &lt;= i &amp;&amp; i &lt; \old(this.size()); (\old(this.get(i)) == null) == (this.get(i) == null) &amp;&amp; ((\old(this.get(i)) != null) =&gt; this.get(i).equals(\old(this.get(i))));</t>
  </si>
  <si>
    <t>assert !\old(this.isEmpty()) =&gt; \forall int i; 0 &lt;= i &amp;&amp; i &lt; \old(this.size()); (this.get(i) == null) == (\old(this.get(i)) == null) &amp;&amp; (this.get(i) != null) =&gt; this.get(i).equals(\old(this.get(i)));</t>
  </si>
  <si>
    <t>If the list originally contained the element 'o', then the result of the operation is true.</t>
  </si>
  <si>
    <t>If the index is non-negative and less than the initial size of the list, then the returned value is the element that was previously at that position.</t>
  </si>
  <si>
    <t>assert (0 &lt;= index &amp;&amp; index &lt; \old(this.size())) =&gt; (\old(this.get(index)) == null ? \result == null : \old(this.get(index)).equals(\result));</t>
  </si>
  <si>
    <t>If the index is valid (greater than or equal to 0 and less than the initial size of the list), then for every index from 0 up to but not including the specified index, either both the current and the old value at that index are null, or the current value at that index is equal to the old value at that index.</t>
  </si>
  <si>
    <t>assert (index &gt;= 0 &amp;&amp; index &lt; \old(this.size())) =&gt; \forall int i; 0 &lt;= i &amp;&amp; i &lt; index; ((this.get(i) == null &amp;&amp; \old(this.get(i)) == null) || this.get(i).equals(\old(this.get(i))));</t>
  </si>
  <si>
    <t>assert (index &gt;= 0 &amp;&amp; index &lt; \old(this.size())) =&gt; \forall int i; 0 &lt;= i &amp;&amp; i &lt; index; (this.get(i) == null &amp;&amp; \old(this.get(i)) == null) || this.get(i).equals(\old(this.get(i)));\</t>
  </si>
  <si>
    <t>assert \forall int i; 0&lt;=i &amp;&amp; i&lt;\old(this.size()); (\old(this.get(i)) == null &amp;&amp; this.get(i) == null) || this.get(i).equals(\old(this.get(i))));</t>
  </si>
  <si>
    <t>If the index is valid (non-negative and less than the initial size of the list), then for every position greater than the index and within the list size, the element at that position remains unchanged or remains null if it was initially null.</t>
  </si>
  <si>
    <t>assert (index &gt;= 0 &amp;&amp; index &lt; \old(this.size())) =&gt; \forall int i; index &lt; i &amp;&amp; i &lt; \old(this.size()); this.get(i).equals(\old(this.get(i)));</t>
  </si>
  <si>
    <t>assert (index &gt;= 0 &amp;&amp; index &lt; \old(this.size())) =&gt; \forall int i; index &lt; i &amp;&amp; i &lt; \old(this.size()); (this.get(i) == null ? \old(this.get(i)) == null : this.get(i).equals(\old(this.get(i))));</t>
  </si>
  <si>
    <t>assert index&gt;=0 &amp;&amp; index&lt;\old(this.size()) =&gt; \forall int i; index&lt;i &amp;&amp; i&lt;\old(this.size()); (this.get(i) == null) == (\old(this.get(i)) == null) &amp;&amp; (this.get(i) != null) =&gt; this.get(i).equals(\old(this.get(i))));</t>
  </si>
  <si>
    <t>assert index &gt;= 0 &amp;&amp; index &lt; \old(this.size()) =&gt; \forall int i; index &lt; i &amp;&amp; i &lt; this.size(); (this.get(i) == \old(this.get(i)) || (\old(this.get(i)) == null &amp;&amp; this.get(i) == null));</t>
  </si>
  <si>
    <t>The length of the resulting array is equal to the size of the list.</t>
  </si>
  <si>
    <t>assert result.length == \old(this.size());</t>
  </si>
  <si>
    <t>assert result.length == this.size();</t>
  </si>
  <si>
    <t>For every valid index i (from 0 up to the size of the list minus one), if the element at index i in the list is null, then the corresponding element in the resulting array is also null; otherwise, the element in the resulting array is equal to the element in the list at index i.</t>
  </si>
  <si>
    <t>assert \forall int i; 0 &lt;= i &amp;&amp; i &lt; this.size(); (this.get(i) == null =&gt; \result[i] == null) &amp;&amp; (this.get(i) != null =&gt; \result[i].equals(this.get(i)) );</t>
  </si>
  <si>
    <t>assert \forall int i; 0 &lt;= i &amp;&amp; i &lt; this.size(); (this.get(i) == null) == (result[i] == null) &amp;&amp; (this.get(i) != null) =&gt; this.get(i).equals(result[i]);</t>
  </si>
  <si>
    <t>assert \forall int i; 0&lt;=i &amp;&amp; i&lt;this.size(); (this.get(i) == null) == (result[i] == null) &amp;&amp; (this.get(i) != null) =&gt; this.get(i).equals(result[i]);</t>
  </si>
  <si>
    <t>assert (\old(a) != null) =&gt; \result != null;</t>
  </si>
  <si>
    <t>java.util.Stack</t>
  </si>
  <si>
    <t>Stack()</t>
  </si>
  <si>
    <t>this.empty()</t>
  </si>
  <si>
    <t>The stack is empty when it is created.</t>
  </si>
  <si>
    <t>assert this.empty();</t>
  </si>
  <si>
    <t>The stack is empty upon creation.</t>
  </si>
  <si>
    <t>assert this.empty() &amp;&amp; this.size() == 0;</t>
  </si>
  <si>
    <t>empty()</t>
  </si>
  <si>
    <t>!\old(this.empty()) =&gt; (\result==null &amp;&amp; \old(this.peek())==null) || (\result!=null &amp;&amp; \result.equals(\old(this.peek())))</t>
  </si>
  <si>
    <t>this.empty() =&gt; throw NoSuchElementException</t>
  </si>
  <si>
    <t>!this.empty()</t>
  </si>
  <si>
    <t>assert \old(this.size()) &gt; 0 =&gt; ( (\result == null &amp;&amp; \old(this.elementAt(\old(this.size()) - 1)) == null) || (\result.equals(\old(this.elementAt(\old(this.size()) - 1)))) );</t>
  </si>
  <si>
    <t>assert \old(!this.empty()) =&gt; ( (\result == null &amp;&amp; \old(this.lastElement()) == null) || (\result != null &amp;&amp; \result.equals(\old(this.lastElement()))) );</t>
  </si>
  <si>
    <t>assert \old(!this.empty()) =&gt; (\result == \old(this.peek()));</t>
  </si>
  <si>
    <t>assert !\old(this.empty()) =&gt; \result.equals(\old(this.peek())) || (\result == null &amp;&amp; \old(this.peek()) == null);</t>
  </si>
  <si>
    <t>push(E item)</t>
  </si>
  <si>
    <t>this.contains(item)</t>
  </si>
  <si>
    <t>The stack contains the pushed item after the operation.</t>
  </si>
  <si>
    <t>assert this.contains(item);</t>
  </si>
  <si>
    <t xml:space="preserve">item==null &amp;&amp; this.get(this.size()-1)==null || item!=null &amp;&amp; item.equals(this.get(this.size()-1)) </t>
  </si>
  <si>
    <t>If the pushed item is null, the last element in the stack is also null; otherwise, the last element in the stack is equal to the pushed item.</t>
  </si>
  <si>
    <t>assert ((item == null) =&gt; (this.peek() == null)) &amp;&amp; ((item != null) =&gt; this.peek().equals(item));</t>
  </si>
  <si>
    <t>assert (item == null =&gt; this.lastElement() == null) &amp;&amp; (item != null =&gt; this.lastElement().equals(item));</t>
  </si>
  <si>
    <t>assert ((item == null) =&gt; (this.elementAt(this.size() - 1) == null)) &amp;&amp; ((item != null) =&gt; (this.elementAt(this.size() - 1).equals(item)));</t>
  </si>
  <si>
    <t>assert (item == null) =&gt; this.peek() == null &amp;&amp; ((item != null) =&gt; this.peek().equals(item));</t>
  </si>
  <si>
    <t>assert (item == null) =&gt; (this.peek() == null) &amp;&amp; (item != null) =&gt; (this.peek().equals(item));</t>
  </si>
  <si>
    <t>java.util.HashSet</t>
  </si>
  <si>
    <t>HashSet()</t>
  </si>
  <si>
    <t>the set is empty after creation</t>
  </si>
  <si>
    <t>The set is empty immediately after initialization.</t>
  </si>
  <si>
    <t>HashSet(Collection c)</t>
  </si>
  <si>
    <t>If the collection 'c' is not null, then the size of this set equals the size of the collection 'c'.</t>
  </si>
  <si>
    <t>HashSet(int initialCapacity)</t>
  </si>
  <si>
    <t>If the initial capacity is greater than or equal to 0, then the set is empty.</t>
  </si>
  <si>
    <t>If the initial capacity is greater than or equal to zero, then the size of the set is zero.</t>
  </si>
  <si>
    <t>HashSet(int initialCapacity, float loadFactor)</t>
  </si>
  <si>
    <t>initialCapacity&gt;=0 &amp;&amp; loadFactor&gt;0 =&gt; this.isEmpty()</t>
  </si>
  <si>
    <t>If the initial capacity is greater than or equal to 0 and the load factor is greater than 0, then the set is empty.</t>
  </si>
  <si>
    <t>assert (initialCapacity &gt;= 0 &amp;&amp; loadFactor &gt; 0) =&gt; this.isEmpty();</t>
  </si>
  <si>
    <t>assert initialCapacity &gt;= 0 &amp;&amp; loadFactor &gt; 0 =&gt; this.isEmpty();</t>
  </si>
  <si>
    <t>initialCapacity&gt;=0 &amp;&amp; loadFactor&gt;0 =&gt; this.size()==0</t>
  </si>
  <si>
    <t>loadFactor&lt;=0 =&gt; throw IllegalArgumentException</t>
  </si>
  <si>
    <t>loadFactor&gt;0</t>
  </si>
  <si>
    <t>If the initial capacity is greater than or equal to 0 and the load factor is greater than 0, then the size of the set is 0.</t>
  </si>
  <si>
    <t>assert (initialCapacity &gt;= 0 &amp;&amp; loadFactor &gt; 0) =&gt; this.size() == 0;</t>
  </si>
  <si>
    <t>assert initialCapacity &gt;= 0 &amp;&amp; loadFactor &gt; 0 =&gt; this.size() == 0;</t>
  </si>
  <si>
    <t>The set contains the added element after the operation.</t>
  </si>
  <si>
    <t>the set is empty after the clear operation</t>
  </si>
  <si>
    <t>The set is empty after this method is called.</t>
  </si>
  <si>
    <t>The result of the clone method is not the same object as the original set.</t>
  </si>
  <si>
    <t>The result of cloning is equal to the original set.</t>
  </si>
  <si>
    <t>assert \forall Object e; this.contains(e) == ((HashSet) \result).contains(e);</t>
  </si>
  <si>
    <t>assert this.size() == ((HashSet&lt;E&gt;) \result).size() &amp;&amp; \forall E e; this.contains(e) &lt;=&gt; ((HashSet&lt;E&gt;) \result).contains(e);</t>
  </si>
  <si>
    <t>((HashSet&lt;E&gt;) \result).size()==this.size()</t>
  </si>
  <si>
    <t>The size of the cloned set is the same as the size of the original set.</t>
  </si>
  <si>
    <t>assert ((HashSet) \result).size() == this.size();</t>
  </si>
  <si>
    <t>The result of cloning the HashSet is never null.</t>
  </si>
  <si>
    <t>If the set originally contained the specified element, then the result of the removal operation is true.</t>
  </si>
  <si>
    <t>!this.contains(o)</t>
  </si>
  <si>
    <t>the set does not contain the specified element after the removal operation.</t>
  </si>
  <si>
    <t>assert !this.contains(o);</t>
  </si>
  <si>
    <t>java.util.LinkedHashSet</t>
  </si>
  <si>
    <t>LinkedHashSet()</t>
  </si>
  <si>
    <t>LinkedHashSet(Collection c)</t>
  </si>
  <si>
    <t>LinkedHashSet(int initialCapacity)</t>
  </si>
  <si>
    <t>LinkedHashSet(int initialCapacity, float loadFactor)</t>
  </si>
  <si>
    <t>javax.management.AttributeList</t>
  </si>
  <si>
    <t>AttributeList()</t>
  </si>
  <si>
    <t>the list is empty after creation</t>
  </si>
  <si>
    <t>The size of the list is zero when it is initially created.</t>
  </si>
  <si>
    <t>AttributeList(AttributeList list)</t>
  </si>
  <si>
    <t>list!=null =&gt; this.size()==list.size()</t>
  </si>
  <si>
    <t>list==null =&gt; throw IllegalArgumentException</t>
  </si>
  <si>
    <t>list!=null</t>
  </si>
  <si>
    <t>If the list is not null, then the size of this list is equal to the size of the provided list.</t>
  </si>
  <si>
    <t>assert (list != null) =&gt; this.size() == list.size();</t>
  </si>
  <si>
    <t>assert list != null =&gt; this.size() == list.size();</t>
  </si>
  <si>
    <t>list!=null =&gt; \forall int i; 0&lt;=i&amp;&amp;i&lt;this.size(); this.get(i)==list.get(i)</t>
  </si>
  <si>
    <t>If the list is not null, then for every valid index in this list, the element at that index is the same as the element at the same index in the original list.</t>
  </si>
  <si>
    <t>assert (list != null) =&gt; \forall int i; 0 &lt;= i &amp;&amp; i &lt; list.size(); this.get(i).equals(list.get(i));</t>
  </si>
  <si>
    <t>assert list != null =&gt; \forall int i; 0 &lt;= i &amp;&amp; i &lt; list.size(); this.get(i).equals(list.get(i));</t>
  </si>
  <si>
    <t>assert list != null =&gt; \forall int i; 0 &lt;= i &amp;&amp; i &lt; this.size(); this.get(i).equals(list.get(i)));</t>
  </si>
  <si>
    <t xml:space="preserve">list!=null =&gt; this.equals(list) </t>
  </si>
  <si>
    <t>If the list is not null, then this list is equal to the provided list.</t>
  </si>
  <si>
    <t>assert list != null =&gt; (this.size() == list.size() &amp;&amp; \forall int i; 0 &lt;= i &amp;&amp; i &lt; this.size(); this.get(i).equals(list.get(i)) );</t>
  </si>
  <si>
    <t>assert (list != null) =&gt; (this.size() == list.size() &amp;&amp; \forall int i; 0 &lt;= i &amp;&amp; i &lt; list.size(); this.get(i).equals(list.get(i)));</t>
  </si>
  <si>
    <t>assert (list != null) =&gt; this.equals(list);</t>
  </si>
  <si>
    <t>assert list != null =&gt; this.equals(list);</t>
  </si>
  <si>
    <t>assert list != null =&gt; this.size() == list.size() &amp;&amp; \forall int i; 0 &lt;= i &amp;&amp; i &lt; this.size(); this.get(i).equals(list.get(i));</t>
  </si>
  <si>
    <t>AttributeList(int initialCapacity)</t>
  </si>
  <si>
    <t>AttributeList(List&lt;Attribute&gt; list)</t>
  </si>
  <si>
    <t>add(Attribute attribute)</t>
  </si>
  <si>
    <t>this.contains(attribute)</t>
  </si>
  <si>
    <t>The list contains the specified attribute after it is added.</t>
  </si>
  <si>
    <t>assert this.contains(attribute);</t>
  </si>
  <si>
    <t>attribute==null &amp;&amp; this.get(this.size()-1)==null || attribute!=null &amp;&amp; attribute.equals(this.get(this.size()-1))</t>
  </si>
  <si>
    <t>If the attribute is null, then the last element in the list is also null; if the attribute is not null, then it equals the last element in the list.</t>
  </si>
  <si>
    <t>assert (attribute == null =&gt; this.get(this.size() - 1) == null) &amp;&amp; (attribute != null =&gt; this.get(this.size() - 1).equals(attribute));</t>
  </si>
  <si>
    <t>assert ((attribute == null) =&gt; this.get(this.size() - 1) == null) &amp;&amp; ((attribute != null) =&gt; this.get(this.size() - 1).equals(attribute));</t>
  </si>
  <si>
    <t>assert (attribute == null) =&gt; (this.get(this.size() - 1) == null) &amp;&amp; (attribute != null) =&gt; (this.get(this.size() - 1).equals(attribute));</t>
  </si>
  <si>
    <t>assert (attribute == null) =&gt; this.get(this.size() - 1) == null &amp;&amp; (attribute != null) =&gt; this.get(this.size() - 1).equals(attribute);</t>
  </si>
  <si>
    <t>add(int index, Attribute attribute)</t>
  </si>
  <si>
    <t>index&gt;=0 &amp;&amp; index&lt;=\old(this.size()) =&gt; this.contains(attribute)</t>
  </si>
  <si>
    <t>index&lt;0 || index&gt;this.size =&gt; throw RuntimeOperationsException</t>
  </si>
  <si>
    <t>If the index is valid (between 0 and the initial size of the list inclusive), then the list contains the added attribute.</t>
  </si>
  <si>
    <t>assert (index &gt;= 0 &amp;&amp; index &lt;= \old(this.size())) =&gt; this.contains(attribute);</t>
  </si>
  <si>
    <t>assert index&gt;=0 &amp;&amp; index&lt;=\old(this.size()) =&gt; this.contains(attribute);</t>
  </si>
  <si>
    <t>assert index &gt;= 0 &amp;&amp; index &lt;= \old(this.size()) =&gt; this.contains(attribute);</t>
  </si>
  <si>
    <t>index&gt;=0 &amp;&amp; index&lt;=\old(this.size()) =&gt; attribute==null&amp;&amp;this.get(index)==null||this.get(index).equals(attribute)</t>
  </si>
  <si>
    <t>If the index is valid (between 0 and the initial size of the list inclusive), then if the attribute is null, the attribute at that index is also null, or the attribute at that index equals the added attribute.</t>
  </si>
  <si>
    <t>assert (index &gt;= 0 &amp;&amp; index &lt;= \old(this.size())) =&gt; ((attribute == null) =&gt; this.get(index) == null) &amp;&amp; ((attribute != null) =&gt; this.get(index).equals(attribute));</t>
  </si>
  <si>
    <t>assert (0 &lt;= index &amp;&amp; index &lt;= \old(this.size())) =&gt; ( (attribute == null) =&gt; this.get(index) == null ) &amp;&amp; ( (attribute != null) =&gt; this.get(index).equals(attribute) );</t>
  </si>
  <si>
    <t>assert (0 &lt;= index &amp;&amp; index &lt;= \old(this.size())) =&gt; ((attribute == null =&gt; this.get(index) == null) &amp;&amp; (attribute != null =&gt; this.get(index).equals(attribute)));</t>
  </si>
  <si>
    <t>assert index &gt;= 0 &amp;&amp; index &lt;= \old(this.size()) =&gt; (attribute == null &amp;&amp; this.get(index) == null) || (attribute != null &amp;&amp; this.get(index).equals(attribute));</t>
  </si>
  <si>
    <t>assert (index &gt;= 0 &amp;&amp; index &lt;= \old(this.size())) =&gt; (attribute == null ? this.get(index) == null : this.get(index).equals(attribute));</t>
  </si>
  <si>
    <t>assert index &gt;= 0 &amp;&amp; index &lt;= \old(this.size()) =&gt; (attribute == null ? this.get(index) == null : this.get(index).equals(attribute));</t>
  </si>
  <si>
    <t>If the index is valid (between 0 and the initial size of the list inclusive), then for every valid index before the specified index, each element at that position remains unchanged or is null both before and after the operation.</t>
  </si>
  <si>
    <t>assert index&gt;=0 &amp;&amp; index&lt;=\old(this.size()) =&gt; \forall int i; 0&lt;=i &amp;&amp; i&lt;index; ( (this.get(i)==null &amp;&amp; \old(this.get(i))==null) || this.get(i).equals(\old(this.get(i))) );</t>
  </si>
  <si>
    <t>assert (index &gt;= 0 &amp;&amp; index &lt;= \old(this.size())) =&gt; \forall int i; 0 &lt;= i &amp;&amp; i &lt; index; ( (this.get(i) == null &amp;&amp; \old(this.get(i)) == null) || (this.get(i) != null &amp;&amp; this.get(i).equals(\old(this.get(i)))) );</t>
  </si>
  <si>
    <t>assert index &gt;= 0 &amp;&amp; index &lt;= \old(this.size()) =&gt; \forall int i; 0 &lt;= i &amp;&amp; i &lt; index; this.get(i).equals(\old(this.get(i)));</t>
  </si>
  <si>
    <t>assert index &gt;= 0 &amp;&amp; index &lt;= \old(this.size()) =&gt; \forall int i; 0 &lt;= i &amp;&amp; i &lt; index; (this.get(i) == null &amp;&amp; \old(this.get(i)) == null) || this.get(i).equals(\old(this.get(i)));</t>
  </si>
  <si>
    <t>If the index is within the valid range (from 0 to the initial size of the list), then for every position from the index to the old size of the list, the element at each position plus one is either both null or equal to the element at that position before the addition.</t>
  </si>
  <si>
    <t>assert (index &gt;= 0 &amp;&amp; index &lt;= \old(this.size())) =&gt; \forall int i; index &lt;= i &amp;&amp; i &lt; \old(this.size()); ( (this.get(i+1) == null &amp;&amp; \old(this.get(i)) == null) || (this.get(i+1) != null &amp;&amp; this.get(i+1).equals(\old(this.get(i)))) );</t>
  </si>
  <si>
    <t>assert (index &gt;= 0 &amp;&amp; index &lt;= \old(this.size())) =&gt; \forall int i; index &lt;= i &amp;&amp; i &lt; \old(this.size()); (this.get(i+1) == null ? \old(this.get(i)) == null : this.get(i+1).equals(\old(this.get(i))));</t>
  </si>
  <si>
    <t>add(int index, Object element)</t>
  </si>
  <si>
    <t>index&gt;=0 &amp;&amp; index&lt;=this.size() =&gt; this.contains(element)</t>
  </si>
  <si>
    <t>index&gt;=0 &amp;&amp; index&lt;=this.size() =&gt; element==null&amp;&amp;this.get(index)==null||this.get(index).equals(element)</t>
  </si>
  <si>
    <t>index&gt;=0 &amp;&amp; index&lt;=this.size() =&gt; \forall int i; 0 &lt;= i&amp;&amp;i &lt; index; this.get(i)==null &amp;&amp; \old(this.get(i))==null || this.get(i).equals(\old(this.get(i)))</t>
  </si>
  <si>
    <t>index&gt;=0 &amp;&amp; index&lt;=this.size() =&gt; \forall int i; index&lt;=i &amp;&amp; i&lt;\old(this.size()); this.get(i+1)==null &amp;&amp; \old(this.get(i))==null || this.get(i+1).equals(\old(this.get(i)))</t>
  </si>
  <si>
    <t>add(Object element)</t>
  </si>
  <si>
    <t>this.contains(element)</t>
  </si>
  <si>
    <t>object==null &amp;&amp; this.get(this.size()-1)==null || object!=null &amp;&amp; object.equals(this.get(this.size()-1))</t>
  </si>
  <si>
    <t>asList()</t>
  </si>
  <si>
    <t>set(int index, Attribute attribute)</t>
  </si>
  <si>
    <t>index&gt;=0 &amp;&amp; index&lt;\old(this.size()) =&gt; this.get(index).equals(attribute)</t>
  </si>
  <si>
    <t>index&lt;0 || index&gt;=this.size =&gt; throw RuntimeOperationsException</t>
  </si>
  <si>
    <t>assert (index &gt;= 0 &amp;&amp; index &lt; \old(this.size())) =&gt; this.get(index).equals(\old(this.get(index)) );</t>
  </si>
  <si>
    <t>assert index &gt;= 0 &amp;&amp; index &lt; \old(this.size()) =&gt; this.get(index).equals(\old(this.get(index)));</t>
  </si>
  <si>
    <t>if the index is valid (non-negative and less than the initial size of the list), then for every valid index i less than the specified index, either both the current and old values at i are null, or the current value at i equals the old value at i.</t>
  </si>
  <si>
    <t>assert index&gt;=0 &amp;&amp; index&lt;\old(this.size()) =&gt; \forall int i; 0&lt;=i &amp;&amp; i&lt;index; (this.get(i) == null ? \old(this.get(i)) == null : this.get(i).equals(\old(this.get(i))));</t>
  </si>
  <si>
    <t>assert index&gt;=0 &amp;&amp; index&lt;\old(this.size()) =&gt; \forall int i; 0&lt;=i &amp;&amp; i&lt;index; ( (this.get(i)==null &amp;&amp; \old(this.get(i))==null) || this.get(i).equals(\old(this.get(i))) );</t>
  </si>
  <si>
    <t>If the index is valid (between 0 and the initial size of the list), then for every position greater than the index up to the end of the list, either both the current and old values at that position are null, or the current value is equal to the old value.</t>
  </si>
  <si>
    <t>assert (index &gt;= 0 &amp;&amp; index &lt; \old(this.size())) =&gt; \forall int i; 0 &lt;= i &amp;&amp; i &lt; this.size() &amp;&amp; i &gt; index; (this.get(i) == null &amp;&amp; \old(this.get(i)) == null) || this.get(i).equals(\old(this.get(i))));</t>
  </si>
  <si>
    <t>assert (index &gt;= 0 &amp;&amp; index &lt; \old(this.size())) =&gt; \forall int i; i &gt; index &amp;&amp; i &lt; this.size(); ( (this.get(i) == null &amp;&amp; \old(this.get(i)) == null) || this.get(i).equals(\old(this.get(i))) );</t>
  </si>
  <si>
    <t>assert (0 &lt;= index &amp;&amp; index &lt; \old(this.size())) =&gt; \forall int i; i &gt; index &amp;&amp; i &lt; this.size(); ( (this.get(i) == null &amp;&amp; \old(this.get(i)) == null) || (this.get(i) != null &amp;&amp; this.get(i).equals(\old(this.get(i)))) );</t>
  </si>
  <si>
    <t>assert index &gt;= 0 &amp;&amp; index &lt; \old(this.size()) =&gt; \forall int i; index &lt; i &amp;&amp; i &lt; this.size(); (this.get(i) == null &amp;&amp; \old(this.get(i)) == null) || this.get(i).equals(\old(this.get(i)));</t>
  </si>
  <si>
    <t>assert index &gt;= 0 &amp;&amp; index &lt; \old(this.size()) =&gt; \forall int i; index&lt;i &amp;&amp; i&lt;this.size(); (this.get(i) == null &amp;&amp; \old(this.get(i)) == null) || this.get(i).equals(\old(this.get(i))));</t>
  </si>
  <si>
    <t>set(int index, Object element)</t>
  </si>
  <si>
    <t>index&gt;=0 &amp;&amp; index&lt;this.size() =&gt; \result==\old(this.get(index))</t>
  </si>
  <si>
    <t>no comment for exception</t>
  </si>
  <si>
    <t>index&gt;=0 &amp;&amp; index&lt;size() =&gt; \forall int i; 0&lt;=i &amp;&amp; i&lt;index; this.get(i)==null &amp;&amp; \old(this.get(i))==null || this.get(i).equals(\old(this.get(i)))</t>
  </si>
  <si>
    <t>index&gt;=0 &amp;&amp; index&lt;this.size() =&gt; \forall int i; index&lt;i &amp;&amp; i&lt;this.size(); this.get(i)==null &amp;&amp; \old(this.get(i))==null || this.get(i).equals(\old(this.get(i)))</t>
  </si>
  <si>
    <t>javax.management.relation.RoleList</t>
  </si>
  <si>
    <t>RoleList()</t>
  </si>
  <si>
    <t>The RoleList is empty upon construction.</t>
  </si>
  <si>
    <t>The size of the RoleList is zero immediately after it is constructed.</t>
  </si>
  <si>
    <t>RoleList(int initialCapacity)</t>
  </si>
  <si>
    <t>If the initial capacity is greater than or equal to 0, then the RoleList is empty.</t>
  </si>
  <si>
    <t>RoleList(List&lt;Role&gt; list)</t>
  </si>
  <si>
    <t>If the list is not null, then the size of this RoleList is equal to the size of the list.</t>
  </si>
  <si>
    <t>assert (list != null) =&gt; (this.size() == list.size());</t>
  </si>
  <si>
    <t>if the list is not null, then for every valid index i in this RoleList, the element at index i in this RoleList is the same as the element at index i in the list provided.</t>
  </si>
  <si>
    <t>assert \forall int i; 0 &lt;= i &amp;&amp; i &lt; this.size(); this.get(i).equals(list.get(i)));</t>
  </si>
  <si>
    <t>assert list != null =&gt; \forall int i; 0 &lt;= i &amp;&amp; i &lt; this.size(); this.get(i).equals(list.get(i));</t>
  </si>
  <si>
    <t>If the list is not null, then this RoleList is equal to the list provided.</t>
  </si>
  <si>
    <t>assert list != null =&gt; (this.size() == list.size() &amp;&amp; \forall int i; 0 &lt;= i &amp;&amp; i &lt; list.size(); this.get(i).equals(list.get(i)));</t>
  </si>
  <si>
    <t>assert list != null =&gt; this.size() == list.size() &amp;&amp; \forall int i; 0 &lt;= i &amp;&amp; i &lt; list.size(); this.get(i).equals(list.get(i));</t>
  </si>
  <si>
    <t>assert !\old(list == null) =&gt; this.containsAll(\old(list)) &amp;&amp; this.size() == \old(list).size();</t>
  </si>
  <si>
    <t>assert !\old(list == null) =&gt; this.equals(new RoleList(\old(list)));</t>
  </si>
  <si>
    <t>If the index is between 0 and the initial size of the list, inclusive, then the list contains the element after the operation.</t>
  </si>
  <si>
    <t>assert (0 &lt;= index &amp;&amp; index &lt;= \old(this.size())) =&gt; this.contains((Role)element);</t>
  </si>
  <si>
    <t>assert (index &gt;= 0 &amp;&amp; index &lt;= \old(this.size())) =&gt; this.contains((Role) element);</t>
  </si>
  <si>
    <t>assert (0 &lt;= index &amp;&amp; index &lt;= \old(this.size())) =&gt; this.contains((Role) element);</t>
  </si>
  <si>
    <t>If the index is valid (between 0 and the initial size of the list inclusive), then if the element is null, the element at that index in the list is also null, or the element at that index equals the inserted element.</t>
  </si>
  <si>
    <t>If the index is within the valid range (from 0 up to the initial size of the list), then for every element before the index, it either remains unchanged or continues to be null if it was null before.</t>
  </si>
  <si>
    <t>assert (index &gt;= 0 &amp;&amp; index &lt;= \old(this.size())) =&gt; \forall int i; 0 &lt;= i &amp;&amp; i &lt; index; (this.get(i) == null ? \old(this.get(i)) == null : this.get(i).equals(\old(this.get(i))));</t>
  </si>
  <si>
    <t>If the index is between 0 and the initial size of the list inclusive, then for every valid index from the specified index to the old size of the list, the element at the next position is either null if the old element at this index was null, or equal to the old element at this index.</t>
  </si>
  <si>
    <t>assert (index &gt;= 0 &amp;&amp; index &lt;= \old(this.size())) =&gt; \forall int i; index &lt;= i &amp;&amp; i &lt; \old(this.size()); ( (\old(this.get(i)) == null) ? this.get(i+1) == null : this.get(i+1).equals(\old(this.get(i))) );</t>
  </si>
  <si>
    <t>assert index&gt;=0 &amp;&amp; index&lt;=\old(this.size()) =&gt; \forall int i; index &lt;= i &amp;&amp; i&lt;\old(this.size()); ( (\old(this.get(i)) == null &amp;&amp; this.get(i+1) == null) || (\old(this.get(i)) != null &amp;&amp; this.get(i+1).equals(\old(this.get(i)))) );</t>
  </si>
  <si>
    <t>assert (0 &lt;= index &amp;&amp; index &lt;= \old(this.size())) =&gt; \forall int i; index &lt;= i &amp;&amp; i &lt; \old(this.size()); ( (\old(this.get(i)) == null) =&gt; this.get(i+1) == null ) &amp;&amp; ( (\old(this.get(i)) != null) =&gt; this.get(i+1).equals(\old(this.get(i))) );</t>
  </si>
  <si>
    <t>assert index &gt;= 0 &amp;&amp; index &lt;= \old(this.size()) =&gt; \forall int i; index &lt;= i &amp;&amp; i &lt; \old(this.size()); (this.get(i) == null &amp;&amp; \old(this.get(i)) == null) || (this.get(i).equals(\old(this.get(i))));</t>
  </si>
  <si>
    <t>assert 0 &lt;= index &amp;&amp; index &lt;= \old(this.size()) =&gt; \forall int i; index &lt;= i &amp;&amp; i &lt; \old(this.size()); (this.get(i).equals(\old(this.get(i+1))) || (\old(this.get(i+1)) == null &amp;&amp; this.get(i) == null));</t>
  </si>
  <si>
    <t>assert 0 &lt;= index &amp;&amp; index &lt;= \old(this.size()) =&gt; \forall int i; index &lt;= i &amp;&amp; i &lt; \old(this.size()) - 1; (this.get(i).equals(\old(this.get(i+1))) || (\old(this.get(i+1)) == null &amp;&amp; this.get(i) == null));</t>
  </si>
  <si>
    <t>add(int index, Role role)</t>
  </si>
  <si>
    <t>index&gt;=0 &amp;&amp; index&lt;=\old(this.size()) &amp;&amp; role!=null =&gt; this.contains(role)</t>
  </si>
  <si>
    <t>role==null =&gt; throw IllegalArgumentException</t>
  </si>
  <si>
    <t>role!=null</t>
  </si>
  <si>
    <t>If the index is non-negative, less than or equal to the initial size of the list, and the role is not null, then the list contains the role.</t>
  </si>
  <si>
    <t>assert (index &gt;= 0 &amp;&amp; index &lt;= \old(this.size()) &amp;&amp; role != null) =&gt; this.contains(role);</t>
  </si>
  <si>
    <t>assert index &gt;= 0 &amp;&amp; index &lt;= \old(this.size()) &amp;&amp; role != null =&gt; this.contains(role);</t>
  </si>
  <si>
    <t>index&gt;=0 &amp;&amp; index&lt;=\old(this.size()) &amp;&amp; role!=null =&gt; this.get(index).equals(role)</t>
  </si>
  <si>
    <t>If the index is between 0 and the initial size of the list inclusive, and the role is not null, then the role at the specified index must be equal to the inserted role.</t>
  </si>
  <si>
    <t>assert (index &gt;= 0 &amp;&amp; index &lt;= \old(this.size()) &amp;&amp; role != null) =&gt; this.get(index).equals(role);</t>
  </si>
  <si>
    <t>assert index &gt;= 0 &amp;&amp; index &lt;= \old(this.size()) &amp;&amp; role != null =&gt; this.get(index).equals(role);</t>
  </si>
  <si>
    <t>assert (index &gt;= 0 &amp;&amp; index &lt;= \old(this.size())) &amp;&amp; role != null =&gt; this.get(index).equals(role);</t>
  </si>
  <si>
    <t>index&gt;=0 &amp;&amp; index&lt;=\old(this.size()) &amp;&amp; role!=null =&gt; \forall int i; 0 &lt;= i&amp;&amp;i &lt; index; this.get(i)==null &amp;&amp; \old(this.get(i))==null || this.get(i).equals(\old(this.get(i)))</t>
  </si>
  <si>
    <t>If the index is valid, non-negative, and not greater than the initial size of the list, and the role is not null, then for every position from 0 up to, but not including, the index, the element at that position remains unchanged or continues to be null after the insertion.</t>
  </si>
  <si>
    <t>assert (index &gt;= 0 &amp;&amp; index &lt;= \old(this.size()) &amp;&amp; role != null) =&gt; \forall int i; 0 &lt;= i &amp;&amp; i &lt; index; this.get(i) == \old(this.get(i));</t>
  </si>
  <si>
    <t>assert (index &gt;= 0 &amp;&amp; index &lt;= \old(this.size()) &amp;&amp; role != null) =&gt; \forall int i; 0 &lt;= i &amp;&amp; i &lt; index; (\old(this.get(i)) == null ? this.get(i) == null : this.get(i).equals(\old(this.get(i))));</t>
  </si>
  <si>
    <t>assert index &gt;= 0 &amp;&amp; index &lt;= \old(this.size()) &amp;&amp; role != null =&gt; \forall int i; 0 &lt;= i &amp;&amp; i &lt; index; (this.get(i) == null &amp;&amp; \old(this.get(i)) == null) || this.get(i).equals(\old(this.get(i)));</t>
  </si>
  <si>
    <t>assert index &gt;= 0 &amp;&amp; index &lt;= \old(this.size()) &amp;&amp; role != null =&gt; \forall int i; 0 &lt;= i &amp;&amp; i &lt; index; (this.get(i) == null) == (\old(this.get(i)) == null) &amp;&amp; (this.get(i) != null) =&gt; this.get(i).equals(\old(this.get(i)));</t>
  </si>
  <si>
    <t>index&gt;=0 &amp;&amp; index&lt;=\old(this.size()) &amp;&amp; role!=null =&gt; \forall int i; index &lt;= i&amp;&amp;i &lt;\old(this.size()); this.get(i+1) == null&amp;&amp;\old(this.get(i)) == null||this.get(i+1).equals(\old(this.get(i)))</t>
  </si>
  <si>
    <t>If the index is between 0 and the initial size of the list inclusive, and the role is not null, then for every valid index from the insertion point to the old size of the list, the element at the next position is either null if the old element was null or equals the old element at that position.</t>
  </si>
  <si>
    <t>assert (0 &lt;= index &amp;&amp; index &lt;= \old(this.size()) &amp;&amp; role != null) =&gt; \forall int i; index &lt;= i &amp;&amp; i &lt; \old(this.size()); ( (\old(this.get(i)) == null) ? this.get(i+1) == null : this.get(i+1).equals(\old(this.get(i))) );</t>
  </si>
  <si>
    <t>assert (index &gt;= 0 &amp;&amp; index &lt;= \old(this.size()) &amp;&amp; role != null) =&gt; \forall int i; i &gt;= index &amp;&amp; i &lt; \old(this.size()); ( (\old(this.get(i)) == null &amp;&amp; this.get(i+1) == null) || (\old(this.get(i)) != null &amp;&amp; this.get(i+1).equals(\old(this.get(i)))) );</t>
  </si>
  <si>
    <t>assert index &gt;= 0 &amp;&amp; index &lt;= \old(this.size()) &amp;&amp; role != null =&gt; \forall int i; index &lt;= i &amp;&amp; i &lt; \old(this.size()); (i == index ? this.get(i).equals(role) : this.get(i).equals(\old(this.get(i-1))));</t>
  </si>
  <si>
    <t>assert index &gt;= 0 &amp;&amp; index &lt;= \old(this.size()) &amp;&amp; role != null =&gt; \forall int i; index &lt; i &amp;&amp; i &lt;= \old(this.size()); this.get(i).equals(\old(this.get(i-1)));</t>
  </si>
  <si>
    <t>assert index &gt;= 0 &amp;&amp; index &lt;= \old(this.size()) &amp;&amp; role != null =&gt; \forall int i; index &lt; i &amp;&amp; i &lt; \old(this.size()); this.get(i).equals(\old(this.get(i-1)));</t>
  </si>
  <si>
    <t>add(Object o)</t>
  </si>
  <si>
    <t>this.contains(o)</t>
  </si>
  <si>
    <t>The list contains the object 'o' after it has been added.</t>
  </si>
  <si>
    <t>assert this.contains(o);</t>
  </si>
  <si>
    <t>assert this.size() == \old(this.size()) + 1 &amp;&amp; this.get(this.size() - 1).equals(o);</t>
  </si>
  <si>
    <t>assert this.contains((Role) o);</t>
  </si>
  <si>
    <t>o==null &amp;&amp; this.get(this.size()-1)==null || o!=null &amp;&amp; o.equals(this.get(this.size()-1))</t>
  </si>
  <si>
    <t>if the object is null, the last element of the list is also null; otherwise, the object equals the last element of the list.</t>
  </si>
  <si>
    <t>assert ((o == null) =&gt; this.get(this.size() - 1) == null) &amp;&amp; ((o != null) =&gt; this.get(this.size() - 1).equals(o));</t>
  </si>
  <si>
    <t>assert (o == null) =&gt; (this.get(this.size() - 1) == null) &amp;&amp; (o != null) =&gt; (o.equals(this.get(this.size() - 1)));</t>
  </si>
  <si>
    <t>assert (o == null) ==&gt; this.get(this.size() - 1) == null &amp;&amp; (o != null) ==&gt; this.get(this.size() - 1).equals(o);</t>
  </si>
  <si>
    <t>assert (o == null) =&gt; this.get(this.size() - 1) == null &amp;&amp; (o != null) =&gt; this.get(this.size() - 1).equals(o);</t>
  </si>
  <si>
    <t>the result of the add operation is always true</t>
  </si>
  <si>
    <t>add(Role role)</t>
  </si>
  <si>
    <t>role!=null =&gt; this.contains(role)</t>
  </si>
  <si>
    <t>If the role is not null, then the role is contained in the list after adding it.</t>
  </si>
  <si>
    <t>assert role != null =&gt; this.contains(role);</t>
  </si>
  <si>
    <t>assert this.contains(role);</t>
  </si>
  <si>
    <t>role!=null =&gt; role.equals(this.get(this.size()-1))</t>
  </si>
  <si>
    <t>If the role is not null, then it is equal to the last element in the list.</t>
  </si>
  <si>
    <t>assert role != null =&gt; this.get(this.size() - 1).equals(role);</t>
  </si>
  <si>
    <t>assert role != null =&gt; role.equals(this.get(this.size() - 1));</t>
  </si>
  <si>
    <t>addAll(int index, RoleList roleList)</t>
  </si>
  <si>
    <t>If the index is non-negative and less than the initial size of the list, then the result is equal to the element at that index before the operation.</t>
  </si>
  <si>
    <t>assert (index &gt;= 0 &amp;&amp; index &lt; \old(this.size())) =&gt; (\result == \old(this.get(index)));</t>
  </si>
  <si>
    <t>If the index is within the valid range of the list, then for every index i less than the specified index, the element at i remains unchanged or continues to be null after the operation.</t>
  </si>
  <si>
    <t>assert (0 &lt;= index &amp;&amp; index &lt; this.size()) =&gt; \forall int i; 0 &lt;= i &amp;&amp; i &lt; index; (\old(this.get(i)) == null ? this.get(i) == null : this.get(i).equals(\old(this.get(i))));</t>
  </si>
  <si>
    <t>assert index &gt;= 0 &amp;&amp; index &lt; this.size() =&gt; \forall int i; 0 &lt;= i &amp;&amp; i &lt; index; (this.get(i) == \old(this.get(i)) || \old(this.get(i)) == null);</t>
  </si>
  <si>
    <t>assert index &gt;= 0 &amp;&amp; index &lt; this.size() =&gt; \forall int i; 0 &lt;= i &amp;&amp; i &lt; index; (this.get(i) == null &amp;&amp; \old(this.get(i)) == null) || this.get(i).equals(\old(this.get(i)));</t>
  </si>
  <si>
    <t>If the index is within the bounds of the list, then for every index i greater than the given index and less than the size of the list, either both the current and old elements at index i are null, or they are equal.</t>
  </si>
  <si>
    <t>assert (0 &lt;= index &amp;&amp; index &lt; \old(this.size())) =&gt; \forall int i; index &lt; i &amp;&amp; i &lt; this.size(); ( (this.get(i) == null &amp;&amp; \old(this.get(i)) == null) || this.get(i).equals(\old(this.get(i))) );</t>
  </si>
  <si>
    <t>assert (index &gt;= 0 &amp;&amp; index &lt; this.size()) =&gt; \forall int i; index &lt; i &amp;&amp; i &lt; this.size(); (this.get(i) == null &amp;&amp; \old(this.get(i)) == null) || this.get(i).equals(\old(this.get(i)));</t>
  </si>
  <si>
    <t>assert index &gt;= 0 &amp;&amp; index &lt; this.size() =&gt; \forall int i; index &lt; i &amp;&amp; i &lt; this.size(); (this.get(i) == null &amp;&amp; \old(this.get(i)) == null) || this.get(i).equals(\old(this.get(i)));</t>
  </si>
  <si>
    <t>set(int index, Role role)</t>
  </si>
  <si>
    <t>index&gt;=0 &amp;&amp; index&lt;\old(this.size()) &amp;&amp; role!=null =&gt; this.get(index).equals(role)</t>
  </si>
  <si>
    <t>assert (index &gt;= 0 &amp;&amp; index &lt; this.size() &amp;&amp; role != null) =&gt; this.get(index).equals(\old(this.get(index)));</t>
  </si>
  <si>
    <t>assert (index &gt;= 0 &amp;&amp; index &lt; \old(this.size()) &amp;&amp; role != null) =&gt; this.get(index).equals(role) &amp;&amp; this.size() == \old(this.size());</t>
  </si>
  <si>
    <t>assert (0 &lt;= index &amp;&amp; index &lt; \old(this.size()) &amp;&amp; role != null) =&gt; (this.get(index).equals(role) &amp;&amp; \forall int i; 0 &lt;= i &amp;&amp; i &lt; \old(this.size()) &amp;&amp; i != index; this.get(i).equals(\old(this.get(i))));</t>
  </si>
  <si>
    <t>assert index &gt;= 0 &amp;&amp; index &lt; this.size() &amp;&amp; role != null =&gt; this.get(index).equals(\old(this.get(index)));</t>
  </si>
  <si>
    <t>index&gt;=0 &amp;&amp; index&lt;\old(this.size()) &amp;&amp; role!=null =&gt; \forall int i; 0&lt;=i &amp;&amp; i&lt;index; this.get(i)==null &amp;&amp; \old(this.get(i))==null || this.get(i).equals(\old(this.get(i)))</t>
  </si>
  <si>
    <t>If the index is within bounds and the role is not null, then for every index i less than the given index, if the element at i was null before, it remains null, otherwise it remains unchanged.</t>
  </si>
  <si>
    <t>assert (0 &lt;= index &amp;&amp; index &lt; \old(this.size()) &amp;&amp; role != null) =&gt; (\forall int i; 0 &lt;= i &amp;&amp; i &lt; index; (\old(this.get(i)) == null =&gt; this.get(i) == null) &amp;&amp; (\old(this.get(i)) != null =&gt; this.get(i).equals(\old(this.get(i)))));</t>
  </si>
  <si>
    <t>assert (index &gt;= 0 &amp;&amp; index &lt; this.size() &amp;&amp; role != null) =&gt; \forall int i; 0 &lt;= i &amp;&amp; i &lt; index; this.get(i) == \old(this.get(i));</t>
  </si>
  <si>
    <t>assert (0 &lt;= index &amp;&amp; index &lt; this.size() &amp;&amp; role != null) =&gt; \forall int i; 0 &lt;= i &amp;&amp; i &lt; index; this.get(i) == \old(this.get(i));</t>
  </si>
  <si>
    <t>assert index &gt;= 0 &amp;&amp; index &lt; this.size() &amp;&amp; role != null =&gt; \forall int i; 0 &lt;= i &amp;&amp; i &lt; index; (this.get(i) == null) == (\old(this.get(i)) == null) &amp;&amp; (this.get(i) != null) == (this.get(i).equals(\old(this.get(i))));</t>
  </si>
  <si>
    <t>assert index &gt;= 0 &amp;&amp; index &lt; this.size() &amp;&amp; role != null =&gt; \forall int i; 0 &lt;= i &amp;&amp; i &lt; index; (this.get(i) == null) == (\old(this.get(i)) == null) &amp;&amp; (this.get(i) != null) =&gt; this.get(i).equals(\old(this.get(i)));</t>
  </si>
  <si>
    <t>index&gt;=0 &amp;&amp; index&lt;\old(this.size()) &amp;&amp; role!=null =&gt; \forall int i; index&lt;i &amp;&amp; i&lt;this.size(); this.get(i)==null &amp;&amp; \old(this.get(i))==null || this.get(i).equals(\old(this.get(i)))</t>
  </si>
  <si>
    <t>If the index is valid, within the list's bounds, and the role is not null, then for every position greater than the index and within the list's bounds, either the element at that position is null and was null before, or it remains unchanged from its previous state.</t>
  </si>
  <si>
    <t>assert (index &gt;= 0 &amp;&amp; index &lt; this.size() &amp;&amp; role != null) =&gt; \forall int i; i &gt; index &amp;&amp; i &lt; this.size(); (this.get(i) == null ? \old(this.get(i)) == null : this.get(i).equals(\old(this.get(i))));</t>
  </si>
  <si>
    <t>assert (0 &lt;= index &amp;&amp; index &lt; this.size() &amp;&amp; role != null) =&gt; \forall int j; j &gt; index &amp;&amp; j &lt; this.size(); ( (this.get(j) == null &amp;&amp; \old(this.get(j)) == null) || this.get(j).equals(\old(this.get(j))) );</t>
  </si>
  <si>
    <t>assert (index &gt;= 0 &amp;&amp; index &lt; this.size() &amp;&amp; role != null) =&gt; \forall int i; i &gt; index &amp;&amp; i &lt; this.size(); ( (this.get(i) == null &amp;&amp; \old(this.get(i)) == null) || (this.get(i) != null &amp;&amp; this.get(i).equals(\old(this.get(i)))) );</t>
  </si>
  <si>
    <t>assert index &gt;= 0 &amp;&amp; index &lt; this.size() &amp;&amp; role != null =&gt; \forall int i; index &lt; i &amp;&amp; i &lt; this.size(); (this.get(i) == null &amp;&amp; \old(this.get(i)) == null) || this.get(i).equals(\old(this.get(i))));</t>
  </si>
  <si>
    <t>javax.management.relation.RoleUnresolvedList</t>
  </si>
  <si>
    <t>RoleUnresolvedList()</t>
  </si>
  <si>
    <t>The newly created RoleUnresolvedList is empty.</t>
  </si>
  <si>
    <t>The size of the newly created RoleUnresolvedList is 0</t>
  </si>
  <si>
    <t>RoleUnresolvedList(int initialCapacity)</t>
  </si>
  <si>
    <t>RoleUnresolvedList(List&lt;RoleUnresolved&gt; list)</t>
  </si>
  <si>
    <t>If the list is not null, then the size of this RoleUnresolvedList is equal to the size of the list provided.</t>
  </si>
  <si>
    <t>assert this.size() == list.size();</t>
  </si>
  <si>
    <t>If the list is not null, then for every valid index from 0 to the size of this list, the element at each index in this list is the same as the element at the corresponding index in the initial list.</t>
  </si>
  <si>
    <t>assert list != null =&gt; \forall int i; 0 &lt;= i &amp;&amp; i &lt; this.size(); this.get(i).equals(\old(list.get(i)));</t>
  </si>
  <si>
    <t>assert (! (list == null)) =&gt; \forall int i; 0 &lt;= i &amp;&amp; i &lt; this.size(); this.get(i).equals(\old(list.get(i)));</t>
  </si>
  <si>
    <t>assert list != null =&gt; \forall int i; 0 &lt;= i &amp;&amp; i &lt; list.size(); this.get(i).equals(list.get(i)));</t>
  </si>
  <si>
    <t>assert \forall int i; 0&lt;=i &amp;&amp; i&lt;this.size(); this.get(i).equals(list.get(i)));</t>
  </si>
  <si>
    <t>If the list is not null, then this RoleUnresolvedList is equal to the list provided.</t>
  </si>
  <si>
    <t>assert !\old(list == null) =&gt; this.size() == list.size() &amp;&amp; \forall int i; 0 &lt;= i &amp;&amp; i &lt; list.size(); this.get(i).equals(list.get(i));</t>
  </si>
  <si>
    <t>assert list != null =&gt; this.asList().equals(list);</t>
  </si>
  <si>
    <t>assert !\old(list == null) =&gt; this.asList().equals(\old(list));</t>
  </si>
  <si>
    <t>If the index is between 0 and the initial size of the list inclusive, then the list contains the element.</t>
  </si>
  <si>
    <t>assert (index &gt;= 0 &amp;&amp; index &lt;= \old(this.size())) =&gt; this.contains((RoleUnresolved)element);</t>
  </si>
  <si>
    <t>assert (0 &lt;= index &amp;&amp; index &lt;= \old(this.size())) =&gt; this.contains((RoleUnresolved) element);</t>
  </si>
  <si>
    <t>assert index &gt;= 0 &amp;&amp; index &lt;= \old(this.size()) =&gt; this.contains((RoleUnresolved) element);</t>
  </si>
  <si>
    <t>assert 0 &lt;= index &amp;&amp; index &lt;= \old(this.size()) =&gt; this.contains((RoleUnresolved) element);</t>
  </si>
  <si>
    <t>If the index is between 0 and the initial size of the list inclusive, then if the element is null, the element at that index in the list must also be null, or the element at that index must be equal to the element being added.</t>
  </si>
  <si>
    <t>assert (0 &lt;= index &amp;&amp; index &lt;= \old(this.size())) =&gt; ((element == null) =&gt; (this.get(index) == null || this.get(index).equals(element)));</t>
  </si>
  <si>
    <t>assert (0 &lt;= index &amp;&amp; index &lt;= \old(this.size())) =&gt; (element == null =&gt; (this.get(index) == null || this.get(index).equals(element)));</t>
  </si>
  <si>
    <t>assert (0 &lt;= index &amp;&amp; index &lt;= \old(this.size())) =&gt; (element == null || this.get(index).equals(element));</t>
  </si>
  <si>
    <t>assert index &gt;= 0 &amp;&amp; index &lt;= \old(this.size()) =&gt; (element == null) || this.get(index).equals(element);</t>
  </si>
  <si>
    <t>If the index is between 0 and the initial size of the list inclusive, then for every valid index up to the specified index, each element is either null and was null before, or remains unchanged from its previous state.</t>
  </si>
  <si>
    <t>assert (0 &lt;= index &amp;&amp; index &lt;= \old(this.size())) =&gt; \forall int i; 0 &lt;= i &amp;&amp; i &lt; index; ( (this.get(i) == null &amp;&amp; \old(this.get(i)) == null) || (this.get(i) != null &amp;&amp; this.get(i).equals(\old(this.get(i)))) );</t>
  </si>
  <si>
    <t>assert (0 &lt;= index &amp;&amp; index &lt;= \old(this.size())) =&gt; \forall int i; 0 &lt;= i &amp;&amp; i &lt;= index; ( (this.get(i) == null &amp;&amp; \old(this.get(i)) == null) || this.get(i).equals(\old(this.get(i))) );</t>
  </si>
  <si>
    <t>assert index &gt;= 0 &amp;&amp; index &lt;= \old(this.size()) =&gt; \forall int i; 0 &lt;= i &amp;&amp; i &lt; index; ( (this.get(i) == null &amp;&amp; \old(this.get(i)) == null) || this.get(i).equals(\old(this.get(i))) );</t>
  </si>
  <si>
    <t>If the index is within the valid range, then for every element from the index to the old size minus one, the element at the next position is either null if the current element is null, or the element at the next position is equal to the current element.</t>
  </si>
  <si>
    <t>assert (index &gt;= 0 &amp;&amp; index &lt;= \old(this.size())) =&gt; \forall int i; index &lt;= i &amp;&amp; i &lt; \old(this.size()); ( \old(this.get(i)) == null ? this.get(i+1) == null : this.get(i+1).equals(\old(this.get(i))) );</t>
  </si>
  <si>
    <t>assert (index &gt;= 0 &amp;&amp; index &lt;= \old(this.size())) =&gt; \forall int i; index &lt;= i &amp;&amp; i &lt; \old(this.size()); ( (\old(this.get(i)) == null &amp;&amp; this.get(i+1) == null) || (\old(this.get(i)) != null &amp;&amp; this.get(i+1).equals(\old(this.get(i)))) );</t>
  </si>
  <si>
    <t>assert index &gt;= 0 &amp;&amp; index &lt;= this.size() =&gt; \forall int i; index&lt;=i &amp;&amp; i&lt;\old(this.size())-1; (this.get(i) == null =&gt; this.get(i+1) == null) &amp;&amp; (this.get(i) != null =&gt; this.get(i+1).equals(\old(this.get(i))));</t>
  </si>
  <si>
    <t>assert index &gt;= 0 &amp;&amp; index &lt;= \old(this.size()) =&gt; \forall int i; index &lt;= i &amp;&amp; i &lt; \old(this.size()); (this.get(i) == null ? this.get(i+1) == null : this.get(i+1).equals(\old(this.get(i))));</t>
  </si>
  <si>
    <t>assert index &gt;= 0 &amp;&amp; index &lt;= \old(this.size()) =&gt; \forall int i; index&lt;i &amp;&amp; i&lt;\old(this.size()); this.get(i).equals(\old(this.get(i-1)));</t>
  </si>
  <si>
    <t>add(int index, RoleUnresolved role)</t>
  </si>
  <si>
    <t>If the index is within the valid range and the role is not null, then the role is contained in the list after adding.</t>
  </si>
  <si>
    <t>assert (0 &lt;= index &amp;&amp; index &lt;= \old(this.size()) &amp;&amp; role != null) =&gt; this.contains(role);</t>
  </si>
  <si>
    <t>assert index &gt;= 0 &amp;&amp; index &lt;= this.size() &amp;&amp; role != null =&gt; this.contains(role);</t>
  </si>
  <si>
    <t>If the index is between 0 and the initial size of the list inclusive, and the role is not null, then the element at that index is equal to the role.</t>
  </si>
  <si>
    <t>assert (0 &lt;= index &amp;&amp; index &lt;= \old(this.size()) &amp;&amp; role != null) =&gt; this.get(index).equals(role);</t>
  </si>
  <si>
    <t>If the index is within valid range (0 to initial size of the list), and the role is not null, then for every valid index less than the specified index, either the element at that index is null and was null before, or it remains unchanged from its previous state.</t>
  </si>
  <si>
    <t>assert (0 &lt;= index &amp;&amp; index &lt;= \old(this.size()) &amp;&amp; role != null) =&gt; \forall int i; 0 &lt;= i &amp;&amp; i &lt; index; ( (this.get(i) == null &amp;&amp; \old(this.get(i)) == null) || (this.get(i) != null &amp;&amp; this.get(i).equals(\old(this.get(i)))) );</t>
  </si>
  <si>
    <t>If the index is within valid range (0 to initial size inclusive) and the role is not null, then for every position from the index to the old size of the list, the element at the next position is either null and the old element at that position was null, or it is equal to the old element at that position.</t>
  </si>
  <si>
    <t>assert (index &gt;= 0 &amp;&amp; index &lt;= \old(this.size()) &amp;&amp; role != null) =&gt; \forall int i; index &lt;= i &amp;&amp; i &lt; \old(this.size()); ( (this.get(i + 1) == null &amp;&amp; \old(this.get(i)) == null) || this.get(i + 1).equals(\old(this.get(i))) );</t>
  </si>
  <si>
    <t>assert (0 &lt;= index &amp;&amp; index &lt;= \old(this.size()) &amp;&amp; role != null) =&gt; \forall int i; index &lt;= i &amp;&amp; i &lt; \old(this.size()); (this.get(i+1) == null &amp;&amp; \old(this.get(i)) == null) || this.get(i+1).equals(\old(this.get(i)));\</t>
  </si>
  <si>
    <t>assert index &gt;= 0 &amp;&amp; index &lt;= \old(this.size()) &amp;&amp; role != null =&gt; \forall int i; index &lt;= i &amp;&amp; i &lt; \old(this.size()); (this.get(i) == null &amp;&amp; \old(this.get(i)) == null) || this.get(i).equals(\old(this.get(i)));</t>
  </si>
  <si>
    <t>assert index &gt;= 0 &amp;&amp; index &lt;= \old(this.size()) &amp;&amp; role != null =&gt; \forall int i; index &lt;= i &amp;&amp; i &lt; \old(this.size()); (this.get(i) == null &amp;&amp; \old(this.get(i+1)) == null) || this.get(i).equals(\old(this.get(i+1)));</t>
  </si>
  <si>
    <t>assert (index &gt;= 0 &amp;&amp; index &lt;= \old(this.size()) &amp;&amp; role != null) =&gt; \forall int i; index &lt;= i &amp;&amp; i &lt; \old(this.size()); (this.get(i) == null &amp;&amp; \old(this.get(i)) == null) || this.get(i).equals(\old(this.get(i)));</t>
  </si>
  <si>
    <t>The list contains the object after it has been added.</t>
  </si>
  <si>
    <t>assert this.contains((RoleUnresolved) o);</t>
  </si>
  <si>
    <t>If the object is null, then the last element of the list is also null; if the object is not null, then it equals the last element of the list.</t>
  </si>
  <si>
    <t>assert (o == null =&gt; this.get(this.size() - 1) == null) &amp;&amp; (o != null =&gt; this.get(this.size() - 1).equals(o));</t>
  </si>
  <si>
    <t>assert (o == null) =&gt; this.get(\old(this.size())) == null &amp;&amp; (o != null) =&gt; this.get(\old(this.size())).equals(o);</t>
  </si>
  <si>
    <t>assert (o == null) =&gt; (this.get(this.size() - 1) == null) &amp;&amp; (o != null) =&gt; (this.get(this.size() - 1).equals(o));</t>
  </si>
  <si>
    <t>assert (o == null) =&gt; (this.get(this.size() - 1) == null) &amp;&amp; (o != null) =&gt; this.get(this.size() - 1).equals(o);</t>
  </si>
  <si>
    <t>The method always returns true.</t>
  </si>
  <si>
    <t>add(RoleUnresolved role)</t>
  </si>
  <si>
    <t>If the role is not null, then the list contains the role.</t>
  </si>
  <si>
    <t>If the role is not null, then it must be equal to the last element in the list.</t>
  </si>
  <si>
    <t>assert (role != null) =&gt; this.get(this.size() - 1).equals(role);</t>
  </si>
  <si>
    <t>If the index is non-negative and less than the initial size of the list, then the result is the same as the old value at that index.</t>
  </si>
  <si>
    <t>assert (index &gt;= 0 &amp;&amp; index &lt; \old(this.size())) =&gt; \result == \old(this.get(index));</t>
  </si>
  <si>
    <t>If the index is within valid range, then for every index i less than the specified index, the element at i remains unchanged or is null both before and after the operation.</t>
  </si>
  <si>
    <t>assert (index &gt;= 0 &amp;&amp; index &lt; this.size()) =&gt; \forall int i; 0 &lt;= i &amp;&amp; i &lt; index; this.get(i) == \old(this.get(i));</t>
  </si>
  <si>
    <t>assert (index &gt;= 0 &amp;&amp; index &lt; this.size()) =&gt; \forall int i; 0 &lt;= i &amp;&amp; i &lt; index; (this.get(i) == null ? \old(this.get(i)) == null : this.get(i).equals(\old(this.get(i))));</t>
  </si>
  <si>
    <t>If the index is valid (greater than or equal to 0 and less than the initial size of the list), then for every position greater than the index and within the list size, the element at that position is either unchanged or continues to be null if it was null before.</t>
  </si>
  <si>
    <t>assert index&gt;=0 &amp;&amp; index&lt;\old(this.size()) =&gt; (\forall int i; i&gt;index &amp;&amp; i&lt;\old(this.size()); this.get(i) == \old(this.get(i)));</t>
  </si>
  <si>
    <t>assert index&gt;=0 &amp;&amp; index&lt;\old(this.size()) =&gt; \forall int i; i&gt;index &amp;&amp; i&lt;this.size(); (this.get(i)==null ? \old(this.get(i))==null : this.get(i).equals(\old(this.get(i))));</t>
  </si>
  <si>
    <t>assert index &gt;= 0 &amp;&amp; index &lt; \old(this.size()) =&gt; \forall int i; index &lt; i &amp;&amp; i &lt; this.size(); (this.get(i) == null) == (\old(this.get(i)) == null) &amp;&amp; (this.get(i) != null =&gt; this.get(i).equals(\old(this.get(i))));</t>
  </si>
  <si>
    <t>assert index &gt;= 0 &amp;&amp; index &lt; \old(this.size()) =&gt; \forall int i; index&lt;i &amp;&amp; i&lt;this.size(); (this.get(i) == null) == (\old(this.get(i)) == null));</t>
  </si>
  <si>
    <t>set(int index, RoleUnresolved role)</t>
  </si>
  <si>
    <t>assert (index &gt;= 0 &amp;&amp; index &lt; \old(this.size()) &amp;&amp; role != null) =&gt; this.get(index).equals(role);</t>
  </si>
  <si>
    <t>assert (index &gt;= 0 &amp;&amp; index &lt; \old(this.size()) &amp;&amp; role != null) =&gt; this.get(index).equals(\old(this.get(index)));</t>
  </si>
  <si>
    <t>assert index &gt;= 0 &amp;&amp; index &lt; \old(this.size()) &amp;&amp; role != null =&gt; this.get(index).equals(\old(this.get(index)));</t>
  </si>
  <si>
    <t>If the index is within bounds and the role is not null, then for every index i less than the specified index, the element at i remains unchanged if it was not null before the operation.</t>
  </si>
  <si>
    <t>assert (0 &lt;= index &amp;&amp; index &lt; this.size() &amp;&amp; role != null) =&gt; \forall int i; 0 &lt;= i &amp;&amp; i &lt; index; (\old(this.get(i)) != null =&gt; this.get(i).equals(\old(this.get(i))));</t>
  </si>
  <si>
    <t>assert (0 &lt;= index &amp;&amp; index &lt; this.size() &amp;&amp; role != null) =&gt; \forall int i; 0 &lt;= i &amp;&amp; i &lt; index; (\old(this.get(i)) != null) =&gt; this.get(i).equals(\old(this.get(i)));</t>
  </si>
  <si>
    <t>assert index &gt;= 0 &amp;&amp; index &lt; this.size() &amp;&amp; role != null =&gt; \forall int i; 0 &lt;= i &amp;&amp; i &lt; index; this.get(i) != null &amp;&amp; this.get(i).equals(\old(this.get(i)));</t>
  </si>
  <si>
    <t>assert index &gt;= 0 &amp;&amp; index &lt; this.size() &amp;&amp; role != null =&gt; \forall int i; 0 &lt;= i &amp;&amp; i &lt; index; (this.get(i) != null =&gt; this.get(i).equals(\old(this.get(i))));</t>
  </si>
  <si>
    <t>If the index is within valid range (greater than or equal to 0 and less than the initial size of the list) and the role is not null, then for every position greater than the index and within the list size, the element at that position remains unchanged or continues to be null if it was originally null.</t>
  </si>
  <si>
    <t>assert (index &gt;= 0 &amp;&amp; index &lt; \old(this.size()) &amp;&amp; role != null) =&gt; \forall int i; index &lt; i &amp;&amp; i &lt; \old(this.size()); this.get(i) == \old(this.get(i));</t>
  </si>
  <si>
    <t>assert (index &gt;= 0 &amp;&amp; index &lt; \old(this.size()) &amp;&amp; role != null) =&gt; (\forall int i; i &gt; index &amp;&amp; i &lt; this.size(); this.get(i) == \old(this.get(i)));</t>
  </si>
  <si>
    <t>assert (index &gt;= 0 &amp;&amp; index &lt; \old(this.size()) &amp;&amp; role != null) =&gt; \forall int i; i &gt; index &amp;&amp; i &lt; \old(this.size()); this.get(i) == \old(this.get(i));</t>
  </si>
  <si>
    <t>assert (index &gt;= 0 &amp;&amp; index &lt; \old(this.size()) &amp;&amp; role != null) =&gt; \forall int i; index &lt; i &amp;&amp; i &lt; this.size(); (this.get(i) == null) == (\old(this.get(i)) == null) &amp;&amp; (this.get(i) != null) =&gt; this.get(i).equals(\old(this.get(i))));</t>
  </si>
  <si>
    <t>assert index &gt;= 0 &amp;&amp; index &lt; \old(this.size()) &amp;&amp; role != null =&gt; \forall int i; index &lt; i &amp;&amp; i &lt; this.size(); this.get(i).equals(\old(this.get(i)));</t>
  </si>
  <si>
    <t>assert index &gt;= 0 &amp;&amp; index &lt; \old(this.size()) &amp;&amp; role != null =&gt; \forall int i; index &lt; i &amp;&amp; i &lt; this.size(); this.get(i) == \old(this.get(i)) || (\old(this.get(i)) == null &amp;&amp; this.get(i) == null));</t>
  </si>
  <si>
    <t>java.util.PriorityQueue</t>
  </si>
  <si>
    <t>PriorityQueue()</t>
  </si>
  <si>
    <t>The size of the priority queue is zero immediately after its creation.</t>
  </si>
  <si>
    <t>PriorityQueue(int initialCapacity, Comparator&lt;? super E&gt; comparator)</t>
  </si>
  <si>
    <t>initialCapacity&gt;=1 =&gt; this.size()==0</t>
  </si>
  <si>
    <t>initialCapacity&lt;1 =&gt; throw IllegalArgumentException</t>
  </si>
  <si>
    <t>initialCapacity&gt;=1</t>
  </si>
  <si>
    <t>If the initial capacity is greater than or equal to 1, then the size of the priority queue is 0.</t>
  </si>
  <si>
    <t>assert initialCapacity &gt;= 1 =&gt; this.size == 0;</t>
  </si>
  <si>
    <t>assert initialCapacity &gt;= 1 =&gt; this.size() == 0;</t>
  </si>
  <si>
    <t>PriorityQueue(Collection&lt;? extends E&gt; c)</t>
  </si>
  <si>
    <t>c==null =&gt; throw NullPointerException</t>
  </si>
  <si>
    <t>If the collection 'c' is not null, then the size of this priority queue is equal to the size of 'c'.</t>
  </si>
  <si>
    <t>c!=null =&gt; \forall int i; 0&lt;=i &amp;&amp; i&lt;c.size(); this.contains(c.toArray()[i])</t>
  </si>
  <si>
    <t>If the collection is not null, then every element in the collection is contained in this priority queue after initialization.</t>
  </si>
  <si>
    <t>assert (c != null) =&gt; (\forall Object e; \old(c).contains(e); this.contains(e));</t>
  </si>
  <si>
    <t>assert c != null =&gt; \forall Object e; c.contains(e) =&gt; this.contains(e);</t>
  </si>
  <si>
    <t>assert (c != null) =&gt; \forall Object e; c.contains(e); this.contains(e);</t>
  </si>
  <si>
    <t>assert c != null =&gt; \forall E e; c.contains(e); this.contains(e);</t>
  </si>
  <si>
    <t>assert c != null =&gt; \forall Object e; c.contains(e); this.contains(e);</t>
  </si>
  <si>
    <t>The size of the priority queue is 0 after clearing.</t>
  </si>
  <si>
    <t>e!=null =&gt; this.size()==\old(this.size())+1</t>
  </si>
  <si>
    <t>e==null =&gt; throw NullPointerException</t>
  </si>
  <si>
    <t>If the element is not null, then the size of the queue increases by one from its previous size.</t>
  </si>
  <si>
    <t>assert (e != null) =&gt; (this.size == \old(this.size) + 1);</t>
  </si>
  <si>
    <t>assert (e != null) =&gt; (this.size() == \old(this.size()) + 1);</t>
  </si>
  <si>
    <t>assert (e != null) =&gt; this.size() == \old(this.size()) + 1;</t>
  </si>
  <si>
    <t>assert e != null =&gt; this.size() == \old(this.size()) + 1;</t>
  </si>
  <si>
    <t>If the element is not null, then it is contained in the priority queue after the operation.</t>
  </si>
  <si>
    <t>e!=null =&gt; \forall int i; 0&lt;=i &amp;&amp; i&lt;\old(this.size()); this.contains(\old(this.get(i)))</t>
  </si>
  <si>
    <t>If the element is not null, then for every valid index before adding the element, the priority queue contains the element at that index.</t>
  </si>
  <si>
    <t>assert (e != null) =&gt; \forall int i; 0 &lt;= i &amp;&amp; i &lt; \old(this.size()); this.get(i).equals(\old(this.get(i)));</t>
  </si>
  <si>
    <t>assert e != null =&gt; \forall int i; 0 &lt;= i &amp;&amp; i &lt; \old(this.size()); this.get(i).equals(\old(this.get(i)));</t>
  </si>
  <si>
    <t>assert e != null =&gt; \forall int j; 0&lt;=j &amp;&amp; j&lt;\old(this.size()); this.get(j).equals(\old(this.get(j)));</t>
  </si>
  <si>
    <t>assert e != null =&gt; \forall int j; 0 &lt;= j &amp;&amp; j &lt; \old(size); this.contains(\old(this.get(j)));</t>
  </si>
  <si>
    <t>e!=null &amp;&amp; \old(this.size())&gt;0 =&gt; (this.comparator()!=null &amp;&amp; this.comparator().compare(this.peek(), \old(this.peek()))&lt;=0) || (this.comparator()==null &amp;&amp; ((Comparable) this.peek()).compareTo(\old(this.peek()))&lt;=0)</t>
  </si>
  <si>
    <t>assert e != null =&gt; ( \old(this.size()) == 0 || (this.comparator() != null ? this.comparator().compare(this.peek(), \old(this.peek())) &lt;= 0 : ((Comparable&lt;E&gt;) this.peek()).compareTo(\old(this.peek())) &lt;= 0) );</t>
  </si>
  <si>
    <t>assert (e != null &amp;&amp; \old(this.peek()) != null) =&gt; this.peek().compareTo(\old(this.peek())) &lt;= 0;</t>
  </si>
  <si>
    <t>assert e != null =&gt; ( (this.comparator()!=null &amp;&amp; ((Comparator) this.comparator()).compare(this.peek(), \old(this.peek())) &lt;= 0) || (this.comparator()==null &amp;&amp; ((Comparable) this.peek()).compareTo(\old(this.peek())) &lt;= 0) );</t>
  </si>
  <si>
    <t>assert e != null =&gt; this.peek().compareTo(\old(this.peek())) &lt;= 0;</t>
  </si>
  <si>
    <t>\result==\old(this.peek())</t>
  </si>
  <si>
    <t>The result of the method is equal to the value at the head of the queue before the method execution.</t>
  </si>
  <si>
    <t>assert (\old(this.size()) &gt; 0 =&gt; \result.equals(\old(this.get(0)))) &amp;&amp; (\old(this.size()) == 0 =&gt; \result == null);</t>
  </si>
  <si>
    <t>assert \result == \old(this.peek());</t>
  </si>
  <si>
    <t>assert \result.equals(\old(this.peek()));</t>
  </si>
  <si>
    <t>\old(this.size())==0 =&gt; \result==null</t>
  </si>
  <si>
    <t>If the priority queue was empty before the operation, then the result is null.</t>
  </si>
  <si>
    <t>assert (\old(this.size()) == 0) =&gt; \result == null;</t>
  </si>
  <si>
    <t>assert \old(this.size()) == 0 =&gt; \result == null;</t>
  </si>
  <si>
    <t>\old(this.size())&gt;0 =&gt; this.size()==\old(this.size())-1</t>
  </si>
  <si>
    <t>If the queue size was greater than 0 before the operation, then the size of the queue after the operation is one less than before.</t>
  </si>
  <si>
    <t>assert (\old(this.size()) &gt; 0) =&gt; (this.size() == \old(this.size()) - 1);</t>
  </si>
  <si>
    <t>assert (\old(this.size()) &gt; 0) =&gt; this.size() == \old(this.size()) - 1;</t>
  </si>
  <si>
    <t>assert \old(this.size()) &gt; 0 =&gt; this.size() == \old(this.size()) - 1;</t>
  </si>
  <si>
    <t>this.size()&gt;0 =&gt; (this.comparator()!=null &amp;&amp; this.comparator().compare(this.peek(), \old(this.peek()))&gt;=0) || (this.comparator()==null &amp;&amp; ((Comparable) this.peek()).compareTo(\old(this.peek()))&gt;=0)</t>
  </si>
  <si>
    <t>assert (\old(this.size()) &gt; 0) =&gt; (this.size() == 0 || (this.comparator() == null ? ((Comparable) this.peek()).compareTo(\old(this.peek())) &gt;= 0 : this.comparator().compare(this.peek(), \old(this.peek())) &gt;= 0));</t>
  </si>
  <si>
    <t>assert (\old(this.size()) &gt; 0) =&gt; (this.size() == 0 || (this.comparator() == null ? ((Comparable&lt;E&gt;) this.peek()).compareTo(\old(this.peek())) &gt;= 0 : this.comparator().compare(this.peek(), \old(this.peek())) &gt;= 0));</t>
  </si>
  <si>
    <t>assert \old(this.size()) &gt; 0 =&gt; (this.size() == 0 || (this.comparator() != null ? this.comparator().compare(\old(this.peek()), this.peek()) &lt;= 0 : ((Comparable) \old(this.peek())).compareTo(this.peek()) &lt;= 0));</t>
  </si>
  <si>
    <t>assert !\old(this.isEmpty()) =&gt; this.peek() != null &amp;&amp; (\old(this.peek()).compareTo(this.peek()) &lt;= 0);</t>
  </si>
  <si>
    <t>assert !\old(this.isEmpty()) =&gt; this.peek().compareTo(\old(this.peek())) &gt;= 0;</t>
  </si>
  <si>
    <t>assert !\old(this.isEmpty()) =&gt; this.peek() != null &amp;&amp; (\old(this.comparator()) == null ? ((Comparable&amp;lt;? super E&amp;gt;) \old(this.peek())).compareTo(this.peek()) &amp;lt;= 0 : \old(this.comparator()).compare(\old(this.peek()), this.peek()) &amp;lt;= 0);</t>
  </si>
  <si>
    <t>!\old(this.contains(o)) =&gt; \result==false</t>
  </si>
  <si>
    <t>If the element was not in the queue before the operation, then the result is false.</t>
  </si>
  <si>
    <t>assert (!\old(this.contains(o))) =&gt; \result == false;</t>
  </si>
  <si>
    <t>assert (!\old(this.contains(o))) =&gt; (\result == false);</t>
  </si>
  <si>
    <t>assert !\old(this.contains(o)) =&gt; !\result;</t>
  </si>
  <si>
    <t>assert !\old(this.contains(o)) =&gt; \result == false;</t>
  </si>
  <si>
    <t>If the element was originally in the queue, then the result of the removal is true.</t>
  </si>
  <si>
    <t>assert (i != -1) =&gt; \result == true;</t>
  </si>
  <si>
    <t>\old(this.contains(o)) =&gt; this.size()==\old(this.size())-1</t>
  </si>
  <si>
    <t>If the queue initially contains the specified element, then the size of the queue after removal is one less than the initial size.</t>
  </si>
  <si>
    <t>assert \old(this.contains(o)) =&gt; this.size() == \old(this.size()) - 1;</t>
  </si>
  <si>
    <t>assert (\old(this.contains(o)) =&gt; this.size() == \old(this.size()) - 1);</t>
  </si>
  <si>
    <t>assert (this.size() &gt; 0) =&gt; ((java.lang.Comparable) this.peek()).compareTo(\old(this.peek())) &gt;= 0;</t>
  </si>
  <si>
    <t>assert \old(this.size()) &gt; 0 =&gt; (this.size() == 0 || this.peek().compareTo(\old(this.peek())) &gt;= 0);</t>
  </si>
  <si>
    <t>assert !this.isEmpty() =&gt; this.peek().compareTo(\old(this.peek())) &gt;= 0;</t>
  </si>
  <si>
    <t>removeAll(Collection&lt;?&gt; c)</t>
  </si>
  <si>
    <t>c!=null =&gt; \forall int i; 0&lt;=i &amp;&amp; i&lt;this.size(); !c.contains(this.get(i))</t>
  </si>
  <si>
    <t>If the collection c is not null, then for every valid index i in the priority queue, the element at index i is not contained in c.</t>
  </si>
  <si>
    <t>assert \forall int i; 0 &lt;= i &amp;&amp; i &lt; this.size(); !c.contains(this.get(i));</t>
  </si>
  <si>
    <t>assert (c != null) =&gt; \forall int i; 0 &lt;= i &amp;&amp; i &lt; this.size(); !c.contains(this.get(i));</t>
  </si>
  <si>
    <t>assert \forall int i; 0&lt;=i &amp;&amp; i&lt;this.size(); !c.contains(this.get(i)));</t>
  </si>
  <si>
    <t>assert \forall int i; 0&lt;=i &amp;&amp; i&lt;this.size(); !c.contains(this.get(i))</t>
  </si>
  <si>
    <t>assert \forall int i; 0&lt;=i &amp;&amp; i&lt;this.size(); !c.contains(this.get(i));</t>
  </si>
  <si>
    <t>retainAll(Collection&lt;?&gt; c)</t>
  </si>
  <si>
    <t>c!=null =&gt; \forall int i; 0&lt;=i &amp;&amp; i&lt;this.size(); c.contains(this.get(i))</t>
  </si>
  <si>
    <t>If the collection c is not null, then every element in the priority queue is contained in the collection c.</t>
  </si>
  <si>
    <t>assert c != null =&gt; \forall int i; 0 &lt;= i &amp;&amp; i &lt; this.size(); c.contains(this.get(i));</t>
  </si>
  <si>
    <t>assert \forall int i; 0&lt;=i &amp;&amp; i&lt;this.size(); c.contains(this.get(i)));</t>
  </si>
  <si>
    <t>The length of the returned array is equal to the size of the queue.</t>
  </si>
  <si>
    <t>For every valid index i (from 0 to the size of the queue), if the element at index i in the queue is null, then the element at index i in the returned array is also null; otherwise, the element in the queue at index i is equal to the element at index i in the returned array.</t>
  </si>
  <si>
    <t>assert \forall int i; 0&lt;=i &amp;&amp; i&lt;this.size(); (this.get(i) == null) == (Arrays.copyOf(queue, size)[i] == null) &amp;&amp; (this.get(i) != null) =&gt; this.get(i).equals(Arrays.copyOf(queue, size)[i]);</t>
  </si>
  <si>
    <t>java.util.BitSet</t>
  </si>
  <si>
    <t>BitSet()</t>
  </si>
  <si>
    <t>this.length()==0</t>
  </si>
  <si>
    <t>The length of the BitSet is zero after initialization.</t>
  </si>
  <si>
    <t>assert this.length() == 0;</t>
  </si>
  <si>
    <t>this.cardinality()==0</t>
  </si>
  <si>
    <t>The number of bits set to true in the BitSet is zero when it is created.</t>
  </si>
  <si>
    <t>assert this.cardinality() == 0;</t>
  </si>
  <si>
    <t>The bit set is initially empty.</t>
  </si>
  <si>
    <t>BitSet(int nbits)</t>
  </si>
  <si>
    <t>nbits&gt;=0 =&gt; this.length()==0</t>
  </si>
  <si>
    <t>nbits&lt;0 =&gt; throw NegativeArraySizeException</t>
  </si>
  <si>
    <t>nbits&gt;=0</t>
  </si>
  <si>
    <t>If the initial number of bits is non-negative, then the length of the BitSet is zero.</t>
  </si>
  <si>
    <t>assert nbits &gt;= 0 =&gt; this.length() == 0;</t>
  </si>
  <si>
    <t>assert (nbits &gt;= 0) =&gt; this.length() == 0;</t>
  </si>
  <si>
    <t>nbits&gt;=0 =&gt; this.cardinality()==0</t>
  </si>
  <si>
    <t>If the number of bits is non-negative, then the number of true bits in the BitSet is zero.</t>
  </si>
  <si>
    <t>assert nbits &gt;= 0 =&gt; this.cardinality() == 0;</t>
  </si>
  <si>
    <t>assert (nbits &gt;= 0) =&gt; (this.cardinality() == 0);</t>
  </si>
  <si>
    <t>assert \result.cardinality() == 0;</t>
  </si>
  <si>
    <t>nbits&gt;=0 =&gt; this.isEmpty()</t>
  </si>
  <si>
    <t>If the number of bits is greater than or equal to 0, then the bit set is empty.</t>
  </si>
  <si>
    <t>assert nbits &gt;= 0 =&gt; this.isEmpty();</t>
  </si>
  <si>
    <t>and(BitSet set)</t>
  </si>
  <si>
    <t>\forall int i; 0&lt;=i &amp;&amp; i&lt;this.length(); this.get(i)==(\old(this.get(i))==true &amp;&amp; set.get(i)==true)</t>
  </si>
  <si>
    <t>For every valid index i (from 0 up to the length of this BitSet), the bit at index i remains set to true if and only if it was originally true and is also true in the specified BitSet 'set'.</t>
  </si>
  <si>
    <t>assert \forall int i; 0 &lt;= i &amp;&amp; i &lt; this.length(); this.get(i) == (\old(this.get(i)) &amp;&amp; set.get(i));</t>
  </si>
  <si>
    <t>andNot(BitSet set)</t>
  </si>
  <si>
    <t>\forall int i; 0&lt;=i &amp;&amp; i&lt;this.length(); this.get(i)==(\old(this.get(i)) &amp; (!set.get(i)))</t>
  </si>
  <si>
    <t>For every index i from 0 up to the length of this BitSet, the bit at index i is set to the result of the logical AND operation between the old value of the bit at index i and the negation of the bit at index i in the specified BitSet.</t>
  </si>
  <si>
    <t>assert \forall int i; 0 &lt;= i &amp;&amp; i &lt; this.length(); this.get(i) == (\old(this.get(i)) &amp;&amp; !\old(set.get(i)));</t>
  </si>
  <si>
    <t>assert \forall int i; 0 &lt;= i &amp;&amp; i &lt; this.length(); this.get(i) == (\old(this.get(i)) &amp;&amp; !set.get(i));</t>
  </si>
  <si>
    <t>assert \forall int i; 0 &lt;= i &amp;&amp; i &lt; this.length(); this.get(i) == (\old(this.get(i)) &amp; ~\old(set.get(i)));</t>
  </si>
  <si>
    <t>cardinality()</t>
  </si>
  <si>
    <t>\result&gt;=0</t>
  </si>
  <si>
    <t>The number of bits set to true in this BitSet is always greater than or equal to 0.</t>
  </si>
  <si>
    <t>assert \result &gt;= 0;</t>
  </si>
  <si>
    <t>clear(int bitIndex)</t>
  </si>
  <si>
    <t>bitIndex&gt;=0 =&gt; this.get(bitIndex)==false</t>
  </si>
  <si>
    <t>bitIndex&lt;0 =&gt; throw IndexOutOfBoundsException</t>
  </si>
  <si>
    <t>bitIndex&gt;=0</t>
  </si>
  <si>
    <t>If the bit index is non-negative, then the bit at that index is set to false.</t>
  </si>
  <si>
    <t>assert bitIndex &gt;= 0 =&gt; !this.get(bitIndex);</t>
  </si>
  <si>
    <t>assert (bitIndex &gt;= 0) =&gt; (!this.get(bitIndex));</t>
  </si>
  <si>
    <t>assert !this.get(bitIndex);</t>
  </si>
  <si>
    <t>bitIndex&gt;=0 =&gt; \forall int i; 0&lt;=i &amp;&amp; i&lt;this.length() &amp;&amp; i!=bitIndex; this.get(i)==\old(this.get(i))</t>
  </si>
  <si>
    <t>If the bit index is non-negative, then for every valid index in the BitSet that is not the specified bit index, the value of the bit remains unchanged after the operation.</t>
  </si>
  <si>
    <t>assert (bitIndex &gt;= 0) =&gt; (\forall int i; 0 &lt;= i &amp;&amp; i &lt; this.size() &amp;&amp; i != bitIndex; this.get(i) == \old(this.get(i)));</t>
  </si>
  <si>
    <t>assert bitIndex &gt;= 0 =&gt; \forall int i; 0 &lt;= i &amp;&amp; i &lt; \old(this.length()) &amp;&amp; i != bitIndex; this.get(i) == \old(this.get(i));</t>
  </si>
  <si>
    <t>assert bitIndex &gt;= 0 =&gt; \forall int i; i &gt;= 0 &amp;&amp; i != bitIndex &amp;&amp; i &lt; this.size(); this.get(i) == \old(this.get(i));</t>
  </si>
  <si>
    <t>assert bitIndex &gt;= 0 =&gt; \forall int i; 0 &lt;= i &amp;&amp; i &lt; this.size() &amp;&amp; i != bitIndex; this.get(i) == \old(this.get(i));</t>
  </si>
  <si>
    <t>clear(int fromIndex, int toIndex)</t>
  </si>
  <si>
    <t>fromIndex&gt;=0 &amp;&amp; toIndex&gt;=fromIndex =&gt; \forall int i; fromIndex&lt;=i &amp;&amp; i&lt;toIndex; this.get(i)==false</t>
  </si>
  <si>
    <t>fromIndex&lt;0 || toIndex&lt;fromIndex =&gt; throw IndexOutOfBoundsException</t>
  </si>
  <si>
    <t>fromIndex&gt;=0 &amp;&amp; toIndex&gt;=fromIndex</t>
  </si>
  <si>
    <t>If fromIndex is non-negative and toIndex is not less than fromIndex, then every bit from fromIndex (inclusive) to toIndex (exclusive) is set to false.</t>
  </si>
  <si>
    <t>assert (fromIndex &gt;= 0 &amp;&amp; toIndex &gt;= fromIndex) =&gt; (\forall int i; i &gt;= fromIndex &amp;&amp; i &lt; toIndex; !this.get(i));</t>
  </si>
  <si>
    <t>assert (fromIndex &gt;= 0 &amp;&amp; toIndex &gt;= fromIndex) =&gt; (\forall int i; i &gt;= fromIndex &amp;&amp; i &lt; toIndex; this.get(i) == false);</t>
  </si>
  <si>
    <t>assert (fromIndex &gt;= 0 &amp;&amp; toIndex &gt;= fromIndex) =&gt; \forall int i; i &gt;= fromIndex &amp;&amp; i &lt; toIndex; this.get(i) == false;</t>
  </si>
  <si>
    <t>assert fromIndex &gt;= 0 &amp;&amp; toIndex &gt;= fromIndex =&gt; \forall int i; fromIndex &lt;= i &amp;&amp; i &lt; toIndex; !this.get(i);</t>
  </si>
  <si>
    <t>fromIndex&gt;=0 &amp;&amp; toIndex&gt;=fromIndex =&gt; \forall int i; 0&lt;=i &amp;&amp; i&lt;this.length() &amp;&amp; (i&lt;fromIndex || i&gt;=toIndex); this.get(i)==\old(this.get(i))</t>
  </si>
  <si>
    <t>If fromIndex is non-negative and toIndex is not less than fromIndex, then for every valid index i in the BitSet that is either less than fromIndex or greater than or equal to toIndex, the value of the bit at index i remains unchanged after the operation.</t>
  </si>
  <si>
    <t>assert (fromIndex &gt;= 0 &amp;&amp; toIndex &gt;= fromIndex) =&gt; \forall int i; 0 &lt;= i &amp;&amp; i &lt; this.size() &amp;&amp; (i &lt; fromIndex || i &gt;= toIndex); this.get(i) == \old(this.get(i));</t>
  </si>
  <si>
    <t>assert (fromIndex &gt;= 0 &amp;&amp; toIndex &gt;= fromIndex) =&gt; \forall int i; i &gt;= 0 &amp;&amp; i &lt; this.size() &amp;&amp; (i &lt; fromIndex || i &gt;= toIndex); this.get(i) == \old(this.get(i));</t>
  </si>
  <si>
    <t>assert (fromIndex &gt;= 0 &amp;&amp; toIndex &gt;= fromIndex) =&gt; \forall int i; (i &gt;= 0 &amp;&amp; i &lt; this.size() &amp;&amp; (i &lt; fromIndex || i &gt;= toIndex)); this.get(i) == \old(this.get(i));</t>
  </si>
  <si>
    <t>assert fromIndex &gt;= 0 &amp;&amp; toIndex &gt;= fromIndex =&gt; \forall int i; (i &lt; fromIndex || i &gt;= toIndex) &amp;&amp; i &lt; this.size() =&gt; this.get(i) == \old(this.get(i));</t>
  </si>
  <si>
    <t>assert fromIndex &gt;= 0 &amp;&amp; toIndex &gt;= fromIndex =&gt; \forall int i; (i &lt; fromIndex || i &gt;= toIndex) =&gt; this.get(i) == \old(this.get(i));</t>
  </si>
  <si>
    <t>assert (fromIndex &gt;= 0 &amp;&amp; toIndex &gt;= fromIndex) =&gt; \forall int i; (i &lt; fromIndex || i &gt;= toIndex) &amp;&amp; i &lt; this.size(); this.get(i) == \old(this.get(i));</t>
  </si>
  <si>
    <t>The length of the BitSet is zero after clearing all bits.</t>
  </si>
  <si>
    <t>The number of bits set to true in this BitSet is zero.</t>
  </si>
  <si>
    <t>BitSet is empty after the operation.</t>
  </si>
  <si>
    <t>The returned object is not the same instance as the original object.</t>
  </si>
  <si>
    <t>((BitSet) \result).size()==this.size()</t>
  </si>
  <si>
    <t>The size of the original BitSet is equal to the size of its clone.</t>
  </si>
  <si>
    <t>assert this.size() == ((BitSet)\result).size();</t>
  </si>
  <si>
    <t>assert \old(this.size()) == ((BitSet)\result).size();</t>
  </si>
  <si>
    <t>assert this.size() == \result.size();</t>
  </si>
  <si>
    <t>The result of cloning is never null.</t>
  </si>
  <si>
    <t>flip(int bitIndex)</t>
  </si>
  <si>
    <t>bitIndex&gt;=0 =&gt; this.get(bitIndex)!=\old(this.get(bitIndex))</t>
  </si>
  <si>
    <t>If the bit index is non-negative, then the value of the bit at that index is toggled from its previous state.</t>
  </si>
  <si>
    <t>assert (bitIndex &gt;= 0) =&gt; (this.get(bitIndex) == !\old(this.get(bitIndex)));</t>
  </si>
  <si>
    <t>assert bitIndex &gt;= 0 =&gt; this.get(bitIndex) == !\old(this.get(bitIndex));</t>
  </si>
  <si>
    <t>assert !\old(this.get(bitIndex)) == this.get(bitIndex);</t>
  </si>
  <si>
    <t>assert this.get(bitIndex) != \old(this.get(bitIndex));</t>
  </si>
  <si>
    <t>If the bit index is non-negative, then for each index i between 0 and the length of the bit set (exclusive), except for the bit at bitIndex, the value of the bit remains unchanged.</t>
  </si>
  <si>
    <t>assert bitIndex &gt;= 0 =&gt; \forall int i; 0 &lt;= i &amp;&amp; i &lt; this.length() &amp;&amp; i != bitIndex; this.get(i) == \old(this.get(i));</t>
  </si>
  <si>
    <t>assert bitIndex &gt;= 0 =&gt; (\forall int i; 0 &lt;= i &amp;&amp; i &lt; this.length() &amp;&amp; i != bitIndex; this.get(i) == \old(this.get(i)));</t>
  </si>
  <si>
    <t>flip(int fromIndex, int toIndex)</t>
  </si>
  <si>
    <t>fromIndex&gt;=0 &amp;&amp; toIndex&gt;=fromIndex =&gt; \forall int i; fromIndex&lt;=i &amp;&amp; i&lt;toIndex; this.get(i)!=\old(this.get(i))</t>
  </si>
  <si>
    <t>If fromIndex is non-negative and toIndex is greater than or equal to fromIndex, then for every index i from fromIndex (inclusive) to toIndex (exclusive), the value of the bit at index i is flipped from its original state.</t>
  </si>
  <si>
    <t>assert (fromIndex &gt;= 0 &amp;&amp; toIndex &gt;= fromIndex) =&gt; (\forall int i; i &gt;= fromIndex &amp;&amp; i &lt; toIndex; this.get(i) == !\old(this.get(i)));</t>
  </si>
  <si>
    <t>assert (fromIndex &gt;= 0 &amp;&amp; toIndex &gt;= fromIndex) =&gt; \forall int i; i &gt;= fromIndex &amp;&amp; i &lt; toIndex; this.get(i) == !\old(this.get(i));</t>
  </si>
  <si>
    <t>assert (fromIndex &gt;= 0 &amp;&amp; toIndex &gt;= fromIndex) =&gt; \forall int i; fromIndex &lt;= i &amp;&amp; i &lt; toIndex; this.get(i) == !\old(this.get(i));</t>
  </si>
  <si>
    <t>assert fromIndex &gt;= 0 &amp;&amp; toIndex &gt;= fromIndex =&gt; \forall int i; fromIndex &lt;= i &amp;&amp; i &lt; toIndex; this.get(i) != \old(this.get(i));</t>
  </si>
  <si>
    <t>If fromIndex is non-negative and toIndex is not less than fromIndex, then for every index i from 0 up to the length of the BitSet, if i is outside the range from fromIndex (inclusive) to toIndex (exclusive), the value of the bit at index i remains unchanged.</t>
  </si>
  <si>
    <t>assert (fromIndex &gt;= 0 &amp;&amp; toIndex &gt;= fromIndex) =&gt; (\forall int i; 0 &lt;= i &amp;&amp; i &lt; this.length(); (i &lt; fromIndex || i &gt;= toIndex) =&gt; this.get(i) == \old(this.get(i)));</t>
  </si>
  <si>
    <t>assert \forall int i; 0 &lt;= i &amp;&amp; i &lt; this.length(); (i &lt; fromIndex || i &gt;= toIndex) =&gt; this.get(i) == \old(this.get(i));</t>
  </si>
  <si>
    <t>assert fromIndex &gt;= 0 &amp;&amp; toIndex &gt;= fromIndex =&gt; \forall int i; 0 &lt;= i &amp;&amp; i &lt; this.length(); (i &lt; fromIndex || i &gt;= toIndex) =&gt; this.get(i) == \old(this.get(i));</t>
  </si>
  <si>
    <t>get(int bitIndex)</t>
  </si>
  <si>
    <t>get(int fromIndex, int toIndex)</t>
  </si>
  <si>
    <t>hashCode()</t>
  </si>
  <si>
    <t>length()</t>
  </si>
  <si>
    <t>nextClearBit(int fromIndex)</t>
  </si>
  <si>
    <t>fromIndex&gt;=0 =&gt; \result&gt;=fromIndex</t>
  </si>
  <si>
    <t>fromIndex&lt;0 =&gt; throw IndexOutOfBoundsException</t>
  </si>
  <si>
    <t>fromIndex&gt;=0</t>
  </si>
  <si>
    <t>If the starting index is non-negative, then the index of the next clear bit is greater than or equal to the starting index.</t>
  </si>
  <si>
    <t>assert fromIndex &gt;= 0 =&gt; \result &gt;= fromIndex;</t>
  </si>
  <si>
    <t>assert fromIndex &gt;= 0 =&gt; this.nextClearBit(fromIndex) &gt;= fromIndex;</t>
  </si>
  <si>
    <t>fromIndex&gt;=0 =&gt; this.get(\result)==false</t>
  </si>
  <si>
    <t>If the starting index is non-negative, then the value of the bit at the resulting index is false.</t>
  </si>
  <si>
    <t>assert fromIndex &gt;= 0 =&gt; this.get(\result) == false;</t>
  </si>
  <si>
    <t>assert (fromIndex &gt;= 0) =&gt; !this.get(\result);</t>
  </si>
  <si>
    <t>assert this.get(\result) == false;</t>
  </si>
  <si>
    <t>assert fromIndex &gt;= 0 =&gt; !this.get(\result);</t>
  </si>
  <si>
    <t>fromIndex&gt;=0 =&gt; \forall int i; i&gt;=fromIndex &amp;&amp; i&lt;\result; this.get(i)==true</t>
  </si>
  <si>
    <t>If fromIndex is greater than or equal to 0, then for every index i from fromIndex up to but not including the result, the bit at index i is set to true.</t>
  </si>
  <si>
    <t>assert fromIndex &gt;= 0 =&gt; \forall int i; i &gt;= fromIndex &amp;&amp; i &lt; \result; this.get(i) == true;</t>
  </si>
  <si>
    <t>assert (fromIndex &gt;= 0) =&gt; (\forall int i; i &gt;= fromIndex &amp;&amp; i &lt; \result; this.get(i) == true);</t>
  </si>
  <si>
    <t>assert (fromIndex &gt;= 0) =&gt; (\forall int i; i &gt;= fromIndex &amp;&amp; i &lt; \result; this.get(i));</t>
  </si>
  <si>
    <t>assert fromIndex &gt;= 0 =&gt; \forall int i; fromIndex &lt;= i &amp;&amp; i &lt; \result; this.get(i);</t>
  </si>
  <si>
    <t>assert fromIndex &gt;= 0 =&gt; \forall int i; fromIndex &lt;= i &amp;&amp; i &lt; \result; this.get(i) == true;</t>
  </si>
  <si>
    <t>nextSetBit(int fromIndex)</t>
  </si>
  <si>
    <t>fromIndex&gt;=0 =&gt; \result==-1 || \result&gt;=fromIndex</t>
  </si>
  <si>
    <t>If the starting index is non-negative, then the result is either -1 or a value greater than or equal to the starting index.</t>
  </si>
  <si>
    <t>assert fromIndex &gt;= 0 =&gt; (\result == -1 || \result &gt;= fromIndex);</t>
  </si>
  <si>
    <t>assert fromIndex &gt;= 0 =&gt; \result == -1 || \result &gt;= fromIndex;</t>
  </si>
  <si>
    <t>fromIndex&gt;=0 &amp;&amp; \result!=-1 =&gt; this.get(\result)==true</t>
  </si>
  <si>
    <t>If fromIndex is non-negative and the result is not -1, then the bit at the result index is true.</t>
  </si>
  <si>
    <t>assert (fromIndex &gt;= 0 &amp;&amp; \result != -1) =&gt; this.get(\result);</t>
  </si>
  <si>
    <t>assert fromIndex &gt;= 0 &amp;&amp; \result != -1 =&gt; this.get(\result);</t>
  </si>
  <si>
    <t>fromIndex&gt;=0 &amp;&amp; \result!=-1 =&gt; \forall int i; i&gt;=fromIndex &amp;&amp; i&lt;\result; this.get(i)==false</t>
  </si>
  <si>
    <t>If fromIndex is non-negative and a set bit is found, then all bits from fromIndex up to but not including the found set bit index are false.</t>
  </si>
  <si>
    <t>assert (fromIndex &gt;= 0 &amp;&amp; \result != -1) =&gt; \forall int i; fromIndex &lt;= i &amp;&amp; i &lt; \result; this.get(i) == false;</t>
  </si>
  <si>
    <t>assert (fromIndex &gt;= 0 &amp;&amp; \result != -1) =&gt; (\forall int i; fromIndex &lt;= i &amp;&amp; i &lt; \result; !this.get(i));</t>
  </si>
  <si>
    <t>assert fromIndex &gt;= 0 &amp;&amp; \result != -1 =&gt; \forall int i; fromIndex &lt;= i &amp;&amp; i &lt; \result; !this.get(i);</t>
  </si>
  <si>
    <t>or(BitSet set)</t>
  </si>
  <si>
    <t>\forall int i; 0&lt;=i &amp;&amp; i&lt;this.length(); this.get(i)==(\old(this.get(i))==true || set.get(i)==true)</t>
  </si>
  <si>
    <t>For every valid index i (from 0 up to the length of this BitSet), the bit at index i in this BitSet after the operation is true if and only if it was true before the operation or the corresponding bit in the argument BitSet is true.</t>
  </si>
  <si>
    <t>assert \forall int i; 0 &lt;= i &amp;&amp; i &lt; this.length(); this.get(i) == (\old(this.get(i)) || set.get(i));</t>
  </si>
  <si>
    <t>previousClearBit(int fromIndex)</t>
  </si>
  <si>
    <t>fromIndex&gt;=-1 =&gt; \result&lt;=fromIndex</t>
  </si>
  <si>
    <t>fromIndex&lt;-1 =&gt; throw IndexOutOfBoundsException</t>
  </si>
  <si>
    <t>fromIndex&gt;=-1</t>
  </si>
  <si>
    <t>If the starting index is greater than or equal to -1, then the result index is less than or equal to the starting index.</t>
  </si>
  <si>
    <t>assert (fromIndex &gt;= -1) =&gt; (\result &lt;= fromIndex);</t>
  </si>
  <si>
    <t>assert fromIndex &gt;= -1 =&gt; \result &lt;= fromIndex;</t>
  </si>
  <si>
    <t>fromIndex&gt;=-1 &amp;&amp; \result!=-1 =&gt; this.get(\result)==false</t>
  </si>
  <si>
    <t>If fromIndex is greater than or equal to -1 and the result is not -1, then the bit at the result index is false.</t>
  </si>
  <si>
    <t>assert (fromIndex &gt;= -1 &amp;&amp; \result != -1) =&gt; !this.get(\result);</t>
  </si>
  <si>
    <t>assert fromIndex &gt;= -1 &amp;&amp; \result != -1 =&gt; !this.get(\result);</t>
  </si>
  <si>
    <t>fromIndex&gt;=-1 =&gt; \forall int i; i&gt;\result &amp;&amp; i&lt;=fromIndex; this.get(i)==true</t>
  </si>
  <si>
    <t>If the starting index is greater than or equal to -1, then for every index greater than the result and less than or equal to the starting index, the bit at that index is set to true.</t>
  </si>
  <si>
    <t>assert (fromIndex &gt;= -1) =&gt; (\forall int i; i &gt; \result &amp;&amp; i &lt;= fromIndex; this.get(i));</t>
  </si>
  <si>
    <t>assert (fromIndex &gt;= -1) =&gt; (\forall int i; \result &lt; i &amp;&amp; i &lt;= fromIndex; this.get(i));</t>
  </si>
  <si>
    <t>assert fromIndex &gt;= -1 =&gt; \forall int i; \result &lt; i &amp;&amp; i &lt;= fromIndex; this.get(i));</t>
  </si>
  <si>
    <t>assert fromIndex &gt;= -1 =&gt; \forall int i; fromIndex &gt;= i &amp;&amp; i &gt; \result; this.get(i);</t>
  </si>
  <si>
    <t>previousSetBit(int fromIndex)</t>
  </si>
  <si>
    <t>fromIndex&gt;=-1 &amp;&amp; \result!=-1 =&gt; this.get(\result)==true</t>
  </si>
  <si>
    <t>If the starting index is greater than or equal to -1 and the result is not -1, then the bit at the result index is set to true.</t>
  </si>
  <si>
    <t>assert (fromIndex &gt;= -1 &amp;&amp; \result != -1) =&gt; this.get(\result);</t>
  </si>
  <si>
    <t>assert fromIndex &gt;= -1 &amp;&amp; \result != -1 =&gt; this.get(\result);</t>
  </si>
  <si>
    <t>fromIndex&gt;=-1 =&gt; \forall int i; i&gt;\result &amp;&amp; i&lt;=fromIndex; this.get(i)==false</t>
  </si>
  <si>
    <t>If fromIndex is greater than or equal to -1, then for every index i that is greater than the result and less than or equal to fromIndex, the bit at index i in the BitSet is false.</t>
  </si>
  <si>
    <t>assert fromIndex &gt;= -1 =&gt; (\forall int i; \result &lt; i &amp;&amp; i &lt;= fromIndex; !this.get(i));</t>
  </si>
  <si>
    <t>assert (fromIndex &gt;= -1) =&gt; (\forall int i; \result &lt; i &amp;&amp; i &lt;= fromIndex; !this.get(i));</t>
  </si>
  <si>
    <t>assert fromIndex &gt;= -1 =&gt; \forall int i; \result &lt; i &amp;&amp; i &lt;= fromIndex; !this.get(i);</t>
  </si>
  <si>
    <t>set(int bitIndex)</t>
  </si>
  <si>
    <t>bitIndex&gt;=0 =&gt; this.get(bitIndex)==true</t>
  </si>
  <si>
    <t>If the bit index is non-negative, then the bit at that index is set to true.</t>
  </si>
  <si>
    <t>assert bitIndex &gt;= 0 =&gt; this.get(bitIndex);</t>
  </si>
  <si>
    <t>assert bitIndex &gt;= 0 =&gt; this.get(bitIndex) == true;</t>
  </si>
  <si>
    <t>If the bit index is non-negative, then for each index i from 0 up to the length of the BitSet (exclusive) and not equal to the bit index, the value of the bit at index i remains unchanged.</t>
  </si>
  <si>
    <t>set(int bitIndex, boolean value)</t>
  </si>
  <si>
    <t>bitIndex&gt;=0 =&gt; this.get(bitIndex)==value</t>
  </si>
  <si>
    <t>If the bit index is non-negative, then the value of the bit at that index must be equal to the specified value.</t>
  </si>
  <si>
    <t>assert (bitIndex &gt;= 0) =&gt; this.get(bitIndex) == value;</t>
  </si>
  <si>
    <t>assert (bitIndex &gt;= 0) =&gt; (this.get(bitIndex) == value);</t>
  </si>
  <si>
    <t>assert bitIndex &gt;= 0 =&gt; this.get(bitIndex) == value;</t>
  </si>
  <si>
    <t>assert (bitIndex &gt;= 0) =&gt; \forall int i; i &gt;= 0 &amp;&amp; i != bitIndex; this.get(i) == \old(this.get(i));</t>
  </si>
  <si>
    <t>assert (bitIndex &gt;= 0) =&gt; \forall int i; i &gt;= 0 &amp;&amp; i &lt; this.size() &amp;&amp; i != bitIndex; this.get(i) == \old(this.get(i));</t>
  </si>
  <si>
    <t>assert bitIndex &gt;= 0 =&gt; \forall int i; i &gt;= 0 &amp;&amp; i &lt; this.size() &amp;&amp; i != bitIndex; this.get(i) == \old(this.get(i));</t>
  </si>
  <si>
    <t>set(int fromIndex, int toIndex)</t>
  </si>
  <si>
    <t>fromIndex&gt;=0 &amp;&amp; toIndex&gt;=fromIndex =&gt; \forall int i; fromIndex&lt;=i &amp;&amp; i&lt;toIndex; this.get(i)==true</t>
  </si>
  <si>
    <t>If fromIndex is greater than or equal to 0 and toIndex is greater than or equal to fromIndex, then for each index i from fromIndex to toIndex (exclusive), the bit at index i is set to true.</t>
  </si>
  <si>
    <t>assert (fromIndex &gt;= 0 &amp;&amp; toIndex &gt;= fromIndex) =&gt; (\forall int i; fromIndex &lt;= i &amp;&amp; i &lt; toIndex; this.get(i));</t>
  </si>
  <si>
    <t>assert (fromIndex &gt;= 0 &amp;&amp; toIndex &gt;= fromIndex) =&gt; \forall int i; i &gt;= fromIndex &amp;&amp; i &lt; toIndex; this.get(i);</t>
  </si>
  <si>
    <t>assert (fromIndex &gt;= 0 &amp;&amp; toIndex &gt;= fromIndex) =&gt; (\forall int i; i &gt;= fromIndex &amp;&amp; i &lt; toIndex; this.get(i));</t>
  </si>
  <si>
    <t>assert fromIndex &gt;= 0 &amp;&amp; toIndex &gt;= fromIndex =&gt; \forall int i; fromIndex &lt;= i &amp;&amp; i &lt; toIndex; this.get(i) == true;</t>
  </si>
  <si>
    <t>assert fromIndex &gt;= 0 &amp;&amp; toIndex &gt;= fromIndex =&gt; \forall int i; fromIndex &lt;= i &amp;&amp; i &lt; toIndex; this.get(i));</t>
  </si>
  <si>
    <t>assert (fromIndex &gt;= 0 &amp;&amp; toIndex &gt;= fromIndex) =&gt; (\forall int i; i &gt;= 0 &amp;&amp; i &lt; \old(this.size()); (i &lt; fromIndex || i &gt;= toIndex) =&gt; this.get(i) == \old(this.get(i)));</t>
  </si>
  <si>
    <t>assert (fromIndex &gt;= 0 &amp;&amp; toIndex &gt;= fromIndex) =&gt; (\forall int i; i &gt;= 0 &amp;&amp; i &lt; \old(this.size()) &amp;&amp; (i &lt; fromIndex || i &gt;= toIndex); this.get(i) == \old(this.get(i)));</t>
  </si>
  <si>
    <t>assert \forall int i; (i &lt; fromIndex || i &gt;= toIndex) =&gt; this.get(i) == \old(this.get(i));</t>
  </si>
  <si>
    <t>set(int fromIndex, int toIndex, boolean value)</t>
  </si>
  <si>
    <t>fromIndex&gt;=0 &amp;&amp; toIndex&gt;=fromIndex =&gt; \forall int i; fromIndex&lt;=i &amp;&amp; i&lt;toIndex; this.get(i)==value</t>
  </si>
  <si>
    <t>If fromIndex is non-negative and toIndex is greater than or equal to fromIndex, then for every index i from fromIndex (inclusive) to toIndex (exclusive), the value of the bit at index i is equal to the specified value.</t>
  </si>
  <si>
    <t>assert (fromIndex &gt;= 0 &amp;&amp; toIndex &gt;= fromIndex) =&gt; \forall int i; i &gt;= fromIndex &amp;&amp; i &lt; toIndex; this.get(i) == value;</t>
  </si>
  <si>
    <t>assert fromIndex &gt;= 0 &amp;&amp; toIndex &gt;= fromIndex =&gt; \forall int i; fromIndex &lt;= i &amp;&amp; i &lt; toIndex; this.get(i) == value;</t>
  </si>
  <si>
    <t>assert (fromIndex &gt;= 0 &amp;&amp; toIndex &gt;= fromIndex) =&gt; (\forall int i; i &gt;= 0 &amp;&amp; i &lt; this.size() &amp;&amp; (i &lt; fromIndex || i &gt;= toIndex); this.get(i) == \old(this.get(i)));</t>
  </si>
  <si>
    <t>assert (fromIndex &gt;= 0 &amp;&amp; toIndex &gt;= fromIndex) =&gt; \forall int i; (i &lt; fromIndex || i &gt;= toIndex) =&gt; this.get(i) == \old(this.get(i));</t>
  </si>
  <si>
    <t>assert (fromIndex &gt;= 0 &amp;&amp; toIndex &gt;= fromIndex) =&gt; (\forall int i; (i &lt; fromIndex || i &gt;= toIndex) &amp;&amp; i &gt;= 0 &amp;&amp; i &lt; this.size(); this.get(i) == \old(this.get(i)));</t>
  </si>
  <si>
    <t>toByteArray()</t>
  </si>
  <si>
    <t>toLongArray()</t>
  </si>
  <si>
    <t>valueOf(long[] longs)</t>
  </si>
  <si>
    <t>\result!=null &amp;&amp; \forall int i; 0&lt;=i &amp;&amp; i&lt;\result.toLongArray().length; \result.toLongArray()[i]==longs[i]</t>
  </si>
  <si>
    <t>assert \result != null &amp;&amp; \result.toLongArray().length == longs.length &amp;&amp; (\forall int i; 0 &lt;= i &amp;&amp; i &lt; longs.length; \result.toLongArray()[i] == longs[i]);</t>
  </si>
  <si>
    <t>assert \result != null &amp;&amp; \result.toLongArray().length == longs.length &amp;&amp; \forall int i; 0 &lt;= i &amp;&amp; i &lt; longs.length; \result.toLongArray()[i] == longs[i];</t>
  </si>
  <si>
    <t>assert \result != null &amp;&amp; Arrays.equals(\result.toLongArray(), longs);</t>
  </si>
  <si>
    <t>valueOf(LongBuffer lb)</t>
  </si>
  <si>
    <t>\result!=null &amp;&amp; \forall int i; 0&lt;=i &amp;&amp; i&lt;\result.toLongArray().length; \result.toLongArray()[i] == lb.get(i)</t>
  </si>
  <si>
    <t>The returned BitSet is not null and each element in the long array representation of the returned BitSet matches the corresponding element in the LongBuffer from its current position to its limit.</t>
  </si>
  <si>
    <t>assert \result != null &amp;&amp; (\forall int i; 0 &lt;= i &amp;&amp; i &lt; \result.toLongArray().length; \result.toLongArray()[i] == \old(lb.get(i + \old(lb.position()))));</t>
  </si>
  <si>
    <t>assert \result != null &amp;&amp; \forall int i; 0 &lt;= i &amp;&amp; i &lt; (\old(lb.limit()) - \old(lb.position())); \result.toLongArray()[i] == \old(lb.get(\old(lb.position()) + i));</t>
  </si>
  <si>
    <t>assert \result != null &amp;&amp; \forall int i; 0 &lt;= i &amp;&amp; i &lt; n; \result.toLongArray()[i] == lb.get(i);</t>
  </si>
  <si>
    <t>assert \result != null &amp;&amp; \forall int i; 0 &lt;= i &amp;&amp; i &lt; \result.toLongArray().length; \result.toLongArray()[i] == lb.get(i));</t>
  </si>
  <si>
    <t>valueOf(byte[] bytes)</t>
  </si>
  <si>
    <t>\result!=null &amp;&amp; \forall int i; 0&lt;=i &amp;&amp; i&lt;\result.toByteArray().length; \result.toByteArray()[i]==bytes[i]</t>
  </si>
  <si>
    <t>assert \result != null &amp;&amp; \result.toByteArray().length == bytes.length &amp;&amp; (\forall int i; 0 &lt;= i &amp;&amp; i &lt; bytes.length; \result.toByteArray()[i] == bytes[i]);</t>
  </si>
  <si>
    <t>assert (\result != null) &amp;&amp; java.util.Arrays.equals(\result.toByteArray(), bytes);</t>
  </si>
  <si>
    <t>assert \result != null &amp;&amp; Arrays.equals(\result.toByteArray(), bytes);</t>
  </si>
  <si>
    <t>valueOf(ByteBuffer bb)</t>
  </si>
  <si>
    <t>\result!=null &amp;&amp; \forall int i; 0&lt;=i &amp;&amp; i&lt;\result.toByteArray().length; \result.toByteArray()[i] == bb.get(i)</t>
  </si>
  <si>
    <t>The result is not null and each byte in the resulting BitSet's byte array representation matches the corresponding byte in the ByteBuffer 'bb' from index 0 up to the size of the byte array.</t>
  </si>
  <si>
    <t>assert \result != null &amp;&amp; (\forall int i; 0 &lt;= i &amp;&amp; i &lt; \result.toByteArray().length; \result.toByteArray()[i] == \old(bb.get(i)));</t>
  </si>
  <si>
    <t>assert \result != null &amp;&amp; \forall int i; 0 &lt;= i &amp;&amp; i &lt; \result.toByteArray().length; \result.toByteArray()[i] == (i &lt; bb.limit() ? bb.get(i) : 0);</t>
  </si>
  <si>
    <t>assert \result != null &amp;&amp; \forall int i; 0 &lt;= i &amp;&amp; i &lt; \result.toByteArray().length; \result.toByteArray()[i] == (i &lt; bb.remaining() ? bb.array()[bb.position() + i] : 0);</t>
  </si>
  <si>
    <t>assert \result != null &amp;&amp; \forall int i; 0 &lt;= i &amp;&amp; i &lt; \result.toByteArray().length; \result.toByteArray()[i] == bb.array()[bb.position() + i];</t>
  </si>
  <si>
    <t>xor(BitSet set)</t>
  </si>
  <si>
    <t>\forall int i; 0&lt;=i &amp;&amp; i&lt;this.length(); this.get(i)==(\old(this.get(i)) ^ set.get(i))</t>
  </si>
  <si>
    <t>For every valid index i within the length of this BitSet, the value at index i after the operation is the logical XOR of the original value at this index and the value at the corresponding index in the specified BitSet set.</t>
  </si>
  <si>
    <t>assert \forall int i; 0 &lt;= i &amp;&amp; i &lt; this.length(); this.get(i) == (\old(this.get(i)) ^ set.get(i));</t>
  </si>
  <si>
    <t>assert \forall int i; 0 &lt;= i &amp;&amp; i &lt; this.length(); this.get(i) == (\old(this.get(i)) != set.get(i));</t>
  </si>
  <si>
    <t>java.util.HashMap</t>
  </si>
  <si>
    <t>HashMap()</t>
  </si>
  <si>
    <t>The newly created HashMap is empty.</t>
  </si>
  <si>
    <t>The size of the HashMap is zero after initialization.</t>
  </si>
  <si>
    <t>HashMap(int initialCapacity, float loadFactor)</t>
  </si>
  <si>
    <t>initialCapacity&lt;0 || loadFactor&lt;=0 =&gt; throw IllegalArgumentException</t>
  </si>
  <si>
    <t>initialCapacity&gt;=0 &amp;&amp; loadFactor&gt;0</t>
  </si>
  <si>
    <t>If the initial capacity is non-negative and the load factor is positive, then the HashMap is empty.</t>
  </si>
  <si>
    <t>assert (initialCapacity &gt;= 0 &amp;&amp; loadFactor &gt; 0) =&gt; (this.isEmpty() &amp;&amp; this.size() == 0);</t>
  </si>
  <si>
    <t>If the initial capacity is non-negative and the load factor is positive, then the size of the map is zero.</t>
  </si>
  <si>
    <t>assert (\old(initialCapacity) &gt;= 0 &amp;&amp; \old(loadFactor) &gt; 0) =&gt; this.size() == 0;</t>
  </si>
  <si>
    <t>assert (\old(initialCapacity) &gt;= 0 &amp;&amp; loadFactor &gt; 0) =&gt; this.size() == 0;</t>
  </si>
  <si>
    <t>HashMap(Map&lt;? extends K, ? extends V&gt; m)</t>
  </si>
  <si>
    <t>m!=null =&gt; this.size()==m.size()</t>
  </si>
  <si>
    <t>m==null =&gt; throw NullPointerException</t>
  </si>
  <si>
    <t>m!=null</t>
  </si>
  <si>
    <t>If the map 'm' is not null, then the size of this HashMap equals the size of 'm'.</t>
  </si>
  <si>
    <t>assert (m != null) =&gt; this.size() == m.size();</t>
  </si>
  <si>
    <t>assert m != null =&gt; this.size() == m.size();</t>
  </si>
  <si>
    <t>get(Object key)</t>
  </si>
  <si>
    <t>!this.containsKey(key) =&gt; \result==null</t>
  </si>
  <si>
    <t>If the map does not contain the specified key, then the result is null.</t>
  </si>
  <si>
    <t>assert (!this.containsKey(key)) =&gt; \result == null;</t>
  </si>
  <si>
    <t>assert !this.containsKey(key) =&gt; \result == null;</t>
  </si>
  <si>
    <t>this.containsKey(key) =&gt; this.containsValue(\result)</t>
  </si>
  <si>
    <t>If the map contains the specified key, then it also contains the value returned by the get method.</t>
  </si>
  <si>
    <t>assert this.containsKey(key) =&gt; this.containsValue(\result);</t>
  </si>
  <si>
    <t>assert this.containsKey(key) =&gt; this.get(key) != null;</t>
  </si>
  <si>
    <t>assert this.containsKey(key) =&gt; this.get(key).equals(\result);</t>
  </si>
  <si>
    <t>containsKey(Object key)</t>
  </si>
  <si>
    <t>put(K key, V value)</t>
  </si>
  <si>
    <t>\result==null =&gt; !\old(this.containsKey(key)) || \old(this.get(key))==null</t>
  </si>
  <si>
    <t>If the return value is null, then either the key was not present in the map before this operation, or it was explicitly mapped to null.</t>
  </si>
  <si>
    <t>assert (\result == null) =&gt; (!\old(this.containsKey(key)) || \old(this.get(key)) == null);</t>
  </si>
  <si>
    <t>assert (\result == null) =&gt; (\old(this.get(key)) == null);</t>
  </si>
  <si>
    <t>assert \result == null =&gt; !\old(this.containsKey(key)) || \old(this.get(key)) == null;</t>
  </si>
  <si>
    <t>this.containsKey(key) &amp;&amp; this.containsValue(value)</t>
  </si>
  <si>
    <t>The map contains the specified key and the corresponding value after the operation.</t>
  </si>
  <si>
    <t>assert this.containsKey(key) &amp;&amp; (value == null ? this.get(key) == null : this.get(key).equals(value));</t>
  </si>
  <si>
    <t>assert this.containsKey(key) &amp;&amp; this.get(key).equals(value);</t>
  </si>
  <si>
    <t>\result!=null =&gt; \old(this.containsKey(key))</t>
  </si>
  <si>
    <t>If the result is not null, then the key was already present in the map before the operation.</t>
  </si>
  <si>
    <t>assert (\result != null) =&gt; \old(this.containsKey(key));</t>
  </si>
  <si>
    <t>assert \result != null =&gt; this.containsKey(key);</t>
  </si>
  <si>
    <t>\result!=null =&gt; \old(this.get(key)).equals(\result)</t>
  </si>
  <si>
    <t>If the result is not null, then the previous value associated with the key is equal to the result.</t>
  </si>
  <si>
    <t>assert (\result != null) =&gt; \result.equals(\old(this.get(key)));</t>
  </si>
  <si>
    <t>assert \result != null =&gt; \result.equals(\old(this.get(key)));</t>
  </si>
  <si>
    <t>putAll(Map&lt;? extends K, ? extends V&gt; m)</t>
  </si>
  <si>
    <t>If the input map is not null, then the size of this map after putAll is equal to the size of the input map.</t>
  </si>
  <si>
    <t>assert (m != null) =&gt; (this.size() == m.size());</t>
  </si>
  <si>
    <t>remove(Object key)</t>
  </si>
  <si>
    <t>If the return value is null, then either the key was not present in the map originally, or the original value associated with the key was null.</t>
  </si>
  <si>
    <t>If the result is not null, then the key was present in the map before the operation.</t>
  </si>
  <si>
    <t>!this.containsKey(key)</t>
  </si>
  <si>
    <t>the map does not contain the specified key after removal.</t>
  </si>
  <si>
    <t>assert !this.containsKey(key);</t>
  </si>
  <si>
    <t>\old(this.containsKey(key)) =&gt; !this.containsValue(\result)</t>
  </si>
  <si>
    <t>If the key was previously in the map, then the value returned by the remove operation is not present in the map afterwards.</t>
  </si>
  <si>
    <t>assert \old(this.containsKey(key)) =&gt; !this.containsValue(\result);</t>
  </si>
  <si>
    <t>assert (\old(this.containsKey(key)) =&gt; !this.containsValue(\result));</t>
  </si>
  <si>
    <t>assert (e != null) =&gt; !this.containsKey(key);</t>
  </si>
  <si>
    <t>The map is empty after this operation.</t>
  </si>
  <si>
    <t>The size of the map is zero after clearing it.</t>
  </si>
  <si>
    <t>containsValue(Object value)</t>
  </si>
  <si>
    <t>The result of the clone method is not the same instance as the original HashMap.</t>
  </si>
  <si>
    <t>((HashMap&lt;K,V&gt;) \result).size()==this.size()</t>
  </si>
  <si>
    <t>The size of the cloned HashMap is equal to the size of the original HashMap.</t>
  </si>
  <si>
    <t>assert ((HashMap) \result).size() == this.size();</t>
  </si>
  <si>
    <t>assert this.size() == ((HashMap) \result).size();</t>
  </si>
  <si>
    <t>keySet()</t>
  </si>
  <si>
    <t>values()</t>
  </si>
  <si>
    <t>entrySet()</t>
  </si>
  <si>
    <t>org.apache.commons.collections4.ArrayStack</t>
  </si>
  <si>
    <t>ArrayStack(int initialSize)</t>
  </si>
  <si>
    <t>initialSize&gt;=0 =&gt; this.empty()</t>
  </si>
  <si>
    <t>initialSize&lt;0 =&gt; throw IllegalArgumentException</t>
  </si>
  <si>
    <t>initialSize&gt;=0</t>
  </si>
  <si>
    <t>If the initial size is greater than or equal to 0, then the stack is empty.</t>
  </si>
  <si>
    <t>assert (initialSize &gt;= 0) =&gt; this.empty();</t>
  </si>
  <si>
    <t>assert initialSize &gt;= 0 =&gt; this.isEmpty();</t>
  </si>
  <si>
    <t>assert initialSize &gt;= 0 =&gt; this.empty();</t>
  </si>
  <si>
    <t>initialSize&gt;=0 =&gt; this.size()==0</t>
  </si>
  <si>
    <t>If the initial size is greater than or equal to 0, then the size of the stack is 0.</t>
  </si>
  <si>
    <t>assert (initialSize &gt;= 0) =&gt; this.size() == 0;</t>
  </si>
  <si>
    <t>assert initialSize &gt;= 0 =&gt; this.size() == 0;</t>
  </si>
  <si>
    <t>assert \old(this.size()) &gt; 0 =&gt; ((\result == null &amp;&amp; \old(this.get(\old(this.size()) - 1)) == null) || (\result == \old(this.get(\old(this.size()) - 1))));</t>
  </si>
  <si>
    <t>assert \old(this.size()) &gt; 0 =&gt; ( (\result == null &amp;&amp; \old(this.get(\old(this.size()) - 1)) == null) || (\result != null &amp;&amp; \result.equals(\old(this.get(\old(this.size()) - 1))) ) );</t>
  </si>
  <si>
    <t>assert !\old(this.empty()) =&gt; (\result == null &amp;&amp; this.get(size() - 1) == null) || \result.equals(\old(this.get(size() - 1)));</t>
  </si>
  <si>
    <t>assert !\old(this.empty()) =&gt; (\result == null &amp;&amp; this.get(size() - 1) == null) || \result.equals(\old(this.get(n - 1)));</t>
  </si>
  <si>
    <t>assert !\old(this.empty()) =&gt; \result == \old(this.get(\old(this.size()) - 1));</t>
  </si>
  <si>
    <t>If the pushed item is null, then the last item in the stack is also null; otherwise, the last item in the stack is equal to the pushed item.</t>
  </si>
  <si>
    <t>assert (item == null) =&gt; (this.get(this.size() - 1) == null) &amp;&amp; (item != null) =&gt; (this.get(this.size() - 1).equals(item));</t>
  </si>
  <si>
    <t>assert ((item == null) =&gt; this.get(this.size() - 1) == null) &amp;&amp; ((item != null) =&gt; this.get(this.size() - 1).equals(item));</t>
  </si>
  <si>
    <t>assert (item == null) =&gt; this.get(this.size() - 1) == null : (this.get(this.size() - 1).equals(item));</t>
  </si>
  <si>
    <t>assert (item == null) =&gt; this.get(this.size() - 1) == null &amp;&amp; (item != null) =&gt; this.get(this.size() - 1).equals(item);</t>
  </si>
  <si>
    <t>org.apache.commons.collections4.list.TreeList</t>
  </si>
  <si>
    <t>TreeList()</t>
  </si>
  <si>
    <t>the list is empty after construction</t>
  </si>
  <si>
    <t>TreeList(Collection coll)</t>
  </si>
  <si>
    <t>coll!=null =&gt; this.size()==coll.size()</t>
  </si>
  <si>
    <t>coll==null =&gt; throw NullPointerExpcetion</t>
  </si>
  <si>
    <t>coll!=null</t>
  </si>
  <si>
    <t>If the collection is not null, then the size of the TreeList equals the size of the collection.</t>
  </si>
  <si>
    <t>assert coll != null =&gt; this.size == coll.size();</t>
  </si>
  <si>
    <t>assert coll != null =&gt; this.size() == coll.size();</t>
  </si>
  <si>
    <t>coll!=null =&gt; \forall int i; 0&lt;=i&amp;&amp;i&lt;this.size(); this.get(i).equals(coll.toArray()[i])</t>
  </si>
  <si>
    <t>If the collection is not null, then for every valid index from 0 to the size of this list, the element at that index in this list is the same as the element at that index in the collection.</t>
  </si>
  <si>
    <t>assert coll != null =&gt; \forall int i; 0 &lt;= i &amp;&amp; i &lt; this.size(); this.get(i).equals(((java.util.List)coll).get(i));</t>
  </si>
  <si>
    <t>assert coll != null =&gt; \forall int i; 0 &lt;= i &amp;&amp; i &lt; this.size(); this.get(i).equals(((Object[])coll.toArray())[i]);</t>
  </si>
  <si>
    <t>assert \forall int i; 0 &lt;= i &amp;&amp; i &lt; this.size(); this.get(i).equals(coll.toArray()[i]);</t>
  </si>
  <si>
    <t xml:space="preserve">coll!=null =&gt; this.equals(coll) </t>
  </si>
  <si>
    <t>If the collection is not null, then this list is equal to the collection.</t>
  </si>
  <si>
    <t>assert coll != null =&gt; this.equals(coll);</t>
  </si>
  <si>
    <t>assert coll.size() == this.size() &amp;&amp; \forall int i; 0 &lt;= i &amp;&amp; i &lt; coll.size(); coll.contains(this.get(i));</t>
  </si>
  <si>
    <t>assert CollectionUtils.isEqualCollection(this, coll);</t>
  </si>
  <si>
    <t>add(int index, E obj)</t>
  </si>
  <si>
    <t>If the index is between 0 and the initial size of the list inclusive, then the list contains the added object.</t>
  </si>
  <si>
    <t>If the index is between 0 and the initial size of the list inclusive, then if the object is null, the element at that index is also null, or the element at that index equals the object.</t>
  </si>
  <si>
    <t>assert (0 &lt;= index &amp;&amp; index &lt;= \old(this.size())) =&gt; (obj == null ? this.get(index) == null : this.get(index).equals(obj));</t>
  </si>
  <si>
    <t>assert (0 &lt;= index &amp;&amp; index &lt;= \old(this.size())) =&gt; ((obj == null =&gt; this.get(index) == null) &amp;&amp; (obj != null =&gt; this.get(index).equals(obj)));</t>
  </si>
  <si>
    <t>assert (0 &lt;= index &amp;&amp; index &lt;= \old(size())) &amp;&amp; ((obj == null &amp;&amp; this.get(index) == null) || (obj != null &amp;&amp; this.get(index).equals(obj)));</t>
  </si>
  <si>
    <t>assert index &gt;= 0 &amp;&amp; index &lt;= \old(this.size()) =&gt; (obj == null ? this.get(index) == null : this.get(index).equals(obj));</t>
  </si>
  <si>
    <t>assert (index &gt;= 0 &amp;&amp; index &lt;= \old(this.size())) =&gt; (obj == null ? this.get(index) == null : this.get(index).equals(obj));</t>
  </si>
  <si>
    <t>If the index is between 0 and the initial size of the list inclusive, then for every index i from 0 to index-1, the element at i either remains unchanged or continues to be null if it was null before.</t>
  </si>
  <si>
    <t>assert (index &gt;= 0 &amp;&amp; index &lt;= \old(this.size())) =&gt; \forall int i; 0 &lt;= i &amp;&amp; i &lt; index; this.get(i).equals(\old(this.get(i))));</t>
  </si>
  <si>
    <t>assert (0 &lt;= index &amp;&amp; index &lt;= \old(this.size())) =&gt; \forall int i; 0 &lt;= i &amp;&amp; i &lt; index; (\old(this.get(i)) == null ? this.get(i) == null : this.get(i).equals(\old(this.get(i))));</t>
  </si>
  <si>
    <t>assert index &gt;= 0 &amp;&amp; index &lt;= \old(this.size()) =&gt; \forall int i; 0 &lt;= i &amp;&amp; i &lt; index; (this.get(i) == \old(this.get(i)) || (\old(this.get(i)) == null &amp;&amp; this.get(i) == null));</t>
  </si>
  <si>
    <t>If the index is between 0 and the initial size of the list inclusive, then for every valid index from this index to the old size of the list, the element at the next position is either null and the old element at this index is null, or the element at the next position equals the old element at this index.</t>
  </si>
  <si>
    <t>assert (index &gt;= 0 &amp;&amp; index &lt;= \old(this.size())) =&gt; \forall int i; i &gt;= index &amp;&amp; i &lt; \old(this.size()); (this.get(i + 1) == null ? \old(this.get(i)) == null : this.get(i + 1).equals(\old(this.get(i))));</t>
  </si>
  <si>
    <t>assert (0 &lt;= index &amp;&amp; index &lt;= \old(this.size())) =&gt; \forall int i; index &lt;= i &amp;&amp; i &lt; \old(this.size()); ( (this.get(i+1) == null &amp;&amp; \old(this.get(i)) == null) || (this.get(i+1) != null &amp;&amp; this.get(i+1).equals(\old(this.get(i)))) );</t>
  </si>
  <si>
    <t>assert \forall int i; index &lt;= i &amp;&amp; i &lt; \old(this.size()); (this.get(i+1) == null &amp;&amp; \old(this.get(i)) == null) || this.get(i+1).equals(\old(this.get(i)));</t>
  </si>
  <si>
    <t>The list is empty.</t>
  </si>
  <si>
    <t>listIterator(int fromIndex)</t>
  </si>
  <si>
    <t>If the index is greater than or equal to 0 and less than the initial size of the list, then the returned value is the same as the value at that index before the removal operation.</t>
  </si>
  <si>
    <t>If the index is valid (greater than or equal to 0 and less than the initial size of the list), then for every valid index less than the specified index, the element at that position remains unchanged or continues to be null if it was initially null.</t>
  </si>
  <si>
    <t>assert (index &gt;= 0 &amp;&amp; index &lt; \old(this.size())) =&gt; \forall int i; 0 &lt;= i &amp;&amp; i &lt; index; ( (\old(this.get(i)) == null) ? this.get(i) == null : this.get(i).equals(\old(this.get(i))) );</t>
  </si>
  <si>
    <t>If the index is valid (greater than or equal to 0 and less than the initial size of the list), then for every position i greater than the index and less than the old size of the list minus one, either both the current and the old value at position i+1 are null, or the current value at position i equals the old value at position i+1.</t>
  </si>
  <si>
    <t>assert (index &gt;= 0 &amp;&amp; index &lt; \old(this.size())) =&gt; \forall int i; i &gt; index &amp;&amp; i &lt; \old(this.size()) - 1; ( (this.get(i) == null &amp;&amp; \old(this.get(i + 1)) == null) || this.get(i).equals(\old(this.get(i + 1))) );</t>
  </si>
  <si>
    <t>assert (index &gt;= 0 &amp;&amp; index &lt; \old(this.size())) =&gt; \forall int i; i &gt; index &amp;&amp; i &lt; \old(this.size()) - 1; ( (this.get(i) == null &amp;&amp; \old(this.get(i + 1)) == null) || (this.get(i) != null &amp;&amp; this.get(i).equals(\old(this.get(i + 1)))) );</t>
  </si>
  <si>
    <t>assert (index &gt;= 0 &amp;&amp; index &lt; \old(this.size())) =&gt; \forall int i; index &lt; i &amp;&amp; i &lt; \old(this.size()) - 1; ( (this.get(i) == null &amp;&amp; \old(this.get(i+1)) == null) || this.get(i).equals(\old(this.get(i+1))) );</t>
  </si>
  <si>
    <t>assert index &gt;= 0 &amp;&amp; index &lt; \old(this.size()) =&gt; \forall int i; index &lt; i &amp;&amp; i &lt; \old(this.size()) - 1; (this.get(i) == null &amp;&amp; \old(this.get(i + 1)) == null) || this.get(i).equals(\old(this.get(i + 1)));</t>
  </si>
  <si>
    <t>assert index &gt;= 0 &amp;&amp; index &lt; \old(this.size()) =&gt; \forall int i; index &lt; i &amp;&amp; i &lt; \old(this.size()) - 1; (this.get(i) == null &amp;&amp; \old(this.get(i+1)) == null) || this.get(i).equals(\old(this.get(i+1)));</t>
  </si>
  <si>
    <t>set(int index, E obj)</t>
  </si>
  <si>
    <t>If the index is non-negative and less than the initial size of the list, then the returned value is the same as the value at that index before the set operation.</t>
  </si>
  <si>
    <t>assert (index &gt;= 0 &amp;&amp; index &lt; \old(this.size())) =&gt; \result.equals(\old(this.get(index))));</t>
  </si>
  <si>
    <t>If the index is valid (greater than or equal to 0 and less than the initial size of the list), then for every index from 0 up to, but not including, the specified index, the element at that position remains unchanged from its previous state, unless it was initially null.</t>
  </si>
  <si>
    <t>assert (0 &lt;= index &amp;&amp; index &lt; \old(this.size())) =&gt; \forall int i; 0 &lt;= i &amp;&amp; i &lt; index; (\old(this.get(i)) != null) =&gt; this.get(i).equals(\old(this.get(i)));</t>
  </si>
  <si>
    <t>assert (index &gt;= 0 &amp;&amp; index &lt; \old(this.size())) =&gt; \forall int i; 0 &lt;= i &amp;&amp; i &lt; index; (\old(this.get(i)) == null) || this.get(i).equals(\old(this.get(i)));</t>
  </si>
  <si>
    <t>assert \forall int i; 0 &lt;= i &amp;&amp; i &lt; index; (this.get(i) == \old(this.get(i)) || \old(this.get(i)) == null);</t>
  </si>
  <si>
    <t>assert 0 &lt;= index &amp;&amp; index &lt; \old(size()) =&gt; \forall int i; 0 &lt;= i &amp;&amp; i &lt; index; (\old(this.get(i)) == null || this.get(i).equals(\old(this.get(i))));</t>
  </si>
  <si>
    <t>assert index &gt;= 0 &amp;&amp; index &lt; \old(this.size()) =&gt; \forall int i; 0 &lt;= i &amp;&amp; i &lt; index; (this.get(i) != null || \old(this.get(i)) == null) &amp;&amp; (this.get(i) == \old(this.get(i)));</t>
  </si>
  <si>
    <t>If the index is valid (non-negative and less than the initial size of the list), then for every index greater than the specified index and less than the size of the list, the element at that index remains unchanged unless it was initially null.</t>
  </si>
  <si>
    <t>assert (index &gt;= 0 &amp;&amp; index &lt; \old(this.size())) =&gt; \forall int i; index &lt; i &amp;&amp; i &lt; \old(this.size()); (\old(this.get(i)) != null =&gt; this.get(i).equals(\old(this.get(i))));</t>
  </si>
  <si>
    <t>assert (0 &lt;= index &amp;&amp; index &lt; \old(this.size())) =&gt; \forall int i; index &lt; i &amp;&amp; i &lt; this.size(); (\old(this.get(i)) != null =&gt; this.get(i).equals(\old(this.get(i))));</t>
  </si>
  <si>
    <t>assert (index &gt;= 0 &amp;&amp; index &lt; \old(this.size())) =&gt; \forall int i; index &lt; i &amp;&amp; i &lt; this.size(); (\old(this.get(i)) != null) =&gt; this.get(i).equals(\old(this.get(i))));</t>
  </si>
  <si>
    <t>assert index &gt;= 0 &amp;&amp; index &lt; \old(this.size()) =&gt; \forall int i; index &lt; i &amp;&amp; i &lt; this.size(); (this.get(i) == \old(this.get(i)) || \old(this.get(i)) == null);</t>
  </si>
  <si>
    <t>assert \forall int i; index&lt;i &amp;&amp; i&lt;size(); (this.get(i) != null) =&gt; this.get(i).equals(\old(this.get(i))));</t>
  </si>
  <si>
    <t>assert index &gt;= 0 &amp;&amp; index &lt; \old(this.size()) =&gt; \forall int i; index &lt; i &amp;&amp; i &lt; \old(this.size()); this.get(i).equals(\old(this.get(i))) || \old(this.get(i)) == null;</t>
  </si>
  <si>
    <t>The result array is never null.</t>
  </si>
  <si>
    <t>assert array.length == this.size();</t>
  </si>
  <si>
    <t>For every valid index i (from 0 up to the size of the list), if the element at index i in the list is null, then the corresponding element in the resulting array is also null; otherwise, the element in the resulting array is equal to the element in the list at index i.</t>
  </si>
  <si>
    <t>assert \forall int i; 0 &lt;= i &amp;&amp; i &lt; this.size(); (this.get(i) == null ? \result[i] == null : \result[i].equals(this.get(i)) );</t>
  </si>
  <si>
    <t>assert \forall int i; 0 &lt;= i &amp;&amp; i &lt; this.size(); ((this.get(i) == null) =&gt; (\result[i] == null)) &amp;&amp; ((this.get(i) != null) =&gt; (\result[i].equals(this.get(i))));</t>
  </si>
  <si>
    <t>assert \forall int i; 0 &lt;= i &amp;&amp; i &lt; this.size(); ( (this.get(i) == null =&gt; \result[i] == null) &amp;&amp; (this.get(i) != null =&gt; \result[i].equals(this.get(i))) );</t>
  </si>
  <si>
    <t>assert \forall int i; 0 &lt;= i &amp;&amp; i &lt; this.size(); (this.get(i) == null) == (array[i] == null) &amp;&amp; (this.get(i) != null) =&gt; this.get(i).equals(array[i]);</t>
  </si>
  <si>
    <t>org.apache.commons.collections4.queue.CircularFifoQueue</t>
  </si>
  <si>
    <t>CircularFifoQueue()</t>
  </si>
  <si>
    <t>the queue is empty after creation</t>
  </si>
  <si>
    <t>The size of the queue is 0 after initialization with the default size.</t>
  </si>
  <si>
    <t>CircularFifoQueue(Collection coll)</t>
  </si>
  <si>
    <t>If the collection is not null, then the size of the queue equals the size of the collection.</t>
  </si>
  <si>
    <t>coll!=null =&gt; \forall int i; 0&lt;=i&amp;&amp;i&lt;this.size(); Objects.equals(this.get(i), coll.toArray()[i])</t>
  </si>
  <si>
    <t>assert coll != null =&gt; \forall int i; 0 &lt;= i &amp;&amp; i &lt; this.size(); ((E[]) this.toArray())[i].equals(((Object[]) coll.toArray())[i]);</t>
  </si>
  <si>
    <t>assert coll != null =&gt; \forall int i; 0 &lt;= i &amp;&amp; i &lt; this.size(); this.toArray()[i].equals(coll.toArray()[i]);</t>
  </si>
  <si>
    <t>assert coll != null =&gt; \forall int i; 0 &lt;= i &amp;&amp; i &lt; this.size(); ((Object[])this.toArray())[i].equals(((Object[])coll.toArray())[i]);</t>
  </si>
  <si>
    <t>assert coll != null &amp;&amp; Arrays.equals(this.toArray(), coll.toArray());</t>
  </si>
  <si>
    <t>assert coll != null &amp;&amp; \forall int i; 0 &lt;= i &amp;&amp; i &lt; this.size(); Objects.equals(elements[(start + i) % maxElements], coll.toArray()[i]);</t>
  </si>
  <si>
    <t>assert coll != null &amp;&amp; \forall int i; 0 &lt;= i &amp;&amp; i &lt; this.size(); this.toArray()[i].equals(coll.toArray()[i]);</t>
  </si>
  <si>
    <t>If the collection is not null, then this queue is equal to the collection.</t>
  </si>
  <si>
    <t>assert coll != null =&gt; (this.size() == coll.size() &amp;&amp; \forall Object o; coll.contains(o); this.contains(o) &amp;&amp; \forall Object o; this.contains(o); coll.contains(o));</t>
  </si>
  <si>
    <t>assert coll != null =&gt; this.containsAll(coll) &amp;&amp; this.size() == coll.size();</t>
  </si>
  <si>
    <t>assert Objects.nonNull(coll) =&gt; this.containsAll(coll) &amp;&amp; coll.containsAll(this) &amp;&amp; this.size() == coll.size();</t>
  </si>
  <si>
    <t>CircularFifoQueue(int size)</t>
  </si>
  <si>
    <t>size&gt;=1 =&gt; this.isEmpty()</t>
  </si>
  <si>
    <t>size&lt;1 =&gt; throw IllegalArgumentException</t>
  </si>
  <si>
    <t>size&gt;=1</t>
  </si>
  <si>
    <t>If the size is greater than or equal to 1, then the queue is empty initially.</t>
  </si>
  <si>
    <t>assert size &gt;= 1 =&gt; this.isEmpty();</t>
  </si>
  <si>
    <t>assert size &gt;= 1 =&gt; this.isEmpty() &amp;&amp; this.size() == 0;</t>
  </si>
  <si>
    <t>size&gt;=1 =&gt; this.size()==0</t>
  </si>
  <si>
    <t>If the size is greater than or equal to 1, then the queue size is initially 0.</t>
  </si>
  <si>
    <t>assert size &gt;= 1 =&gt; this.size() == 0;</t>
  </si>
  <si>
    <t>add(E element)</t>
  </si>
  <si>
    <t>element!=null =&gt; this.contains(element)</t>
  </si>
  <si>
    <t>element==null =&gt; throw NullPointerExpcetion</t>
  </si>
  <si>
    <t>element!=null</t>
  </si>
  <si>
    <t>If the element is not null, then the queue contains the element.</t>
  </si>
  <si>
    <t>assert element != null =&gt; this.contains(element);</t>
  </si>
  <si>
    <t>assert this.contains(element);</t>
  </si>
  <si>
    <t>element!=null =&gt; \result==true</t>
  </si>
  <si>
    <t>assert element != null =&gt; \result == true;</t>
  </si>
  <si>
    <t>assert element != null =&gt; \result;</t>
  </si>
  <si>
    <t>element!=null =&gt; element.equals(this.get(this.size()-1))</t>
  </si>
  <si>
    <t>If the element is not null, then it is equal to the last element in the queue.</t>
  </si>
  <si>
    <t>assert (element != null) =&gt; elements[(end - 1 + maxElements) % maxElements].equals(element);</t>
  </si>
  <si>
    <t>assert (element != null) =&gt; this.contains(element);</t>
  </si>
  <si>
    <t>assert element != null &amp;&amp; element.equals(this.peek());</t>
  </si>
  <si>
    <t>The queue is empty after it is cleared.</t>
  </si>
  <si>
    <t>The size of the queue is zero after clearing it.</t>
  </si>
  <si>
    <t>offer(E element)</t>
  </si>
  <si>
    <t>If the element is not null, then the queue contains the element after the operation.</t>
  </si>
  <si>
    <t>If the element is not null, then the result is always true.</t>
  </si>
  <si>
    <t>assert (element != null) =&gt; \result == true;</t>
  </si>
  <si>
    <t>assert (element != null) =&gt; \result;</t>
  </si>
  <si>
    <t>If the element is not null, then it is equal to the last element in the queue after the operation.</t>
  </si>
  <si>
    <t>assert (element != null) =&gt; this.toArray()[this.size() - 1].equals(element);</t>
  </si>
  <si>
    <t>assert element != null =&gt; ((Object[])this.toArray())[this.size() - 1].equals(element);</t>
  </si>
  <si>
    <t>assert element != null =&gt; element.equals(this.peek());</t>
  </si>
  <si>
    <t>org.apache.commons.collections4.set.ListOrderedSet</t>
  </si>
  <si>
    <t>ListOrderedSet()</t>
  </si>
  <si>
    <t>The newly created ListOrderedSet is empty.</t>
  </si>
  <si>
    <t>The size of the ordered set is zero when it is newly created.</t>
  </si>
  <si>
    <t>add(int index, E object)</t>
  </si>
  <si>
    <t>index&gt;=0 &amp;&amp; index&lt;=\old(this.size()) =&gt; this.contains(object)</t>
  </si>
  <si>
    <t>If the index is between 0 and the initial size of the set inclusive, then the set contains the object.</t>
  </si>
  <si>
    <t>assert (0 &lt;= this.indexOf(object) &amp;&amp; this.indexOf(object) &lt;= \old(this.size())) =&gt; this.contains(object);</t>
  </si>
  <si>
    <t>assert this.contains(object);</t>
  </si>
  <si>
    <t>assert 0 &lt;= this.indexOf(object) &amp;&amp; this.indexOf(object) &lt;= \old(this.size()) =&gt; this.contains(object);</t>
  </si>
  <si>
    <t>index&gt;=0 &amp;&amp; index&lt;=\old(this.size()) &amp;&amp; !\old(this.contains(object)) =&gt; object==null&amp;&amp;this.get(index)==null||this.get(index).equals(object)</t>
  </si>
  <si>
    <t>assert (\old(this.size()) &gt;= 0) =&gt; (object == null ? this.get(\old(this.size())) == null : this.get(\old(this.size())).equals(object));</t>
  </si>
  <si>
    <t>assert (object == null ? this.get(\old(this.size())) == null : this.get(\old(this.size())).equals(object));</t>
  </si>
  <si>
    <t>assert (\old(this.size()) &gt;= 0 &amp;&amp; \old(this.size()) &lt;= \old(this.size())) &amp;&amp; (object == null =&gt; this.get(\old(this.size())) == null) &amp;&amp; (object != null =&gt; this.get(\old(this.size())).equals(object));</t>
  </si>
  <si>
    <t>assert \forall int index; 0 &lt;= index &amp;&amp; index &lt;= \old(this.size()); (object == null =&gt; this.get(index) == null) || (object != null &amp;&amp; this.get(index).equals(object));</t>
  </si>
  <si>
    <t>assert (index &gt;= 0 &amp;&amp; index &lt; \old(this.size())) =&gt; (object == null ? this.get(index) == null : this.get(index).equals(object));</t>
  </si>
  <si>
    <t>assert (object == null &amp;&amp; this.get(\old(this.size())) == null) || (object != null &amp;&amp; this.get(\old(this.size())).equals(object));</t>
  </si>
  <si>
    <t>If the index is valid (between 0 and the initial size of the set inclusive), then for every valid index up to the specified index, each element at that index either remains null if it was initially null, or remains unchanged compared to its initial state.</t>
  </si>
  <si>
    <t>assert \forall int i; 0 &lt;= i &amp;&amp; i &lt;= \old(this.size()); this.get(i) == \old(this.get(i));</t>
  </si>
  <si>
    <t>assert \forall int i; 0 &lt;= i &amp;&amp; i &lt;= \old(this.size()); (\old(this.get(i)) == null ? this.get(i) == null : this.get(i).equals(\old(this.get(i))));</t>
  </si>
  <si>
    <t>assert \forall int i; 0 &lt;= i &amp;&amp; i &lt; \old(this.size()); (\old(this.get(i)) == null ? this.get(i) == null : this.get(i).equals(\old(this.get(i))));</t>
  </si>
  <si>
    <t>assert \forall int i; 0&lt;=i &amp;&amp; i&lt;=\old(this.size()); (i &lt; \old(this.size()) &amp;&amp; \old(this.get(i)) == null) =&gt; this.get(i) == null &amp;&amp; (i &lt; \old(this.size()) &amp;&amp; \old(this.get(i)) != null) =&gt; this.get(i).equals(\old(this.get(i)));</t>
  </si>
  <si>
    <t>assert \forall int i; 0 &lt;= i &amp;&amp; i &lt; \old(this.size()); (this.get(i) == null &amp;&amp; \old(this.get(i)) == null) || this.get(i).equals(\old(this.get(i)));</t>
  </si>
  <si>
    <t>assert \forall int i; 0&lt;=i &amp;&amp; i&lt;=\old(this.size()); (i &lt; \old(this.size()) &amp;&amp; \old(this.get(i)) != null) =&gt; this.get(i).equals(\old(this.get(i))));</t>
  </si>
  <si>
    <t>index&gt;=0 &amp;&amp; index&lt;=\old(this.size()) &amp;&amp; !\old(this.contains(object)) =&gt; \forall int i; index &lt;= i&amp;&amp;i &lt;\old(this.size()); this.get(i+1) == null&amp;&amp;\old(this.get(i)) == null||this.get(i+1).equals(\old(this.get(i)))</t>
  </si>
  <si>
    <t>assert \forall int i; 0 &lt;= i &amp;&amp; i &lt; \old(this.size()); (this.get(i+1) == null &amp;&amp; \old(this.get(i)) == null) || this.get(i+1).equals(\old(this.get(i)));</t>
  </si>
  <si>
    <t>assert \forall int i; 0&lt;=i &amp;&amp; i&lt;\old(this.size()); (this.get(i+1) == null &amp;&amp; \old(this.get(i)) == null) || (this.get(i+1).equals(\old(this.get(i))));</t>
  </si>
  <si>
    <t>assert \forall int i; 0 &lt;= i &amp;&amp; i &lt; \old(this.size()); (this.get(i+1) == null &amp;&amp; \old(this.get(i)) == null) || (this.get(i+1) != null &amp;&amp; this.get(i+1).equals(\old(this.get(i))));</t>
  </si>
  <si>
    <t>assert \forall int i; 0&lt;=i &amp;&amp; i&lt;\old(this.size()); this.get(i).equals(\old(this.get(i)));</t>
  </si>
  <si>
    <t>indexOf(Object object)</t>
  </si>
  <si>
    <t>listOrderedSet(List list)</t>
  </si>
  <si>
    <t>listOrderedSet(Set set)</t>
  </si>
  <si>
    <t>listOrderedSet(Set set, List list)</t>
  </si>
  <si>
    <t>If the index is valid (greater than or equal to 0 and less than the initial size of the set), then the result is the element that was at that index before the operation.</t>
  </si>
  <si>
    <t>If the index is valid (greater than or equal to 0 and less than the initial size of the set), then for every valid index less than the specified index, the element at that position remains unchanged or continues to be null after the removal.</t>
  </si>
  <si>
    <t>If the index is valid (greater than or equal to 0 and less than the initial size of the set), then for every position i greater than the index and less than the old size minus one, either both the current and the next old elements are null, or the current element equals the next old element.</t>
  </si>
  <si>
    <t>assert (index &gt;= 0 &amp;&amp; index &lt; \old(this.size())) =&gt; \forall int i; i &gt; index &amp;&amp; i &lt; \old(this.size()) - 1; ( (this.get(i) == null &amp;&amp; \old(this.get(i+1)) == null) || (this.get(i) != null &amp;&amp; this.get(i).equals(\old(this.get(i+1)))) );</t>
  </si>
  <si>
    <t>assert index &gt;= 0 &amp;&amp; index &lt; \old(this.size()) =&gt; \forall int i; index &lt; i &amp;&amp; i &lt; \old(this.size())-1; (this.get(i).equals(\old(this.get(i+1))) || (\old(this.get(i)) == null &amp;&amp; \old(this.get(i+1)) == null));</t>
  </si>
  <si>
    <t>org.graphstream.algorithm.FixedArrayList</t>
  </si>
  <si>
    <t>If the element is not null, then the array contains the added element after the operation</t>
  </si>
  <si>
    <t>If the element is not null, then the method returns true.</t>
  </si>
  <si>
    <t>assert (element == null) =&gt; (this.get(this.getLastIndex()) == null) &amp;&amp; (element != null) =&gt; (this.get(this.getLastIndex()).equals(element));</t>
  </si>
  <si>
    <t>assert (element == null =&gt; this.unsafeGet(this.getLastIndex()) == null) &amp;&amp; (element != null =&gt; this.unsafeGet(this.getLastIndex()).equals(element));</t>
  </si>
  <si>
    <t>assert (element == null) =&gt; (this.unsafeGet(this.getLastIndex()) == null) &amp;&amp; (element != null) =&gt; (this.unsafeGet(this.getLastIndex()).equals(element));</t>
  </si>
  <si>
    <t>assert (element == null) =&gt; this.unsafeGet(this.getLastIndex()) == null : (element != null) =&gt; this.unsafeGet(this.getLastIndex()).equals(element);</t>
  </si>
  <si>
    <t>remove(int i)</t>
  </si>
  <si>
    <t>i&gt;=0 &amp;&amp; i&lt;\old(this.size()) =&gt; \result==\old(this.get(i))</t>
  </si>
  <si>
    <t>If the index is non-negative and less than the initial size of the array, then the result is equal to the element at that index before the method was executed.</t>
  </si>
  <si>
    <t>assert (i &gt;= 0 &amp;&amp; i &lt; \old(this.realSize())) =&gt; \result.equals(\old(this.unsafeGet(i)));</t>
  </si>
  <si>
    <t>assert i &gt;= 0 &amp;&amp; i &lt; \old(elements.size()) =&gt; \result.equals(\old(this.unsafeGet(i)));</t>
  </si>
  <si>
    <t>assert i &gt;= 0 &amp;&amp; i &lt; \old(this.elements.size()) =&gt; \result.equals(\old(this.unsafeGet(i)));</t>
  </si>
  <si>
    <t>i&gt;=0 &amp;&amp; i&lt;\old(this.size()) =&gt; \forall int j; 0&lt;=j &amp;&amp; j&lt;i; this.get(j)==null &amp;&amp; \old(this.get(j))==null || this.get(j).equals(\old(this.get(j)))</t>
  </si>
  <si>
    <t>If the index i is within valid bounds, then for each index j less than i, the element at j either remains null if it was null before, or remains unchanged.</t>
  </si>
  <si>
    <t>assert (i &gt;= 0 &amp;&amp; i &lt; \old(this.realSize())) =&gt; \forall int j; 0 &lt;= j &amp;&amp; j &lt; i; ((\old(this.unsafeGet(j)) == null) =&gt; this.unsafeGet(j) == null) &amp;&amp; ((\old(this.unsafeGet(j)) != null) =&gt; this.unsafeGet(j).equals(\old(this.unsafeGet(j))));</t>
  </si>
  <si>
    <t>assert i &gt;= 0 &amp;&amp; i &lt; n =&gt; \forall int j; 0 &lt;= j &amp;&amp; j &lt; i; (this.unsafeGet(j) == null &amp;&amp; \old(this.unsafeGet(j)) == null) || this.unsafeGet(j).equals(\old(this.unsafeGet(j)));</t>
  </si>
  <si>
    <t>i&gt;=0 &amp;&amp; i&lt;\old(this.size()) =&gt; \forall int j; i&lt;j &amp;&amp; j&lt;\old(this.size()-1); this.get(j)==null &amp;&amp; \old(this.get(j+1))==null || this.get(j).equals(\old(this.get(j+1)))</t>
  </si>
  <si>
    <t>If the index is valid (between 0 and the initial size of the array), then for every index greater than the specified index and less than the previous size minus one, the element at that index should either be null and the next element should also be null, or it should be equal to the next element.</t>
  </si>
  <si>
    <t>assert (0 &lt;= i &amp;&amp; i &lt; \old(this.realSize())) =&gt; (\forall int j; i &lt; j &amp;&amp; j &lt; \old(this.realSize())-1; ( (this.unsafeGet(j) == null &amp;&amp; this.unsafeGet(j+1) == null) || (this.unsafeGet(j) != null &amp;&amp; this.unsafeGet(j).equals(this.unsafeGet(j+1))) ));</t>
  </si>
  <si>
    <t>assert (i &gt;= 0 &amp;&amp; i &lt; \old(this.realSize())) =&gt; \forall int j; i &lt; j &amp;&amp; j &lt; \old(this.realSize()) - 1; ( (this.unsafeGet(j) == null &amp;&amp; this.unsafeGet(j+1) == null) || (this.unsafeGet(j) != null &amp;&amp; this.unsafeGet(j).equals(this.unsafeGet(j+1))) );</t>
  </si>
  <si>
    <t>assert i &gt;= 0 &amp;&amp; i &lt; \old(elements.size()) =&gt; \forall int j; i &lt; j &amp;&amp; j &lt; \old(elements.size())-1; (this.unsafeGet(j) == null &amp;&amp; this.unsafeGet(j+1) == null) || this.unsafeGet(j).equals(this.unsafeGet(j+1));</t>
  </si>
  <si>
    <t>assert i&gt;=0 &amp;&amp; i&lt;\old(this.realSize()) =&gt; \forall int j; i&lt;j &amp;&amp; j&lt;\old(this.realSize())-1; (this.unsafeGet(j) == null &amp;&amp; this.unsafeGet(j+1) == null) || this.unsafeGet(j).equals(this.unsafeGet(j+1));</t>
  </si>
  <si>
    <t>assert i&gt;=0 &amp;&amp; i&lt;\old(elements.size()) =&gt; \forall int j; i&lt;j &amp;&amp; j&lt;\old(elements.size())-1; (this.unsafeGet(j) == null &amp;&amp; this.unsafeGet(j+1) == null) || this.unsafeGet(j).equals(this.unsafeGet(j+1));</t>
  </si>
  <si>
    <t>org.graphstream.graph.Path</t>
  </si>
  <si>
    <t>Path()</t>
  </si>
  <si>
    <t>the path is empty immediately after it is created</t>
  </si>
  <si>
    <t>The size of the path is zero when a new path is created.</t>
  </si>
  <si>
    <t>add(Edge edge)</t>
  </si>
  <si>
    <t>this.contains(edge)</t>
  </si>
  <si>
    <t>The path contains the added edge after the operation.</t>
  </si>
  <si>
    <t>assert this.contains(edge);</t>
  </si>
  <si>
    <t>edge==null &amp;&amp; this.getEdgePath().get(this.size()-1)==null || edge!=null &amp;&amp; edge.equals(this.getEdgePath().get(this.size()-1))</t>
  </si>
  <si>
    <t>If the edge is null, then the last element in the path is null; if the edge is not null, then the last element in the path is the added edge.</t>
  </si>
  <si>
    <t>assert (edge == null =&gt; this.peekEdge() == null) &amp;&amp; (edge != null =&gt; this.peekEdge() == edge);</t>
  </si>
  <si>
    <t>assert ((edge == null) =&gt; this.peekEdge() == null) &amp;&amp; ((edge != null) =&gt; this.peekEdge() == edge);</t>
  </si>
  <si>
    <t>assert (edge == null) =&gt; (this.peekEdge() == null) &amp;&amp; (edge != null) =&gt; (this.peekEdge() == edge);</t>
  </si>
  <si>
    <t>assert (edge == null) =&gt; (this.peekEdge() == null) &amp;&amp; (edge != null) =&gt; (this.peekEdge().equals(edge));</t>
  </si>
  <si>
    <t>The path is empty after clearing it.</t>
  </si>
  <si>
    <t>The size of the path is zero after clearing it.</t>
  </si>
  <si>
    <t>getACopy()</t>
  </si>
  <si>
    <t>getEachEdge()</t>
  </si>
  <si>
    <t>getEachNode()</t>
  </si>
  <si>
    <t>getEdgeIterator()</t>
  </si>
  <si>
    <t>getEdgePath()</t>
  </si>
  <si>
    <t>getEdgeSet()</t>
  </si>
  <si>
    <t>getNodeIterator()</t>
  </si>
  <si>
    <t>getNodePath()</t>
  </si>
  <si>
    <t>getNodeSet()</t>
  </si>
  <si>
    <t>org.jgrapht.graph.DefaultListenableGraph</t>
  </si>
  <si>
    <t>addEdge(V sourceVertex, V targetVertex, E e)</t>
  </si>
  <si>
    <t>this.containsVertex(sourceVertex)</t>
  </si>
  <si>
    <t>The graph contains the source vertex after attempting to add an edge.</t>
  </si>
  <si>
    <t>assert this.containsVertex(sourceVertex);</t>
  </si>
  <si>
    <t>this.containsVertex(targetVertex)</t>
  </si>
  <si>
    <t>The graph contains the target vertex after attempting to add an edge.</t>
  </si>
  <si>
    <t>assert this.containsVertex(targetVertex);</t>
  </si>
  <si>
    <t>this.containsEdge(e)</t>
  </si>
  <si>
    <t>The graph contains the edge returned by the method.</t>
  </si>
  <si>
    <t>assert \result =&gt; this.containsEdge(e);</t>
  </si>
  <si>
    <t>assert this.containsEdge(e) == added;</t>
  </si>
  <si>
    <t>assert this.containsEdge(e);</t>
  </si>
  <si>
    <t>addVertex(V v)</t>
  </si>
  <si>
    <t>this.containsVertex(v)</t>
  </si>
  <si>
    <t>the graph contains the added vertex after the operation</t>
  </si>
  <si>
    <t>assert this.containsVertex(v);</t>
  </si>
  <si>
    <t>COUNTS</t>
  </si>
  <si>
    <t>c!=null =&gt; \forall int i; 0&lt;=i&amp;&amp;i&lt;this.size(); this.get(i)==c.get(i)</t>
  </si>
  <si>
    <t>\result!=-1 &amp;&amp; this.get(\result)==null ==&gt; o==null</t>
  </si>
  <si>
    <t>If the result is not -1 and the element at the resulting index is null, then the searched object must be null.</t>
  </si>
  <si>
    <t>\result!=-1 &amp;&amp; this.get(\result)!=null ==&gt; this.get(\result).equals(o)</t>
  </si>
  <si>
    <t>If the result is not -1 and the element at the result index is not null, then the element at the result index must be equal to the specified element.</t>
  </si>
  <si>
    <t>\result!=-1 =&gt; \forall int i; 0&lt;=i &amp;&amp; i&lt;\result; this.get(i)==null &amp;&amp; o!=null || this.get(i)!=null &amp;&amp; !this.get(i).equals(o)</t>
  </si>
  <si>
    <t>If the result is not -1, then for every index from 0 to result-1, the element at that index is either null and the searched object is not null, or the element is not null and does not equal the searched object.</t>
  </si>
  <si>
    <t>\result==(this.size()==0)</t>
  </si>
  <si>
    <t>The result is true if and only if the size of the list is zero.</t>
  </si>
  <si>
    <t>If the result is not -1 and the element at the result index is not null, then the element at the result index must be equal to the specified element 'o'.</t>
  </si>
  <si>
    <t>\result!=-1 =&gt; \forall int i; \result&lt;i &amp;&amp; i&lt;this.size(); this.get(i)==null &amp;&amp; o!=null || this.get(i)!=null &amp;&amp; !this.get(i).equals(o)</t>
  </si>
  <si>
    <t>If the result is not -1, then for every index greater than the result and less than the size of the list, the element at that index is either null and the searched object is not null, or the element is not null and does not equal the searched object.</t>
  </si>
  <si>
    <t>The number of elements in the list is always greater than or equal to 0.</t>
  </si>
  <si>
    <t>a!=null =&gt; \result!=null</t>
  </si>
  <si>
    <t>If the array 'a' is not null, then the result is also not null.</t>
  </si>
  <si>
    <t>The result is true if and only if the size of the deque is zero.</t>
  </si>
  <si>
    <t>this.isEmpty() =&gt; \result==null</t>
  </si>
  <si>
    <t>If the deque is empty, then the result is null.</t>
  </si>
  <si>
    <t>The number of elements in the deque is always greater than or equal to zero.</t>
  </si>
  <si>
    <t>If the input array 'a' is not null, then the result array will also not be null.</t>
  </si>
  <si>
    <t>index&gt;=0 &amp;&amp; index&lt;\old(this.size()) =&gt; \result==this.get(index)</t>
  </si>
  <si>
    <t>If the index is greater than or equal to 0 and less than the initial size of the vector, then the result is equal to the element at that index.</t>
  </si>
  <si>
    <t>\old(this.size())!=0 =&gt; \result==this.get(0)</t>
  </si>
  <si>
    <t>this.size()==0 =&gt; throw NoSuchElementException</t>
  </si>
  <si>
    <t>this.size()!=0</t>
  </si>
  <si>
    <t>If the initial vector is not empty, then the result is the first element of the vector.</t>
  </si>
  <si>
    <t>If the method returns an index that is not -1 and the element at that index is null, then the searched object must also be null.</t>
  </si>
  <si>
    <t>If the method returns an index that is not -1 and the element at that position is not null, then the element at that position must be equal to the specified element.</t>
  </si>
  <si>
    <t>If the result is not -1, then for every index from 0 up to but not including the result, either the element at that index is null and the object being searched is not null, or the element at that index is not null and does not equal the object being searched.</t>
  </si>
  <si>
    <t>index&lt;0 =&gt; throw IndexOutOfBoundsException</t>
  </si>
  <si>
    <t>index&gt;=0</t>
  </si>
  <si>
    <t>If the result is not -1 and the element at the resulting index is not null, then the element at that index is equal to the specified object.</t>
  </si>
  <si>
    <t>The result is true if and only if the size of the vector is zero.</t>
  </si>
  <si>
    <t>\old(this.size())!=0 =&gt; \result==this.get(this.size()-1)</t>
  </si>
  <si>
    <t>If the vector is initially not empty, then the result is the same as the last element of the vector.</t>
  </si>
  <si>
    <t>If the last index of the element is not -1 and the element at that index is not null, then the element at that index is equal to the specified element.</t>
  </si>
  <si>
    <t>If the result is not -1, then for every index greater than the result and less than the size of the vector, the element at that index is either null and the searched object is not null, or the element is not null and does not equal the searched object.</t>
  </si>
  <si>
    <t>If the result is not -1 and the element at the resulting index is null, then the searched object must also be null.</t>
  </si>
  <si>
    <t>If the result is not -1 and the element at the result index is not null, then the element at the result index must be equal to the specified object 'o'.</t>
  </si>
  <si>
    <t>If the index is non-negative and less than the initial size of the vector, then the result is equal to the element at that index before the removal.</t>
  </si>
  <si>
    <t>The result, which represents the number of components in the vector, is always greater than or equal to 0.</t>
  </si>
  <si>
    <t>if the provided array is not null, then the result is not null</t>
  </si>
  <si>
    <t>If the collection 'c' is not null, then for every valid index 'i' in this list, the element at index 'i' in this list is equal to the element at index 'i' in the collection 'c'.</t>
  </si>
  <si>
    <t>\forall int i; 0&lt;=i &amp;&amp; i&lt;this.size(); ((LinkedList&lt;E&gt;) result).get(i)==this.get(i)</t>
  </si>
  <si>
    <t>!\old(this.isEmpty()) =&gt; \result==null &amp;&amp; this.get(0)==null|| \result.equals(this.get(0))</t>
  </si>
  <si>
    <t>If the list is initially not empty, then the result is either null and the first element is null, or the result equals the first element of the list.</t>
  </si>
  <si>
    <t>If the list is initially not empty, then the result is either null and the first element of the list is also null, or the result equals the first element of the list.</t>
  </si>
  <si>
    <t>!\old(this.isEmpty()) =&gt; \result==null || \result.equals(this.get(this.size()-1))</t>
  </si>
  <si>
    <t>If the list is initially not empty, then the result is either null or equals the last element of the list.</t>
  </si>
  <si>
    <t>If the index of the first occurrence of the specified element is not -1 and the element at that index is null, then the specified element is null.</t>
  </si>
  <si>
    <t>If the result is not -1 and the element at the resulting index is not null, then the element at that index is equal to the specified element.</t>
  </si>
  <si>
    <t>If the result is not -1, then for every index i from 0 to the result minus one, either the element at index i is null and o is not null, or the element at index i is not null and does not equal o.</t>
  </si>
  <si>
    <t>If the method returns a non-negative index and the element at that index is null, then the searched object must also be null.</t>
  </si>
  <si>
    <t>If the method returns a non-negative index and the element at that index is not null, then the element at that index is equal to the specified element 'o'.</t>
  </si>
  <si>
    <t>If the result is not -1, then for every index greater than the result and less than the size of the list, if the searched object is not null, the element at that index is null, or if the searched object is not null, the element at that index is not equal to the searched object.</t>
  </si>
  <si>
    <t>If the list is initially not empty, then the result is either null and the first element is null, or the result is equal to the first element of the list.</t>
  </si>
  <si>
    <t>If the input array is not null, then the resulting array is also not null.</t>
  </si>
  <si>
    <t>The result is true if and only if the stack is empty.</t>
  </si>
  <si>
    <t>!\old(this.empty()) =&gt; \result==null &amp;&amp; this.get(this.size()-1)==null|| \result.equals(this.get(this.size()-1))</t>
  </si>
  <si>
    <t>this.empty() =&gt; throw EmptyStackException</t>
  </si>
  <si>
    <t>If the stack is initially not empty, then the result is either null and the last element of the stack is null, or the result is equal to the last element of the stack.</t>
  </si>
  <si>
    <t>The result is true if and only if the size of the set is zero.</t>
  </si>
  <si>
    <t>The result is equal to the size of the map.</t>
  </si>
  <si>
    <t>If the index is valid (non-negative and less than the initial size of the list), then the result is the same as the old value at that index.</t>
  </si>
  <si>
    <t>index&gt;=0 &amp;&amp; index&lt;\old(this.size()) &amp;&amp; role!=null =&gt; \result==\old(this.get(index))</t>
  </si>
  <si>
    <t>If the index is valid, within the list's range, and the role is not null, then the result is the same as the old value at that index.</t>
  </si>
  <si>
    <t>If the index is non-negative, less than the initial size of the list, and the role is not null, then the result is the same as the old value at that index.</t>
  </si>
  <si>
    <t>c!=null =&gt; \forall int i; 0&lt;=i &amp;&amp; i&lt;c.size(); this.contains(c.get(i))</t>
  </si>
  <si>
    <t>e!=null =&gt; this.comparator().compare(this.peek(), \old(this.peek()))&lt;=0</t>
  </si>
  <si>
    <t>If the element is not null, then the element at the head of the queue after adding is less than or equal to the element that was at the head before adding.</t>
  </si>
  <si>
    <t>this.size()&gt;0 =&gt; \result!=null</t>
  </si>
  <si>
    <t>If the size of the queue is greater than 0, then the result is not null.</t>
  </si>
  <si>
    <t>this.size()&gt;0 =&gt; \forall int i; 0&lt;=i &amp;&amp; i&lt;this.size(); this.comparator().compare(\result, this.get(i))&lt;=0</t>
  </si>
  <si>
    <t>If the queue is not empty, then the element returned by peek is less than or equal to every other element in the queue.</t>
  </si>
  <si>
    <t>this.size()==0 =&gt; \result==null</t>
  </si>
  <si>
    <t>If the size of the queue is zero, then the result is null.</t>
  </si>
  <si>
    <t>this.size()&gt;0 =&gt; this.comparator().compare(this.peek(), \old(this.peek()))&gt;=0</t>
  </si>
  <si>
    <t>If the queue is not empty, the element at the head of the queue after the operation is greater than or equal to the element that was at the head before the operation.</t>
  </si>
  <si>
    <t>\old(this.contains(o)) =&gt; \result=true</t>
  </si>
  <si>
    <t>If the queue is not empty, the element at the head of the queue after removal is greater than or equal to the element that was at the head before removal.</t>
  </si>
  <si>
    <t>The size of the priority queue is always greater than or equal to 0.</t>
  </si>
  <si>
    <t>\forall int i; 0&lt;=i &amp;&amp; i&lt;this.length(); this.get(i)==(\old(this.get(i)) &amp; (~set.get(i)))</t>
  </si>
  <si>
    <t>\result==(this.cardinality()==0)</t>
  </si>
  <si>
    <t>The result is true if and only if the number of bits set to true in this BitSet is zero.</t>
  </si>
  <si>
    <t>\result==(this.length()==0)</t>
  </si>
  <si>
    <t>The result is true if and only if the length of the BitSet is zero.</t>
  </si>
  <si>
    <t>The logical size of the BitSet is always greater than or equal to 0.</t>
  </si>
  <si>
    <t>The size of the BitSet in bits is always greater than or equal to 0.</t>
  </si>
  <si>
    <t>\result!=null &amp;&amp; Arrays.equals(\result.toLongArray(), longs)</t>
  </si>
  <si>
    <t>The returned BitSet is not null and its long array representation is equal to the input long array.</t>
  </si>
  <si>
    <t>\result!=null &amp;&amp; Arrays.equals(\result.toByteArray(), bytes)</t>
  </si>
  <si>
    <t>The returned BitSet is not null and its byte array representation is equal to the input byte array.</t>
  </si>
  <si>
    <t>assert \result!=null &amp;&amp; \forall int i; 0&lt;=i &amp;&amp; i&lt;\result.toByteArray().length; \result.toByteArray()[i] == bb.get(i)</t>
  </si>
  <si>
    <t>The number of key-value mappings in the map is always greater than or equal to 0.</t>
  </si>
  <si>
    <t>The result is true if and only if the size of the map is zero.</t>
  </si>
  <si>
    <t>The result is true if and only if the size of the stack is zero.</t>
  </si>
  <si>
    <t>If the stack is initially not empty, then the result is either null and the last item in the stack is null, or the result is equal to the last item in the stack.</t>
  </si>
  <si>
    <t>coll!=null =&gt; \forall int i; 0&lt;=i&amp;&amp;i&lt;this.size(); this.get(i)==coll.get(i)</t>
  </si>
  <si>
    <t>index&gt;=0 &amp;&amp; index&lt;\old(this.size()) =&gt; \forall int i; index&lt;i &amp;&amp; i&lt;\old(this).size()-1; this.get(i)==null &amp;&amp; \old(this).get(i+1)==null || this.get(i).equals(\old(this).get(i+1))</t>
  </si>
  <si>
    <t>index&gt;=0 &amp;&amp; index&lt;\old(this.size()) =&gt; \forall int i; 0&lt;=i &amp;&amp; i&lt;index; this.get(i)==null &amp;&amp; \old(this).get(i)==null || this.get(i).equals(\old(this).get(i))</t>
  </si>
  <si>
    <t>The size of the list is always greater than or equal to 0.</t>
  </si>
  <si>
    <t>If the collection is not null, then for every index i from 0 to the size of this queue minus one, the element at index i in this queue is the same as the element at index i in the collection.</t>
  </si>
  <si>
    <t>The result is true if and only if the size of the queue is zero.</t>
  </si>
  <si>
    <t>The size of the queue is always greater than or equal to 0.</t>
  </si>
  <si>
    <t>index&gt;=0 &amp;&amp; index&lt;=\old(this.size()) =&gt; object==null&amp;&amp;this.get(index)==null||this.get(index).equals(object)</t>
  </si>
  <si>
    <t>If the index is valid (between 0 and the initial size of the set inclusive), then if the object is null, the element at that index is also null, or the element at that index equals the object.</t>
  </si>
  <si>
    <t>If the index is between 0 and the initial size of the set, then for every index i from the given index to the old size minus one, the element at position i+1 is either null and the element at position i was null, or the element at position i+1 is equal to the element at position i in the old set.</t>
  </si>
  <si>
    <t>\result!=-1 &amp;&amp; this.get(\result)==null ==&gt; object==null</t>
  </si>
  <si>
    <t>If the index of the first occurrence of the specified element is not -1 and the element at that index is null, then the specified element must be null.</t>
  </si>
  <si>
    <t>\result!=-1 &amp;&amp; this.get(\result)!=null ==&gt; this.get(\result).equals(object)</t>
  </si>
  <si>
    <t>If the index of the first occurrence of the specified element is not -1 and the element at that index is not null, then the element at that index must be equal to the specified element.</t>
  </si>
  <si>
    <t>\result!=-1 =&gt; \forall int i; 0&lt;=i &amp;&amp; i&lt;\result; this.get(i)==null &amp;&amp; object!=null || this.get(i)!=null &amp;&amp; !this.get(i).equals(object)</t>
  </si>
  <si>
    <t>If the index of the first occurrence of the specified element is not -1, then for every index from 0 up to but not including this index, the element at each index is either null and the specified element is not null, or the element at each index is not null and does not equal the specified element.</t>
  </si>
  <si>
    <t>size of the set is always greater than or equal to 0</t>
  </si>
  <si>
    <t>element==null &amp;&amp; this.get(this.size()-1)==null || e!=null &amp;&amp; element.equals(this.get(this.size()-1))</t>
  </si>
  <si>
    <t>If the element is null, then the last element in the array is null; if the element is not null, then the last element in the array is equal to the added element.</t>
  </si>
  <si>
    <t>i&gt;=0 &amp;&amp; i&lt;\old(this.size()) =&gt; \forall int j; index&lt;j &amp;&amp; j&lt;\old(this.size()-1); this.get(j)==null &amp;&amp; \old(this.get(j+1))==null || this.get(j).equals(\old(this.get(j+1)))</t>
  </si>
  <si>
    <t>The number of elements in the array is always greater than or equal to zero.</t>
  </si>
  <si>
    <t>edge==null &amp;&amp; this.get(this.size()-1)==null || edge!=null &amp;&amp; edge.equals(this.get(this.size()-1))</t>
  </si>
  <si>
    <t>The result is true if and only if the size of the path is zero.</t>
  </si>
  <si>
    <t>The size of the path is always greater than or equal to 0.</t>
  </si>
  <si>
    <r>
      <rPr>
        <sz val="12"/>
        <color rgb="FF000000"/>
        <rFont val="Calibri"/>
      </rPr>
      <t>*</t>
    </r>
    <r>
      <rPr>
        <sz val="12"/>
        <color rgb="FFFF0000"/>
        <rFont val="Calibri"/>
      </rPr>
      <t>red</t>
    </r>
    <r>
      <rPr>
        <sz val="12"/>
        <color rgb="FF000000"/>
        <rFont val="Calibri"/>
      </rPr>
      <t xml:space="preserve"> columns are omitted in the experiments</t>
    </r>
  </si>
  <si>
    <t>NL-Qwen-32B</t>
  </si>
  <si>
    <t>NL-GPT4</t>
  </si>
  <si>
    <t>choice</t>
  </si>
  <si>
    <t>J</t>
  </si>
  <si>
    <t>The size of the list is 0 after initialization.</t>
  </si>
  <si>
    <t>the size of the list is 0 after initialization</t>
  </si>
  <si>
    <t>if the collection is not null, then the size of this list is equal to the size of the collection</t>
  </si>
  <si>
    <t>if the collection is not null, then the size of the list is equal to the size of the collection</t>
  </si>
  <si>
    <t>If the collection c is not null, then the size of this list is equal to the size of the collection c.</t>
  </si>
  <si>
    <t>if the collection is not null, then for each index i between 0 and the size of this list, the element at index i in this list is equal to the element at index i in the collection</t>
  </si>
  <si>
    <t>If the collection 'c' is not null, then for every valid index 'i' from 0 to the size of this list, the element at index 'i' in this list is equal to the element at index 'i' in collection 'c'.</t>
  </si>
  <si>
    <t>If the collection 'c' is not null, then for every valid index 'i' from 0 to the size of this list, the element at index 'i' in this list is equal to the element at index 'i' in the collection 'c'.</t>
  </si>
  <si>
    <t>if the collection is not null, then this list equals the collection</t>
  </si>
  <si>
    <t>If the collection 'c' is not null, then this list is equal to the collection 'c'.</t>
  </si>
  <si>
    <t>If the initial capacity is greater than or equal to 0, then the size of the list is 0</t>
  </si>
  <si>
    <t>the list contains the added element after the operation</t>
  </si>
  <si>
    <t>The list contains the element after it has been added.</t>
  </si>
  <si>
    <t>The list contains the specified element after it has been appended.</t>
  </si>
  <si>
    <t>The result of adding an element to the list is always true</t>
  </si>
  <si>
    <t>The method always returns true when an element is added to the list</t>
  </si>
  <si>
    <t>the method always returns true when adding an element</t>
  </si>
  <si>
    <t>The last element added to the list is equal to the element at the last index of the list</t>
  </si>
  <si>
    <t>The last element added to the list is either null and the last element in the list is null, or the last element added is not null and is equal to the last element in the list.</t>
  </si>
  <si>
    <t>The last element in the list is equal to the element just added, considering null values appropriately</t>
  </si>
  <si>
    <t>If the element added is null, then the last element in the list is also null; otherwise, the last element in the list is equal to the element added.</t>
  </si>
  <si>
    <t>If the element added is null, then the last element in the list is also null; otherwise, the element added equals the last element in the list.</t>
  </si>
  <si>
    <t>If the index is within the valid range (from 0 to the size of the list), then the list contains the added element.</t>
  </si>
  <si>
    <t>If the index is between 0 and the current size of the list, then the list contains the element after insertion.</t>
  </si>
  <si>
    <t>If the index is between 0 and the size of the list, then the list contains the added element.</t>
  </si>
  <si>
    <t>If the index is between 0 and the size of the list inclusive, then the list contains the inserted element.</t>
  </si>
  <si>
    <t>index&gt;=0 &amp;&amp; index&lt;=this.size() =&gt; element==null&amp;&amp;this.get(index)==null || this.get(index).equals(element)</t>
  </si>
  <si>
    <t>if the index is within the valid range, then either the element is null and the element at the index is null, or the element at the index equals the added element</t>
  </si>
  <si>
    <t>If the index is within the valid range, then either the element is null and the element at the index is null, or the element at the index equals the added element.</t>
  </si>
  <si>
    <t>If the index is between 0 and the size of the list inclusive, then if the element is null, the element at that index is also null, or the element at that index is equal to the inserted element.</t>
  </si>
  <si>
    <t>If the index is valid (between 0 and the size of the list inclusive), then if the element is null, the element at that index in the list is also null, or the element at that index equals the specified element.</t>
  </si>
  <si>
    <t>If the index is valid (between 0 and the size of the list, inclusive), then if the element is null, the element at that index is also null, or the element at that index is equal to the specified element.</t>
  </si>
  <si>
    <t>if the index is within the valid range, then for every index i less than the given index, the element at i is either null and was null before or it remains unchanged</t>
  </si>
  <si>
    <t>if the index is within the valid range, then for every index i less than the given index, the element at i either remains null or is unchanged</t>
  </si>
  <si>
    <t>If the index is within the valid range, then for every index i less than the given index, the element at i is either null and was null before or it remains unchanged.</t>
  </si>
  <si>
    <t>If the index is between 0 and the size of the list inclusive, then for every valid index less than the specified index, each element at these indices remains unchanged or is null both before and after the operation.</t>
  </si>
  <si>
    <t>If the index is between 0 and the size of the list inclusive, then for every integer i from 0 to index, the element at position i in the list is either null and was null before the operation, or remains unchanged from its previous state.</t>
  </si>
  <si>
    <t>If the index is between 0 and the size of the list inclusive, then for every valid index before the specified index, the element at that position remains unchanged or is null if it was initially null.</t>
  </si>
  <si>
    <t>index&gt;=0 &amp;&amp; index&lt;=this.size() =&gt; \forall int i; index &lt;= i&amp;&amp;i &lt;\old(this.size()); this.get(i+1) == null&amp;&amp;\old(this.get(i)) == null||this.get(i+1).equals(\old(this.get(i)))</t>
  </si>
  <si>
    <t>if the index is within the valid range, then for every position i from index to the old size minus one, the element at position i+1 is either null or equal to the element at position i before the insertion.</t>
  </si>
  <si>
    <t>if the index is within the valid range, then for every position i from the index to the old size minus one, either both the current and old elements at position i+1 are null, or the current element at position i+1 equals the old element at position i.</t>
  </si>
  <si>
    <t>If the index is between 0 and the size of the list inclusive, then for every valid index from the insertion point to the old size of the list, the element at each subsequent index in the updated list is either null and was null in the old list, or is equal to the element at the previous index in the old list.</t>
  </si>
  <si>
    <t>If the index is valid (between 0 and the size of the list, inclusive), then for every index from the insertion point to the old size of the list, the element at the next position is either null if the old element at this position was null, or it equals the old element at this position.</t>
  </si>
  <si>
    <t>If the index is between 0 and the size of the list inclusive, then for every valid index from the insertion point to the old size of the list, the element at the next position is either null if the old element at this position was null, or it equals the old element at this position.</t>
  </si>
  <si>
    <t>the list is empty after the clear operation</t>
  </si>
  <si>
    <t>the list is empty after this operation</t>
  </si>
  <si>
    <t>The size of the list is 0 after clearing all elements.</t>
  </si>
  <si>
    <t>the size of the list is 0 after clearing</t>
  </si>
  <si>
    <t>the size of the list is 0 after clearing all elements</t>
  </si>
  <si>
    <t>The size of the list is zero after the operation.</t>
  </si>
  <si>
    <t>The size of the list is zero after this method is called.</t>
  </si>
  <si>
    <t>the cloned object is not the same as the original object</t>
  </si>
  <si>
    <t>the cloned list is equal to the original list</t>
  </si>
  <si>
    <t>size of the cloned list is the same as the original list</t>
  </si>
  <si>
    <t>the size of the cloned list is the same as the original list</t>
  </si>
  <si>
    <t>\forall int i; 0&lt;=i &amp;&amp; i&lt;this.size(); \result.get(i)==this.get(i)</t>
  </si>
  <si>
    <t>For each valid index i in the cloned list, the element at index i in the cloned list is the same as the element at index i in the original list.</t>
  </si>
  <si>
    <t>For each index i between 0 and the size of this list, the element at index i in the cloned list is the same as the element at index i in the original list.</t>
  </si>
  <si>
    <t>the cloned object is not null</t>
  </si>
  <si>
    <t>The result of cloning the ArrayList is never null.</t>
  </si>
  <si>
    <t>If the result is not -1 and the element at the result index is null, then the object being searched for is null.</t>
  </si>
  <si>
    <t>If the result is not -1 and the element at the result index is null, then the object being searched for is also null.</t>
  </si>
  <si>
    <t>If the result is not -1 and the element at the resulting index is null, then the specified element must also be null.</t>
  </si>
  <si>
    <t>If the result is not -1 and the element at the result index is not null, then the element at the result index equals the specified object</t>
  </si>
  <si>
    <t>If the result is not -1 and the element at the result index is not null, then the element at the result index equals the specified object.</t>
  </si>
  <si>
    <t>If the result is not -1 and the element at the resulting index is not null, then the element at that index must be equal to the specified element.</t>
  </si>
  <si>
    <t>If the index of the element is not -1, then for every index i less than the result, either the element at i is null and the target element is not null, or the element at i is not null and does not equal the target element.</t>
  </si>
  <si>
    <t>If the result is not -1, then for every index i from 0 to result-1, either the element at index i is null and o is not null, or the element at index i is not null and does not equal o.</t>
  </si>
  <si>
    <t>If the index of the element is not -1, then for every index i from 0 to the result index minus 1, either the element at index i is null and the target element is not null, or the element at index i is not null and does not equal the target element.</t>
  </si>
  <si>
    <t>If the result is not -1, then for every index from 0 to the result, the element at that index is either null and the searched object is not null, or the element is not null and does not equal the searched object.</t>
  </si>
  <si>
    <t>If the result is not -1, then for every index from 0 up to but not including the result, if the element at that index is null, the searched object is not null, or if the element is not null, it is not equal to the searched object.</t>
  </si>
  <si>
    <t>If the index of the first occurrence of the specified element is not -1, then for every index less than this result, the element at that index is either null and the specified element is not null, or the element at that index is not null and does not equal the specified element.</t>
  </si>
  <si>
    <t>the result is true if and only if the size of the list is 0</t>
  </si>
  <si>
    <t>The result is true if and only if the size of the list is 0</t>
  </si>
  <si>
    <t>If the last index of the element is not -1 and the element at the last index is null, then the element being searched for is null.</t>
  </si>
  <si>
    <t>If the last index of the element is not -1 and the element at that index is null, then the element being searched for is null.</t>
  </si>
  <si>
    <t>If the last index of the element is not -1 and the element at that index is not null, then the element at that index equals the specified element.</t>
  </si>
  <si>
    <t>If the result is not -1 and the element at the result index is not null, then the element at the result index equals the specified object o.</t>
  </si>
  <si>
    <t>If the result is not -1 and the element at the resulting index is not null, then the element at that index must be equal to the specified element 'o'.</t>
  </si>
  <si>
    <t>If the last index of the element is found, then for every index greater than the last index and less than the size of the list, the element at that index is either null (if the search element is not null) or not equal to the search element.</t>
  </si>
  <si>
    <t>If the last index of the element is found, then for every index greater than the last index and less than the size of the list, the element at that index is either null (if the target object is not null) or not equal to the target object.</t>
  </si>
  <si>
    <t>If the last index of the element is not -1, then for every index greater than the last index and less than the size of the list, the element at that index is either null (if the search element is not null) or not equal to the search element.</t>
  </si>
  <si>
    <t>If the result is not -1, then for every index greater than the result and less than the size of the list, the element at that index is either null and the object is not null, or the element is not null and does not equal the object.</t>
  </si>
  <si>
    <t>if the index is within the valid range, the removed element is the same as the element at that index before removal</t>
  </si>
  <si>
    <t>If the index is valid (greater than or equal to 0 and less than the size of the list), then the result is the element that was at that index before the removal.</t>
  </si>
  <si>
    <t>If the index is valid (greater than or equal to 0 and less than the size of the list), then the result is the element that was at that index before the operation.</t>
  </si>
  <si>
    <t>If the index is within the valid range, then for every index i less than the given index, the element at i is either null and was null before the removal, or it remains unchanged.</t>
  </si>
  <si>
    <t>If the index is within the valid range, then for every index i less than the given index, the element at i remains unchanged and is either null or equal to its previous value.</t>
  </si>
  <si>
    <t>If the index is valid (greater than or equal to 0 and less than the size of the list), then for every valid index before the specified index, either both the current and old values at that index are null, or the current value at that index equals the old value at that index.</t>
  </si>
  <si>
    <t>If the index is valid (greater than or equal to 0 and less than the size of the list), then for every valid index before the specified index, either both the current and previous values at that index are null, or the current value at that index equals the previous value at that index.</t>
  </si>
  <si>
    <t>If the index is valid (non-negative and less than the size of the list), then for every valid index up to the specified index, either both the current and previous values at that index are null, or the current value at that index remains unchanged from its previous value.</t>
  </si>
  <si>
    <t>index&gt;=0 &amp;&amp; index&lt;this.size() =&gt; \forall int i; index&lt;i &amp;&amp; i&lt;\old(this.size()-1); this.get(i)==null &amp;&amp; \old(this.get(i+1))==null || this.get(i).equals(\old(this.get(i+1)))</t>
  </si>
  <si>
    <t>If the index is within the valid range, then for every index i greater than the given index and less than the old size minus one, either the element at i is null and the old element at i+1 is null, or the element at i is equal to the old element at i+1.</t>
  </si>
  <si>
    <t>If the index is within the valid range, then for each index i greater than the given index and less than the old size minus one, either the current element at i is null and the old element at i+1 is null, or the current element at i is equal to the old element at i+1.</t>
  </si>
  <si>
    <t>If the index is within the valid range, then for every index i greater than the given index and less than the old size minus one, either the current element at i is null and the old element at i+1 is null, or the current element at i is equal to the old element at i+1.</t>
  </si>
  <si>
    <t>If the index is valid (greater than or equal to 0 and less than the size of the list), then for every position i greater than the index and less than the old size minus one, either both the current and the next elements in the old list are null, or the element at position i in the updated list is equal to the element at position i+1 in the old list.</t>
  </si>
  <si>
    <t>If the index is valid (non-negative and less than the size of the list), then for every position i greater than the index and less than the old size of the list minus one, the element at position i in the updated list should either be null if the old element at position i+1 was null, or equal to the old element at position i+1.</t>
  </si>
  <si>
    <t>If the index is valid (greater than or equal to 0 and less than the size of the list), then for every position i greater than the index and less than the old size of the list minus one, the element at position i in the updated list should be null if the old element at position i+1 was null, or should be equal to the old element at position i+1 otherwise.</t>
  </si>
  <si>
    <t>If the list contained the specified element before the removal, then the result is true.</t>
  </si>
  <si>
    <t>If the list contained the specified element before removal, then the result is true.</t>
  </si>
  <si>
    <t>If the list contained the specified element before removal, then the result is true</t>
  </si>
  <si>
    <t>If the element was initially present in the list, then the result of the removal is true.</t>
  </si>
  <si>
    <t>If the list originally contained the specified element, then the result of the removal operation is true.</t>
  </si>
  <si>
    <t>if the index is within the valid range, the result is the element that was previously at the specified index</t>
  </si>
  <si>
    <t>If the index is within the valid range, the result is the element that was previously at the specified index.</t>
  </si>
  <si>
    <t>if the index is within the valid range, then the result is the element that was previously at the specified index</t>
  </si>
  <si>
    <t>If the index is non-negative and less than the size of the list, then the returned value is the same as the element that was at that position before the update.</t>
  </si>
  <si>
    <t>If the index is non-negative and less than the size of the list, then the returned value is the element that was previously at that position.</t>
  </si>
  <si>
    <t>If the index is valid (non-negative and less than the size of the list), then the returned value is the element that was at that position before the update.</t>
  </si>
  <si>
    <t>If the index is within the valid range, then for every index i less than the given index, the element at i remains unchanged if it is not null.</t>
  </si>
  <si>
    <t>if the index is within the valid range, then for every index i less than the given index, the element at i remains unchanged if it is not null</t>
  </si>
  <si>
    <t>If the index is valid (non-negative and less than the size of the list), then for every valid index i before the specified index, either both the current and old values at i are null, or the current value at i is equal to its old value.</t>
  </si>
  <si>
    <t>If the index is valid (non-negative and less than the size of the list), then for every valid index before it, the element at that index remains unchanged or continues to be null if it was null before.</t>
  </si>
  <si>
    <t>If the index is valid (greater than or equal to 0 and less than the size of the list), then for every index from 0 up to but not including the specified index, each element at these indices either remains unchanged or continues to be null if it was initially null.</t>
  </si>
  <si>
    <t>If the index is within the valid range, then for every index i greater than the given index and less than the size of the list, either both the current and old elements at index i are null, or they are equal.</t>
  </si>
  <si>
    <t>If the index is within the valid range, then for every index greater than the given index and less than the size of the list, the element either remains null or is unchanged.</t>
  </si>
  <si>
    <t>If the index is within the valid range, then for every index i greater than the given index and less than the size of the list, either both the current and old values at index i are null, or they are equal.</t>
  </si>
  <si>
    <t>If the index is valid (non-negative and less than the size of the list), then for every position greater than the index and within the list size, the element at that position remains unchanged if it was null before, or it is equal to its old value if it was not null.</t>
  </si>
  <si>
    <t>if the index is valid (greater than or equal to 0 and less than the size of the list), then for every element from the position just after the index to the end of the list, if the element was null before, it remains null, or it remains equal to its previous value.</t>
  </si>
  <si>
    <t>If the index is valid (non-negative and less than the size of the list), then for every position greater than the index and within the list size, the element at that position remains unchanged or continues to be null if it was null before.</t>
  </si>
  <si>
    <t>the size of the list is always greater than or equal to 0</t>
  </si>
  <si>
    <t>The number of elements in the list is always greater than or equal to zero.</t>
  </si>
  <si>
    <t>the returned array is not null</t>
  </si>
  <si>
    <t>the length of the returned array is equal to the size of the list</t>
  </si>
  <si>
    <t>For each index i between 0 and the size of the list, the element at index i in the list is either null and the corresponding element in the result array is null, or the element at index i in the list is equal to the corresponding element in the result array.</t>
  </si>
  <si>
    <t>For each index i between 0 and the size of the list, the element at index i in the list is either null and the corresponding element in the result array is also null, or the element at index i in the list is equal to the corresponding element in the result array.</t>
  </si>
  <si>
    <t>For every valid index i (from 0 up to the size of the list), if the element at index i in the list is null, then the element at index i in the returned array is also null; otherwise, the element in the list at index i is equal to the element at index i in the returned array.</t>
  </si>
  <si>
    <t>For every valid index i (from 0 up to the size of the list), if the element at index i in the list is null, then the corresponding element in the returned array is also null; otherwise, the element in the list at index i is equal to the element at index i in the returned array.</t>
  </si>
  <si>
    <t>if the input array is not null, then the result is not null</t>
  </si>
  <si>
    <t>If the input array is not null, then the result array is also not null.</t>
  </si>
  <si>
    <t>if the array 'a' is not null, then the result is also not null.</t>
  </si>
  <si>
    <t>the deque is empty after construction</t>
  </si>
  <si>
    <t>the deque is empty after initialization</t>
  </si>
  <si>
    <t>the size of the deque is 0 after initialization</t>
  </si>
  <si>
    <t>The size of the deque is zero immediately after its creation.</t>
  </si>
  <si>
    <t>if the collection is not null, then the size of the deque is equal to the size of the collection</t>
  </si>
  <si>
    <t>If the input collection is not null, then the size of the deque after construction is equal to the size of the input collection.</t>
  </si>
  <si>
    <t>If the collection 'c' is not null, then the size of the deque is equal to the size of the collection 'c'.</t>
  </si>
  <si>
    <t>The size of the deque is zero after initialization.</t>
  </si>
  <si>
    <t>if the element is not null, then the array deque contains the added element after the operation</t>
  </si>
  <si>
    <t>if the element is not null, then the deque contains the element after adding it</t>
  </si>
  <si>
    <t>if the added element is not null, then the array deque contains the added element after the operation</t>
  </si>
  <si>
    <t>If the element is not null, then the result is true</t>
  </si>
  <si>
    <t>if the element is not null, then the deque contains the added element</t>
  </si>
  <si>
    <t>if the element is not null, then the array deque contains the added element</t>
  </si>
  <si>
    <t>if the element is not null, then the array deque contains the element after adding it</t>
  </si>
  <si>
    <t>If the element is not null, then it is contained in the deque after being added.</t>
  </si>
  <si>
    <t>If the added element is not null, then the array deque contains the added element.</t>
  </si>
  <si>
    <t>If the added element is not null, then the deque contains the added element.</t>
  </si>
  <si>
    <t>if the added element is not null, then the array deque contains the added element</t>
  </si>
  <si>
    <t>If the element added is not null, then it is contained in the deque.</t>
  </si>
  <si>
    <t>the deque is empty after the clear operation</t>
  </si>
  <si>
    <t>the deque is empty after clearing it.</t>
  </si>
  <si>
    <t>the size of the deque is 0 after clearing</t>
  </si>
  <si>
    <t>size of the deque is 0 after clearing</t>
  </si>
  <si>
    <t>The deque is empty after clearing.</t>
  </si>
  <si>
    <t>the cloned deque is not the same object as the original deque</t>
  </si>
  <si>
    <t>the cloned deque is a different object from the original deque</t>
  </si>
  <si>
    <t>The returned object from the clone method is not the same instance as the original object.</t>
  </si>
  <si>
    <t>The result of cloning is not the same object as the original.</t>
  </si>
  <si>
    <t>size of the cloned deque is the same as the original deque</t>
  </si>
  <si>
    <t>the size of the cloned deque is the same as the original deque</t>
  </si>
  <si>
    <t>the result of cloning the deque is not null</t>
  </si>
  <si>
    <t>the cloned deque is not null</t>
  </si>
  <si>
    <t>the cloned result is not null</t>
  </si>
  <si>
    <t>The returned copy of the deque is never null.</t>
  </si>
  <si>
    <t>The result is true if and only if the size of the deque is 0</t>
  </si>
  <si>
    <t>if the element is not null, then the deque contains the element after the operation</t>
  </si>
  <si>
    <t>If the element is not null, then the deque contains the element after the operation.</t>
  </si>
  <si>
    <t>If the specified element is not null, then the result is true.</t>
  </si>
  <si>
    <t>If the element is not null, then the deque contains the element after adding it to the front.</t>
  </si>
  <si>
    <t>If the element is not null, then the deque contains the element after it is added at the front.</t>
  </si>
  <si>
    <t>if the element is not null, then the result is true</t>
  </si>
  <si>
    <t>If the element added is not null, then the result is true.</t>
  </si>
  <si>
    <t>if the deque is empty, then the result is null</t>
  </si>
  <si>
    <t>If the deque is empty, then the result is null</t>
  </si>
  <si>
    <t>if the element is not null, then the deque contains the element after pushing</t>
  </si>
  <si>
    <t>if the pushed element is not null, then the deque contains the pushed element</t>
  </si>
  <si>
    <t>If the deque contained the element before the removal, then the result is true</t>
  </si>
  <si>
    <t>If the deque contained the specified element before the operation, then the result is true.</t>
  </si>
  <si>
    <t>If the deque contained the specified element before the removal, then the result is true.</t>
  </si>
  <si>
    <t>If the deque contained the element before the operation, then the result is true</t>
  </si>
  <si>
    <t>If the deque originally contained the specified element, then the result of the removal operation is true.</t>
  </si>
  <si>
    <t>If the element was in the deque before the operation, then the result of the operation is true.</t>
  </si>
  <si>
    <t>If the deque originally contained the specified element, then the result of the removal is true.</t>
  </si>
  <si>
    <t>the number of elements in the deque is always greater than or equal to 0</t>
  </si>
  <si>
    <t>The number of elements in the deque is always greater than or equal to 0.</t>
  </si>
  <si>
    <t>The result of converting the deque to an array is never null.</t>
  </si>
  <si>
    <t>The length of the returned array is equal to the size of the deque</t>
  </si>
  <si>
    <t>the length of the returned array is equal to the size of the deque</t>
  </si>
  <si>
    <t>The length of the returned array is equal to the size of the deque.</t>
  </si>
  <si>
    <t>if the input array is not null, then the result array is not null</t>
  </si>
  <si>
    <t>if the input array is not null, then the result array is also not null.</t>
  </si>
  <si>
    <t>the vector is empty after construction</t>
  </si>
  <si>
    <t>The vector is empty after construction.</t>
  </si>
  <si>
    <t>The vector is empty after it is created.</t>
  </si>
  <si>
    <t>the size of the vector is 0 after initialization</t>
  </si>
  <si>
    <t>The size of the vector is zero immediately after it is created.</t>
  </si>
  <si>
    <t>The size of the vector is zero after construction.</t>
  </si>
  <si>
    <t>if the collection is not null, then the size of the vector is equal to the size of the collection</t>
  </si>
  <si>
    <t>if the collection is not null, then for each valid index i in the vector, the element at index i in the vector is the same as the element at index i in the collection</t>
  </si>
  <si>
    <t>if the collection is not null, then for each valid index in the vector, the element at that index in the vector is the same as the element at the same index in the collection</t>
  </si>
  <si>
    <t>if the collection is not null, then for each valid index i in the vector, the element at index i in the vector is the same as the element at index i in the collection.</t>
  </si>
  <si>
    <t>If the collection 'c' is not null, then for every valid index 'i' from 0 to the size of this vector, the element at index 'i' in this vector must be equal to the element at index 'i' in the collection 'c'.</t>
  </si>
  <si>
    <t>if the collection is not null, then this vector is equal to the collection</t>
  </si>
  <si>
    <t>if the initial capacity is greater than or equal to 0, then the vector is empty</t>
  </si>
  <si>
    <t>if the initial capacity is greater than or equal to 0, then the size of the vector is 0</t>
  </si>
  <si>
    <t>If the initial capacity is non-negative, then the size of the vector is zero.</t>
  </si>
  <si>
    <t>If the initial capacity and capacity increment are both non-negative, then the vector is empty.</t>
  </si>
  <si>
    <t>If both the initial capacity and capacity increment are non-negative, then the vector is empty.</t>
  </si>
  <si>
    <t>If the initial capacity and capacity increment are both non-negative, then the size of the vector is 0.</t>
  </si>
  <si>
    <t>The vector contains the added element after the operation</t>
  </si>
  <si>
    <t>the vector contains the added element after the operation</t>
  </si>
  <si>
    <t>the method always returns true</t>
  </si>
  <si>
    <t>the result of adding an element to the vector is always true</t>
  </si>
  <si>
    <t>The last element added to the vector is either null and the last element in the vector is null, or the last element added is not null and is equal to the last element in the vector.</t>
  </si>
  <si>
    <t>If the appended element is null, then the last element in the vector is also null; otherwise, the appended element equals the last element in the vector.</t>
  </si>
  <si>
    <t>if the index is between 0 and the size of the vector, then the vector contains the element after insertion</t>
  </si>
  <si>
    <t>If the index is greater than or equal to 0 and less than or equal to the size of the vector, then the vector contains the inserted element.</t>
  </si>
  <si>
    <t>If the index is within the valid range, then either the element is null and the element at the index is null, or the element at the index is equal to the inserted element.</t>
  </si>
  <si>
    <t>If the index is within the valid range, then either the element is null and the element at the index is null, or the element at the index is equal to the added element.</t>
  </si>
  <si>
    <t>If the index is greater than or equal to 0 and less than or equal to the size of the vector, then if the element is null, the element at that index in the vector is also null, or the element at that index equals the specified element.</t>
  </si>
  <si>
    <t>If the index is between 0 and the size of the vector inclusive, then either the element is null and the element at that index is also null, or the element at that index is equal to the specified element.</t>
  </si>
  <si>
    <t>If the index is between 0 and the size of the vector inclusive, then if the element is null, the element at that index in the vector is also null, or the element at that index is equal to the specified element.</t>
  </si>
  <si>
    <t>if the index is within the valid range, then for every index i less than the specified index, the element at i remains unchanged if it was not null before the operation</t>
  </si>
  <si>
    <t>If the index is within the valid range, then for every index i less than the specified index, the element at position i remains unchanged if it was not null before the operation.</t>
  </si>
  <si>
    <t>If the index is within the valid range, then for every index i less than the specified index, the element at i remains unchanged if it was not null before the operation.</t>
  </si>
  <si>
    <t>If the index is between 0 and the size of the vector inclusive, then for every valid index less than the specified index, the element at that position remains unchanged or is null if it was originally null.</t>
  </si>
  <si>
    <t>If the index is greater than or equal to 0 and less than or equal to the size of the vector, then for every valid index from 0 up to but not including the specified index, each element at these indices remains unchanged or continues to be null if it was initially null.</t>
  </si>
  <si>
    <t>if the index is between 0 and the size of the vector inclusive, then for every valid index less than the specified index, the element at that position remains unchanged or is null if it was initially null.</t>
  </si>
  <si>
    <t>if the index is between 0 and the size of the vector, then for every valid index i from the insertion point to the old size, the element at i+1 is either null or equal to the element at i before the insertion.</t>
  </si>
  <si>
    <t>if the index is within the valid range, then for each valid index i from the insertion point to the old size, the element at i+1 is either null or equal to the element at i before the insertion.</t>
  </si>
  <si>
    <t>If the index is within the valid range, then for each valid index i from the insertion point to the old size, the element at position i+1 is either null or equal to the element at position i before the insertion.</t>
  </si>
  <si>
    <t>If the index is greater than or equal to 0 and less than or equal to the size of the vector, then for every valid index i from the insertion index to the old size of the vector, the element at position i+1 in the updated vector is either null and the old element at i was null, or it is equal to the old element at i.</t>
  </si>
  <si>
    <t>If the index is between 0 and the size of the vector inclusive, then for every valid index from the insertion point to the old size of the vector, the element at the next position is either null and the old element at this position was null, or it is equal to the old element at this position.</t>
  </si>
  <si>
    <t>If the index is at least 0 and at most the size of the vector, then for every valid index from the specified index to the old size of the vector, the element at each subsequent index is either null and was null before, or is equal to the element that was at the previous index before the insertion.</t>
  </si>
  <si>
    <t>The vector is empty after all elements are removed.</t>
  </si>
  <si>
    <t>the vector is empty after clear is called</t>
  </si>
  <si>
    <t>The vector is empty after this operation.</t>
  </si>
  <si>
    <t>Vector is empty after clearing all elements.</t>
  </si>
  <si>
    <t>the size of the vector is 0 after clearing all elements</t>
  </si>
  <si>
    <t>The size of the vector is 0 after clearing all elements.</t>
  </si>
  <si>
    <t>The size of the vector is 0 after all elements are removed.</t>
  </si>
  <si>
    <t>The size of the vector is zero after clearing it.</t>
  </si>
  <si>
    <t>the cloned vector is not the same object as the original vector</t>
  </si>
  <si>
    <t>the returned object from the clone method is not the same instance as the original object</t>
  </si>
  <si>
    <t>the cloned vector is equal to the original vector</t>
  </si>
  <si>
    <t>The result of cloning this vector is equal to the original vector.</t>
  </si>
  <si>
    <t>the size of the cloned vector is the same as the original vector</t>
  </si>
  <si>
    <t>size of the cloned vector is the same as the original vector</t>
  </si>
  <si>
    <t>\forall int i; 0&lt;=i &amp;&amp; i&lt;this.size(); result.get(i)==this.get(i)</t>
  </si>
  <si>
    <t>For each valid index i in the cloned vector, the element at index i in the cloned vector is the same as the element at index i in the original vector.</t>
  </si>
  <si>
    <t>For each valid index in the cloned vector, the element at that index in the cloned vector is the same as the element at the same index in the original vector.</t>
  </si>
  <si>
    <t>For every valid index i (from 0 up to the size of this vector), the element at index i in the cloned vector is the same as the element at index i in the original vector.</t>
  </si>
  <si>
    <t>the result of cloning the vector is not null</t>
  </si>
  <si>
    <t>the result of cloning is not null</t>
  </si>
  <si>
    <t>The result of cloning this vector is never null.</t>
  </si>
  <si>
    <t>index&gt;=0 &amp;&amp; index&lt;this.size() =&gt; \result==this.get(index)</t>
  </si>
  <si>
    <t>if the index is greater than or equal to 0 and less than the size of the vector, then the result is equal to the element at that index</t>
  </si>
  <si>
    <t>If the index is greater than or equal to 0 and less than the size of the vector, then the result is equal to the element at that index.</t>
  </si>
  <si>
    <t>If the index is greater than or equal to 0 and less than the size of the vector, then the returned result is equal to the element at that index in the vector.</t>
  </si>
  <si>
    <t>this.size()!=0 =&gt; \result==this.get(0)</t>
  </si>
  <si>
    <t>if the size of the vector is not zero, then the result is the first element of the vector</t>
  </si>
  <si>
    <t>if the size of the vector is not zero, then the result is the element at index 0</t>
  </si>
  <si>
    <t>If the vector is not empty, then the result is the first element of the vector.</t>
  </si>
  <si>
    <t>If the result is not -1 and the element at the result index is not null, then the element at the result index is equal to the specified element.</t>
  </si>
  <si>
    <t>If the result is not -1 and the element at the result index is not null, then the element at the result index is equal to the specified object.</t>
  </si>
  <si>
    <t>If the method returns a non-negative result and the element at that position is not null, then the element at that position must be equal to the specified element.</t>
  </si>
  <si>
    <t>If the method returns an index that is not -1 and the element at that index is not null, then the element at that index must be equal to the specified element 'o'.</t>
  </si>
  <si>
    <t>If the method returns a non-negative index and the element at that index is not null, then the element at that index is equal to the specified element.</t>
  </si>
  <si>
    <t>\result!=-1 =&gt; \forall int i; 0&lt;=I &amp;&amp; i&lt;\result; this.get(i)==null &amp;&amp; o!=null || this.get(i)!=null &amp;&amp; !this.get(i).equals(o)</t>
  </si>
  <si>
    <t>If the method returns a value other than -1, then for every index from 0 up to but not including the returned index, the element at that index is either null and the searched object is not null, or the element is not null and does not equal the searched object.</t>
  </si>
  <si>
    <t>If the result is not -1 and the element at the result index is null, then the input object is null.</t>
  </si>
  <si>
    <t>If the result is not -1 and the element at the resulting index is not null, then the element at that index is equal to the specified object 'o'.</t>
  </si>
  <si>
    <t>If the result is not -1 and the element at the result index is not null, then the element at the result index is equal to the specified element 'o'.</t>
  </si>
  <si>
    <t>index&gt;=0 &amp;&amp; index&lt;=this.size() =&gt; this.contains(obj)</t>
  </si>
  <si>
    <t>If the index is between 0 and the size of the vector, then the vector contains the newly inserted object.</t>
  </si>
  <si>
    <t>index&gt;=0 &amp;&amp; index&lt;=this.size() =&gt; obj==null&amp;&amp;this.get(index)==null||this.get(index).equals(obj)</t>
  </si>
  <si>
    <t>If the index is between 0 and the size of the vector, then for every index i less than the given index, the element at i in the vector is either null and was null before the operation, or it remains unchanged.</t>
  </si>
  <si>
    <t>If the index is between 0 and the size of the vector, then for every index i from the given index to the old size minus one, either both the element at i+1 and the old element at i are null, or the element at i+1 is equal to the old element at i.</t>
  </si>
  <si>
    <t>If the index is between 0 and the size of the vector, then for every valid index i from the insertion point to the old size, either both the new and old elements at i+1 are null, or the new element at i+1 is equal to the old element at i.</t>
  </si>
  <si>
    <t>If the index is between 0 and the size of the vector inclusive, then for each index from the insertion point to the old size of the vector, the element at each subsequent index is either null if the original element at that index was null, or equal to the original element at that index.</t>
  </si>
  <si>
    <t>The result is true if and only if the size of the vector is 0</t>
  </si>
  <si>
    <t>The result is true if and only if the size of the vector is zero</t>
  </si>
  <si>
    <t>this.size()!=0 =&gt; \result==this.get(this.size()-1)</t>
  </si>
  <si>
    <t>if the size of the vector is not zero, then the result is the last element of the vector</t>
  </si>
  <si>
    <t>if the vector is not empty, then the result is the last element of the vector</t>
  </si>
  <si>
    <t>If the vector is not empty, then the result is the same as the last element of the vector.</t>
  </si>
  <si>
    <t>If the vector is not empty, then the result is the same as the element at the last index of the vector.</t>
  </si>
  <si>
    <t>If the vector is not empty, then the result is the last element of the vector.</t>
  </si>
  <si>
    <t>If the last index of the element is not -1 and the element at the last index is not null, then the element at the last index is equal to the specified element.</t>
  </si>
  <si>
    <t>If the last index of the element is not -1, then for every index greater than the last index and less than the size of the vector, either the element at that index is null and the search element is not null, or the element at that index is not null and does not equal the search element.</t>
  </si>
  <si>
    <t>If the last index of the element is not -1, then for every index i greater than the last index and less than the size of the vector, either the element at index i is null and the search element is not null, or the element at index i is not null and does not equal the search element.</t>
  </si>
  <si>
    <t>If the method returns a non-negative index, then for every index greater than the result and less than the size of the vector, the element at that index is either null and the searched object is not null, or the element is not null and does not equal the searched object.</t>
  </si>
  <si>
    <t>If the result is not -1 and the element at the result index is not null, then the element at the result index is equal to o.</t>
  </si>
  <si>
    <t>If the result is not -1 and the element at the result index is not null, then the element at the result index is equal to the specified object 'o'.</t>
  </si>
  <si>
    <t>If the index is within the valid range, the removed element is the same as the element at that index before removal.</t>
  </si>
  <si>
    <t>If the index is within the valid range, the result is the element that was at that index before removal.</t>
  </si>
  <si>
    <t>if the index is within the valid range, then the result is the element that was at that index before removal</t>
  </si>
  <si>
    <t>If the index is greater than or equal to 0 and less than the size of this vector, then the result is equal to the value at the specified index before the method was executed.</t>
  </si>
  <si>
    <t>If the index is greater than or equal to 0 and less than the size of the vector, then the result is equal to the element at that index before the method was executed.</t>
  </si>
  <si>
    <t>if the index is within the valid range, then for every index i less than the given index, the element at i remains unchanged and is either null or equal to its previous value</t>
  </si>
  <si>
    <t>If the index is within the valid range, then for every index i less than the given index, the element at i remains unchanged.</t>
  </si>
  <si>
    <t>if the index is within the valid range, then for every index i less than the given index, the element at i remains unchanged and is not null</t>
  </si>
  <si>
    <t>If the index is within the valid range, then for every index less than the given index, the element at that index remains unchanged and is either null or equal to its previous value.</t>
  </si>
  <si>
    <t>If the index is within the valid range, then for every index i greater than the removed index and less than the old size minus one, either the element at i is null and the old element at i+1 is null, or the element at i is equal to the old element at i+1.</t>
  </si>
  <si>
    <t>If the index is within the bounds of the vector, then for every index i greater than the removed index and less than the old size minus one, either the element at i is null and the old element at i+1 is null, or the element at i is equal to the old element at i+1.</t>
  </si>
  <si>
    <t>If the index is valid (greater than or equal to 0 and less than the current size), then for every index from this index to the old size minus one, either both the current and the next old elements are null, or the current element equals the next old element.</t>
  </si>
  <si>
    <t>If the index is valid (greater than or equal to 0 and less than the current size of the vector), then for every position i greater than the index and less than the old size minus one, the element at position i in the vector after the operation is either null if the old element at position i+1 was null, or it equals the old element at position i+1.</t>
  </si>
  <si>
    <t>If the index is valid (greater than or equal to 0 and less than the current size of the vector), then for every position i from the index to the old size minus one, if the old value at position i+1 is null, the new value at position i is null; otherwise, the new value at position i equals the old value at position i+1.</t>
  </si>
  <si>
    <t>If the vector contained the specified element before removal, then the result is true.</t>
  </si>
  <si>
    <t>If the vector contained the specified element before the removal, then the result is true.</t>
  </si>
  <si>
    <t>If the vector contained the element before removal, the result is true</t>
  </si>
  <si>
    <t>If the element was initially present in the vector, then the result of the removal is true.</t>
  </si>
  <si>
    <t>If the element was in the vector before the operation, then the result is true.</t>
  </si>
  <si>
    <t>size of the vector is 0 after all elements are removed</t>
  </si>
  <si>
    <t>the size of the vector is 0 after all elements are removed</t>
  </si>
  <si>
    <t>The size of the vector is zero after all elements are removed.</t>
  </si>
  <si>
    <t>If the vector contained the element before the removal, then the result is true</t>
  </si>
  <si>
    <t>If the vector contained the element before the operation, the result is true</t>
  </si>
  <si>
    <t>If the vector contained the element before the operation, the result is true.</t>
  </si>
  <si>
    <t>If the vector initially contains the object, then the result of the removal operation is true.</t>
  </si>
  <si>
    <t>if the index is greater than or equal to 0 and less than the size of the vector, then the result is the same as the element at that index before the removal</t>
  </si>
  <si>
    <t>if the index is greater than or equal to 0 and less than the size of the vector, then the result is the same as the element at that index before the removal.</t>
  </si>
  <si>
    <t>If the index is non-negative and less than the size of the vector, then the result is equal to the element at that index before the removal.</t>
  </si>
  <si>
    <t>If the index is greater than or equal to 0 and less than the size of the vector, then the result is equal to the old value at that index.</t>
  </si>
  <si>
    <t>If the index is within the valid range, then for every index i less than the given index, the element at i remains unchanged if it was not null before the removal.</t>
  </si>
  <si>
    <t>if the index is within the valid range, then for every index i less than the given index, the element at i remains unchanged and is not null before and after the removal.</t>
  </si>
  <si>
    <t>If the index is non-negative and less than the size of the vector, then for every valid index less than the specified index, the element at that position should either be null if it was originally null, or remain unchanged.</t>
  </si>
  <si>
    <t>if the index is greater than or equal to 0 and less than the size of the vector, then for every element from 0 up to but not including the index, if the element was initially null it remains null, or it remains equal to its initial value.</t>
  </si>
  <si>
    <t>If the index is non-negative and less than the size of the vector, then for every valid index up to the specified index, the element at that position remains unchanged or is null if it was originally null.</t>
  </si>
  <si>
    <t>If the index is within the valid range, then for each index i greater than the removed index and less than the old size minus one, either both the current and old elements at index i are null, or the current element at index i is equal to the old element at index i+1.</t>
  </si>
  <si>
    <t>If the index is within the bounds of the vector, then for every index i greater than the given index and less than the old size minus one, either both the current and old elements at index i are null, or the current element at index i is equal to the old element at index i+1.</t>
  </si>
  <si>
    <t>If the index is valid (greater than or equal to 0 and less than the current size of the vector), then for every position i greater than the index and less than the previous size minus one, the element at position i in the vector after the operation is either null if the old element at position i+1 was null, or it equals the old element at position i+1.</t>
  </si>
  <si>
    <t>If the index is valid (greater than or equal to 0 and less than the current size), then for every position 'i' from the index to the previous size minus one, either the element at 'i' is null and the old element at 'i+1' was also null, or the element at 'i' is equal to the old element at 'i+1'.</t>
  </si>
  <si>
    <t>If the index is greater than or equal to 0 and less than the current size of the vector, then for every integer i such that i is greater than the index and less than the size of the vector before it was modified minus one, the element at position i in the vector after the operation is either null if the element at position i+1 before the operation was null, or equal to the element at position i+1 before the operation.</t>
  </si>
  <si>
    <t>if the index is within the valid range, the result is the old element at that index</t>
  </si>
  <si>
    <t>If the index is within the valid range, the result is the same as the element at that index before the operation.</t>
  </si>
  <si>
    <t>If the index is within the valid range, then for every index i less than the given index, the element at i either remains null or is unchanged.</t>
  </si>
  <si>
    <t>If the index is within the valid range, then for every index i less than the given index, the element at i either remains null or remains unchanged.</t>
  </si>
  <si>
    <t>if the index is within the valid range, then for every index i less than the given index, the element at i is either null and was null before or it remains unchanged.</t>
  </si>
  <si>
    <t>If the index is non-negative and less than the size of the vector, then for every valid index up to but not including the specified index, each element at these indices remains unchanged or continues to be null if it was initially null.</t>
  </si>
  <si>
    <t>If the index is non-negative and less than the size of the vector, then for every valid index from 0 up to (but not including) the specified index, each element at these indices remains unchanged or continues to be null if it was initially null.</t>
  </si>
  <si>
    <t>If the index is non-negative and less than the size of the vector, then for every valid index i from 0 up to, but not including, the specified index, the element at index i remains unchanged if it was initially non-null, or remains null if it was initially null.</t>
  </si>
  <si>
    <t>If the index is within the valid range, then for every index i greater than the given index and less than the size of the vector, either both the current and old values at index i are null, or the current value at index i is equal to its old value.</t>
  </si>
  <si>
    <t>If the index is within the valid range, then for every index i greater than the given index and less than the size of the vector, either both the current and old values at index i are null, or they are equal.</t>
  </si>
  <si>
    <t>if the index is within the valid range, then for every index i greater than the given index and less than the size of the vector, either both the current and old elements at index i are null, or they are equal.</t>
  </si>
  <si>
    <t>If the index is non-negative and less than the size of the vector, then for every index greater than the specified index and less than the size of the vector, the element at that position remains unchanged or continues to be null if it was originally null.</t>
  </si>
  <si>
    <t>if the index is non-negative and less than the size of this vector, then for every index greater than the specified index and less than the size of the vector, the element at that index remains unchanged or continues to be null if it was originally null.</t>
  </si>
  <si>
    <t>If the index is non-negative and less than the size of the vector, then for every index greater than the specified index and less than the size of the vector, the element at that index remains unchanged or continues to be null if it was null before.</t>
  </si>
  <si>
    <t>if the index is within the valid range, the result is the same as the element at that index before the operation</t>
  </si>
  <si>
    <t>if the index is within the valid range, then for every index i less than the given index, the element at i remains unchanged if it was not null before and after the operation.</t>
  </si>
  <si>
    <t>If the index is within the valid range, then for every index i less than the given index, the element at i is either null and was null before, or it remains unchanged.</t>
  </si>
  <si>
    <t>If the index is non-negative and less than the size of the vector, then for every valid index from 0 up to (but not including) the specified index, the element at that position remains unchanged if it was not null, or remains null if it was originally null.</t>
  </si>
  <si>
    <t>If the index is non-negative and less than the size of the vector, then for every valid index from 0 up to but not including the specified index, each element at these indices remains unchanged or continues to be null if it was initially null.</t>
  </si>
  <si>
    <t>If the index is non-negative and less than the size of the vector, then for every valid index up to but not including the specified index, each element either remains unchanged or continues to be null if it was initially null.</t>
  </si>
  <si>
    <t>if the index is within the bounds of the vector, then for every index i greater than the given index and less than the size of the vector, either both the current and old values at index i are null, or the current value at index i is equal to the old value at index i.</t>
  </si>
  <si>
    <t>If the index is within the valid range, then for every index i greater than the given index and less than the size of the vector, either both the current and old values at index i are null, or the current value at index i is equal to the old value at index i.</t>
  </si>
  <si>
    <t>If the index is within the bounds of the vector, then for every index i greater than the given index and less than the size of the vector, either both the current and old values at index i are null, or the current value at index i is equal to the old value at index i.</t>
  </si>
  <si>
    <t>If the index is valid (greater than or equal to 0 and less than the size of the vector), then for every position greater than the index and within the size of the vector, the element at that position is either null if it was null before, or remains unchanged.</t>
  </si>
  <si>
    <t>If the index is valid (non-negative and less than the size of the vector), then for every element from the position just after the index to the end of the vector, if the element was initially null it remains null, or else it remains unchanged.</t>
  </si>
  <si>
    <t>If the index is non-negative and less than the size of the vector, then for every index 'i' greater than the specified index and less than the size of the vector, the element at index 'i' is either null if it was null before the operation, or remains unchanged from its previous value.</t>
  </si>
  <si>
    <t>size of the vector is always greater than or equal to 0</t>
  </si>
  <si>
    <t>the number of components in the vector is always greater than or equal to 0</t>
  </si>
  <si>
    <t>The result, which is the number of components in the vector, is always greater than or equal to 0.</t>
  </si>
  <si>
    <t>the result array is not null</t>
  </si>
  <si>
    <t>The length of the resulting array is equal to the size of the vector.</t>
  </si>
  <si>
    <t>the length of the returned array is equal to the size of the vector</t>
  </si>
  <si>
    <t>the length of the resulting array is equal to the size of the vector</t>
  </si>
  <si>
    <t>The length of the returned array is equal to the size of the Vector.</t>
  </si>
  <si>
    <t>For each valid index i in the vector, the element at index i in the vector is either null and the corresponding element in the result array is also null, or the element at index i in the vector is equal to the corresponding element in the result array.</t>
  </si>
  <si>
    <t>For each valid index i in the vector, the element at index i in the vector is either null and the element at index i in the result array is also null, or the element at index i in the vector is equal to the element at index i in the result array.</t>
  </si>
  <si>
    <t>For every index from 0 to the size of the vector, if the element at that index is null, then the corresponding element in the returned array is also null; otherwise, the element in the returned array is equal to the element in the vector at that index.</t>
  </si>
  <si>
    <t>For every valid index i from 0 up to the size of the vector, if the element at index i in the vector is null then the element at index i in the resulting array is also null, otherwise the element in the vector at index i is equal to the element in the resulting array at index i.</t>
  </si>
  <si>
    <t>If the provided array is not null, then the result is not null.</t>
  </si>
  <si>
    <t>size of the list is 0 after construction</t>
  </si>
  <si>
    <t>If the collection is not null, then the size of the list after adding all elements from the collection is equal to the size of the collection.</t>
  </si>
  <si>
    <t>If the collection is not null, then the size of the list is equal to the size of the collection after adding all elements.</t>
  </si>
  <si>
    <t>If the input collection is not null, then the size of the list after adding all elements from the collection is equal to the size of the collection.</t>
  </si>
  <si>
    <t>If the collection 'c' is not null, then the size of this list is equal to the size of the collection 'c'.</t>
  </si>
  <si>
    <t>If the collection is not null, then for each valid index i in the list, the element at index i in the list is the same as the element at index i in the collection.</t>
  </si>
  <si>
    <t>If the collection is not null, then for each valid index i in the new list, the element at index i in the new list is the same as the element at index i in the collection.</t>
  </si>
  <si>
    <t>If the collection 'c' is not null, then for every valid index 'i' from 0 to the size of this list, the element at index 'i' in this list is the same as the element at index 'i' in collection 'c'.</t>
  </si>
  <si>
    <t>If the collection 'c' is not null, then for every valid index 'i' from 0 to the size of this list, the element at index 'i' in this list is the same as the element at index 'i' in the collection 'c'.</t>
  </si>
  <si>
    <t>if the collection is not null, then the list equals the collection after adding all elements</t>
  </si>
  <si>
    <t>if the collection is not null, then the linked list equals the collection after adding all elements</t>
  </si>
  <si>
    <t>If the collection is not null, then the list is equal to the collection after adding all its elements.</t>
  </si>
  <si>
    <t>The last element of the list is equal to the element added, considering null values appropriately</t>
  </si>
  <si>
    <t>The last element in the list is equal to the element added, considering null values appropriately</t>
  </si>
  <si>
    <t>The last element in the list is the same as the element just added, considering null values appropriately</t>
  </si>
  <si>
    <t>If the added element is null, then the last element of the list is also null; if the added element is not null, then it equals the last element of the list.</t>
  </si>
  <si>
    <t>If the added element is null, then the last element of the list is also null; otherwise, the last element of the list is equal to the added element.</t>
  </si>
  <si>
    <t>the result of adding an element is always true</t>
  </si>
  <si>
    <t>If the index is within the valid range (from 0 to the size of the list), then the list contains the element after insertion.</t>
  </si>
  <si>
    <t>If the index is greater than or equal to 0 and less than or equal to the size of the list, then the list contains the inserted element.</t>
  </si>
  <si>
    <t>If the index is within the valid range, then either the element is null and the element at the index is null, or the element at the index equals the inserted element.</t>
  </si>
  <si>
    <t>If the index is valid (between 0 and the size of the list, inclusive), then if the element is null, the element at that index in the list is also null, or the element at that index equals the specified element.</t>
  </si>
  <si>
    <t>If the index is valid (between 0 and the size of the list, inclusive), then if the element is null, the element at that index in the list is also null, or the element at that index is equal to the specified element.</t>
  </si>
  <si>
    <t>If the index is valid (between 0 and the size of the list, inclusive), then if the element is null, the element at that index in the list is also null, or the element at that index equals the inserted element.</t>
  </si>
  <si>
    <t>If the index is within the valid range, then for each index i less than the given index, the element at position i in the list either remains null or is unchanged.</t>
  </si>
  <si>
    <t>If the index is within the bounds of the list size, then for each index i less than the given index, the element at i is either null and was null before the operation, or it remains unchanged.</t>
  </si>
  <si>
    <t>If the index is within the bounds of the list, then for each index i less than the given index, the element at i is either null and was null before or it remains unchanged.</t>
  </si>
  <si>
    <t>If the index is between 0 and the size of the list inclusive, then for every valid index i less than the specified index, the element at position i in the list after the operation is either null if it was null before the operation, or remains unchanged.</t>
  </si>
  <si>
    <t>If the index is between 0 and the size of the list inclusive, then for every valid index i less than the specified index, the element at position i in the list should either be null if it was originally null, or remain unchanged compared to its original value.</t>
  </si>
  <si>
    <t>If the index is between 0 and the size of the list inclusive, then for every valid index before this index, the element at that position remains unchanged or continues to be null if it was initially null.</t>
  </si>
  <si>
    <t>If the index is within the valid range, then for each index i from the given index to the old size minus one, either both the current and old elements at i+1 are null, or the current element at i+1 equals the old element at i.</t>
  </si>
  <si>
    <t>If the index is within the bounds of the list, then for each valid index i from the insertion point to the old size minus one, either both the current and old elements at i+1 are null, or the current element at i+1 equals the old element at i.</t>
  </si>
  <si>
    <t>If the index is within the valid range, then for every index i from the given index to the old size minus one, either both the current and old elements at i+1 are null, or the current element at i+1 equals the old element at i.</t>
  </si>
  <si>
    <t>If the index is between 0 and the size of the list inclusive, then for every valid index from the specified index to the old size of the list, the element at the next position is either null if the old element at this position was null, or it equals the old element at this position.</t>
  </si>
  <si>
    <t>If the index is between 0 and the size of the list inclusive, then for every valid index from the specified index to the old size of the list, the element at the next position is either null and the old element at this index is null, or the element at the next position is equal to the old element at this index.</t>
  </si>
  <si>
    <t>If the index is between 0 and the size of the list inclusive, then for every valid index from the specified index to the old size of the list, the element at the next position is either null and the old element at this index was null, or it is equal to the old element at this index.</t>
  </si>
  <si>
    <t>The list contains the added element after the operation</t>
  </si>
  <si>
    <t>The first element of the list is either null if the added element is null, or it equals the added element if the added element is not null.</t>
  </si>
  <si>
    <t>The first element of the list is either null if the added element is null, or equals the added element if it is not null.</t>
  </si>
  <si>
    <t>If the element added is null, the first element of the list is also null; otherwise, the first element of the list is equal to the element added.</t>
  </si>
  <si>
    <t>The last element in the list is either null if the added element is null, or it equals the added element if the added element is not null.</t>
  </si>
  <si>
    <t>The last element added to the list is either null and the last element of the list is null, or the last element added is not null and is equal to the last element of the list.</t>
  </si>
  <si>
    <t>If the element added is null, then the last element in the list is null; otherwise, the last element in the list is equal to the element added.</t>
  </si>
  <si>
    <t>If the element added is null, then the last element of the list is null; otherwise, the last element of the list equals the element added.</t>
  </si>
  <si>
    <t>The list is empty after clearing.</t>
  </si>
  <si>
    <t>size of the list is 0 after clearing all elements</t>
  </si>
  <si>
    <t>the cloned list is a different object from the original list</t>
  </si>
  <si>
    <t>the cloned list is not the same object as the original list</t>
  </si>
  <si>
    <t>The result of cloning is a different object from the original list.</t>
  </si>
  <si>
    <t>The cloned list is equal to the original list.</t>
  </si>
  <si>
    <t>The returned object from the clone method is equal to the original LinkedList instance.</t>
  </si>
  <si>
    <t>the size of the cloned list is the same as the size of the original list</t>
  </si>
  <si>
    <t>The size of the cloned list is the same as the original list.</t>
  </si>
  <si>
    <t>The size of the cloned list is the same as the size of the original list.</t>
  </si>
  <si>
    <t>For each valid index i in the original list, the element at index i in the cloned list is the same as the element at index i in the original list.</t>
  </si>
  <si>
    <t>For every valid index in the list, the element at that index in the cloned list is the same as the element at that index in the original list.</t>
  </si>
  <si>
    <t>!this.isEmpty() =&gt; \result==null &amp;&amp; this.get(0)==null|| \result.equals(this.get(0))</t>
  </si>
  <si>
    <t>If the list is not empty, then the result is not null and equals the first element of the list</t>
  </si>
  <si>
    <t>If the list is not empty, then the result is equal to the first element of the list</t>
  </si>
  <si>
    <t>If the list is not empty, then the result is either null and the first element is null, or the result equals the first element of the list.</t>
  </si>
  <si>
    <t>If the list is not empty, then the result is either null and the first element is null, or the result is equal to the first element of the list.</t>
  </si>
  <si>
    <t>If the list is not empty, then the result is not null and equals the first element of the list.</t>
  </si>
  <si>
    <t>If the list is not empty, then the result is either null and the first element of the list is also null, or the result equals the first element of the list.</t>
  </si>
  <si>
    <t>If the list is not empty, then the result is either null and the first element of the list is null, or the result equals the first element of the list.</t>
  </si>
  <si>
    <t>!this.isEmpty() =&gt; \result==null || \result.equals(this.get(this.size()-1))</t>
  </si>
  <si>
    <t>if the list is not empty, then the result is either null or equals the last element of the list</t>
  </si>
  <si>
    <t>If the list is not empty, then the result is either null or equals the last element in the list.</t>
  </si>
  <si>
    <t>If the list is not empty, then the result is either null or equals the last element of the list.</t>
  </si>
  <si>
    <t>If the method returns an index not equal to -1 and the element at that index is null, then the input object must be null.</t>
  </si>
  <si>
    <t>If the result is not -1 and the element at the result index is not null, then the element at the result index equals the given object o.</t>
  </si>
  <si>
    <t>If the result is not -1 and the element at the result index is not null, then the element at the result index must be equal to the searched element.</t>
  </si>
  <si>
    <t>If the result is not -1, then for each index i from 0 to result-1, either the element at index i is null and o is not null, or the element at index i is not null and does not equal o.</t>
  </si>
  <si>
    <t>If the index of the first occurrence of the specified element is not -1, then for every index from 0 to one less than the result, the element at that index is either null and the specified element is not null, or the element at that index is not null and does not equal the specified element.</t>
  </si>
  <si>
    <t>If the result is not -1 and the element at the resulting index is not null, then the element at that index is equal to the specified element 'o'.</t>
  </si>
  <si>
    <t>If the result is not -1, then for every index i greater than the result and less than the size of the list, either the element at index i is null and o is not null, or the element at index i is not null and does not equal o.</t>
  </si>
  <si>
    <t>If the result is not -1, then for every index i greater than the result and less than the size of the list, either the element at index i is null and o is null, or the element at index i is not null and does not equal o.</t>
  </si>
  <si>
    <t>If the result is not -1, then for every index greater than the result and less than the size of the list, the element at that index is either null when the searched object is not null, or is not equal to the searched object when the element is not null.</t>
  </si>
  <si>
    <t>The last element in the list is either null if the added element is null, or equals the added element if it is not null.</t>
  </si>
  <si>
    <t>If the added element is null, then the last element in the list is also null; otherwise, the last element in the list is equal to the added element.</t>
  </si>
  <si>
    <t>If the added element is null, then the last element in the list is also null; if the added element is not null, then the last element in the list is equal to the added element.</t>
  </si>
  <si>
    <t>the result of adding the element is always true</t>
  </si>
  <si>
    <t>the result of adding an element to the list is always true</t>
  </si>
  <si>
    <t>the method always returns true.</t>
  </si>
  <si>
    <t>The result of adding an element as the tail is always true.</t>
  </si>
  <si>
    <t>the list contains the element e after adding it to the front</t>
  </si>
  <si>
    <t>the list contains the element that was added to the front</t>
  </si>
  <si>
    <t>The list contains the specified element after it is inserted at the front.</t>
  </si>
  <si>
    <t>If the element 'e' is null, the first element of the list is also null; if 'e' is not null, it is equal to the first element of the list.</t>
  </si>
  <si>
    <t>If the element is null, the first element of the list is also null; otherwise, the first element of the list is equal to the element.</t>
  </si>
  <si>
    <t>the result of adding the element at the front of the list is always true</t>
  </si>
  <si>
    <t>The result of the method is always true.</t>
  </si>
  <si>
    <t>the list contains the element that was just added to the end</t>
  </si>
  <si>
    <t>the list contains the element e after adding it to the end</t>
  </si>
  <si>
    <t>The list contains the inserted element after the operation.</t>
  </si>
  <si>
    <t>The list contains the specified element after it has been added to the end.</t>
  </si>
  <si>
    <t>The last element in the list is equal to the element added, considering null values appropriately.</t>
  </si>
  <si>
    <t>If the element to be inserted is null, then the last element of the list is also null after insertion; otherwise, the last element of the list is equal to the inserted element.</t>
  </si>
  <si>
    <t>If the inserted element is null, the last element of the list is also null; otherwise, the last element of the list is equal to the inserted element.</t>
  </si>
  <si>
    <t>the result of adding the element to the end of the list is true</t>
  </si>
  <si>
    <t>If the list is empty, then the result is null</t>
  </si>
  <si>
    <t>If the list is empty, then the result is null.</t>
  </si>
  <si>
    <t>If the list is not empty, then the result is either null and the first element of the list is null, or the result is equal to the first element of the list.</t>
  </si>
  <si>
    <t>If the list is not empty, then the result is either null or it equals the last element of the list.</t>
  </si>
  <si>
    <t>!this.isEmpty() =&gt; \result==null &amp;&amp; \old(this.get(0))==null|| \result.equals(\old(this.get(0)))</t>
  </si>
  <si>
    <t>If the list is not empty, then the result is equal to the first element of the list before the operation.</t>
  </si>
  <si>
    <t>If the list is not empty, the result is either the first element before removal or null, otherwise, the result is null and the first element before removal is also null</t>
  </si>
  <si>
    <t>If the list is not empty, then the result is either null and the first element was initially null, or the result equals the initial first element of the list.</t>
  </si>
  <si>
    <t>If the list is not empty, then the result is either null and the first element was null, or the result equals the first element of the list before the operation.</t>
  </si>
  <si>
    <t>If the list is not empty, then the result is either null and the first element was originally null, or the result is equal to the original first element of the list.</t>
  </si>
  <si>
    <t>If the list is empty, the result is null.</t>
  </si>
  <si>
    <t>If the list is not empty, then the result is either null and the first element before the operation was null, or the result equals the first element before the operation.</t>
  </si>
  <si>
    <t>If the list is not empty, the result is either the first element of the list before the operation or null, and the first element of the list before the operation is not null.</t>
  </si>
  <si>
    <t>If the list is not empty, then the result is either null and the first element was null, or the result equals the first element before the operation.</t>
  </si>
  <si>
    <t>If the list is not empty, then the result is either null and the first element was originally null, or the result equals the original first element of the list.</t>
  </si>
  <si>
    <t>If the list is not empty, then the result is either null and the first element of the list was null before the operation, or the result is equal to the first element of the list before the operation.</t>
  </si>
  <si>
    <t>If the list is empty, the result is null</t>
  </si>
  <si>
    <t>!this.isEmpty() =&gt; \result==null &amp;&amp; \old(this.get(\old(this.size()-1)))==null|| \result.equals(\old(this.get(\old(this.size()-1))))</t>
  </si>
  <si>
    <t>If the list is not empty, then the result is either null and the last element before the operation was null, or the result equals the last element before the operation.</t>
  </si>
  <si>
    <t>If the list is not empty, then the result is either null and the last element was null, or the result equals the last element before the operation.</t>
  </si>
  <si>
    <t>If the list is not empty, then the result is either null and the last element was null, or the result equals the last element of the list before the operation.</t>
  </si>
  <si>
    <t>If the list is not empty, then the result is either null and the last element was null, or the result is equal to the last element before the operation.</t>
  </si>
  <si>
    <t>If the list is not empty, then the result is either null and the last element of the list before the operation was null, or the result is equal to the last element of the list before the operation.</t>
  </si>
  <si>
    <t>If the list is not empty, then the result is either null and the first element was null before the operation, or the result is equal to the first element before the operation.</t>
  </si>
  <si>
    <t>the list contains the pushed element after the operation</t>
  </si>
  <si>
    <t>The first element of the list is either null if the pushed element is null, or equals the pushed element if it is not null.</t>
  </si>
  <si>
    <t>If the list is not empty, the result is equal to the first element of the list before the removal.</t>
  </si>
  <si>
    <t>If the list is not empty, the result is equal to the first element of the list before removal</t>
  </si>
  <si>
    <t>If the list is not empty, then the returned element is either null and was null before removal, or is equal to the first element of the list before the removal.</t>
  </si>
  <si>
    <t>If the list is not empty, then the result is either null if the first element was null, or it equals the first element of the list before the removal.</t>
  </si>
  <si>
    <t>If the list is not empty, then the returned value is either null and the first element of the list was null before removal, or it equals the first element of the list before removal.</t>
  </si>
  <si>
    <t>If the index is valid (greater than or equal to 0 and less than the size of the list), then the result is equal to the element at that index before the removal.</t>
  </si>
  <si>
    <t>If the index is non-negative and less than the size of the list, then the result is equal to the element at that index before the removal.</t>
  </si>
  <si>
    <t>If the index is valid (greater than or equal to 0 and less than the size of the list), then the result is equal to the element that was at that index before the operation.</t>
  </si>
  <si>
    <t>If the index is within the valid range, then for each index i less than the given index, the element at i remains unchanged if it is not null.</t>
  </si>
  <si>
    <t>If the index is within the valid range, then for each index i less than the given index, the element at i is either null and was null before or it remains unchanged.</t>
  </si>
  <si>
    <t>If the index is valid (greater than or equal to 0 and less than the size of the list), then for every element before the index, if the element was null before the operation, it remains null, or if it was not null, it remains equal to its previous value.</t>
  </si>
  <si>
    <t>If the index is valid (greater than or equal to 0 and less than the size of the list), then for every element before this index, if the element was null before, it remains null, or it remains equal to its previous value.</t>
  </si>
  <si>
    <t>If the index is valid (greater than or equal to 0 and less than the size of the list), then for every valid index before the specified index, if the element at that position was null before, it remains null, or it remains equal to its previous value.</t>
  </si>
  <si>
    <t>If the index is within the bounds of the list, then for each valid index i greater than the given index and less than the old size minus one, either the current element at index i is null and the old element at index i+1 is null, or the current element at index i is equal to the old element at index i+1.</t>
  </si>
  <si>
    <t>If the index is within the bounds of the list, then for each index i greater than the given index and less than the old size minus one, either the current element at index i is null and the old element at index i+1 is null, or the current element at index i is equal to the old element at index i+1.</t>
  </si>
  <si>
    <t>If the index is within the bounds of the list, then for each valid index i greater than the given index and less than the old size minus one, either the element at index i is null and the old element at index i+1 is null, or the element at index i is equal to the old element at index i+1.</t>
  </si>
  <si>
    <t>If the index is valid (greater than or equal to 0 and less than the size of the list), then for every index greater than the specified index and less than the previous size of the list minus one, the element at that index in the list after removal is either null if the old element at the next index was null, or it equals the old element at the next index.</t>
  </si>
  <si>
    <t>If the index is valid (greater than or equal to 0 and less than the size of the list), then for every position i greater than the index and less than the old size of the list minus one, either both the current and the old value at position i+1 are null, or the current value at position i equals the old value at position i+1.</t>
  </si>
  <si>
    <t>If the index is valid (greater than or equal to 0 and less than the size of the list), then for every position i greater than the index and less than the previous size of the list minus one, either both the current and the previous value at position i+1 are null, or the current value at position i equals the previous value at position i+1.</t>
  </si>
  <si>
    <t>If the list contained the element before removal, then the result is true</t>
  </si>
  <si>
    <t>If the list contained the specified element before the removal, the result is true.</t>
  </si>
  <si>
    <t>If the list contained the element before removal, the result is true</t>
  </si>
  <si>
    <t>If the list initially contained the element 'o', then the result of the removal operation is true.</t>
  </si>
  <si>
    <t>If the list originally contained the element 'o', then the result of the method is true.</t>
  </si>
  <si>
    <t>If the list is not empty, the result is equal to the first element of the list before the operation.</t>
  </si>
  <si>
    <t>If the list is not empty, then the result is either null and the first element was null, or the result is equal to the first element before the operation.</t>
  </si>
  <si>
    <t>If the list is not empty, then the result is either null and the first element was initially null, or the result is equal to the initial first element of the list.</t>
  </si>
  <si>
    <t>\result==\old(this.get(0))</t>
  </si>
  <si>
    <t>The result of removing the first element is the same as the first element before removal.</t>
  </si>
  <si>
    <t>The result is the same as the first element of the list before the removal.</t>
  </si>
  <si>
    <t>The result is equal to the first element of the list before the removal.</t>
  </si>
  <si>
    <t>The returned element is the same as the first element of the list before the method execution.</t>
  </si>
  <si>
    <t>\forall int i; 0&lt;=i &amp;&amp; i&lt;\old(this.size()-1); this.get(i)==null &amp;&amp; \old(this.get(i+1))==null || this.get(i).equals(\old(this.get(i+1)))</t>
  </si>
  <si>
    <t>For each valid index i before the removal, either both the element at index i and the element at index i+1 are null, or the element at index i is equal to the element at index i+1 after the removal.</t>
  </si>
  <si>
    <t>For each valid index i (between 0 and old size minus 2), either both the current and next elements are null, or the current element equals the old next element.</t>
  </si>
  <si>
    <t>For each valid index i before the removal, either both the element at i and the element at i+1 are null, or the element at i is equal to the element at i+1 after the removal.</t>
  </si>
  <si>
    <t>For every valid index from 0 to the old size minus one, if the element at that index in the list is null, then the next element in the old list was also null; otherwise, the element at that index is equal to the next element in the old list.</t>
  </si>
  <si>
    <t>For every valid index from 0 to the old size minus one, if the element at the current index is null and the next element in the old list was also null, or if the element at the current index is equal to the next element in the old list, then the assertion holds true.</t>
  </si>
  <si>
    <t>For every valid index i from 0 to the old size minus one, if the element at index i+1 in the old list was null, then the element at index i in the new list is null; otherwise, the element at index i in the new list is equal to the element at index i+1 in the old list.</t>
  </si>
  <si>
    <t>if the list contained the specified element before the operation, then the result is true</t>
  </si>
  <si>
    <t>if the list contained the element before the operation, then the result is true</t>
  </si>
  <si>
    <t>If the element was initially present in the list, then the result of the removal operation is true.</t>
  </si>
  <si>
    <t>If the list is not empty, the result is either null and the last element was null, or the result equals the last element before removal.</t>
  </si>
  <si>
    <t>If the list is not empty, then the result is equal to the last element of the list before removal</t>
  </si>
  <si>
    <t>If the list is not empty, then the result is either null and the last element before removal was null, or the result equals the last element before removal.</t>
  </si>
  <si>
    <t>If the list is not empty, then the result is either null and the previously last element was null, or the result is equal to the previously last element.</t>
  </si>
  <si>
    <t>If the list is not empty, then the result is either null and the last element of the list before the operation was null, or the result equals the last element of the list before the operation.</t>
  </si>
  <si>
    <t>\result==\old(this.get(this.size()-1))</t>
  </si>
  <si>
    <t>The result is the last element of the list before the removal.</t>
  </si>
  <si>
    <t>the returned element is the last element of the list before the modification</t>
  </si>
  <si>
    <t>The returned element is the same as the last element of the list before the method was called.</t>
  </si>
  <si>
    <t>The returned element is the same as the last element in the list before the method was executed.</t>
  </si>
  <si>
    <t>\forall int i; 0&lt;=i &amp;&amp; i&lt;\old(this.size()-1); this.get(i)==null &amp;&amp; \old(this.get(i))==null || this.get(i).equals(\old(this.get(i)))</t>
  </si>
  <si>
    <t>For each valid index i (between 0 and old size minus 1), the element at index i in the list is either null and was null before the operation, or it remains the same as before the operation.</t>
  </si>
  <si>
    <t>For each valid index i (between 0 and old size minus 1), the element at index i in the list is either both null or unchanged after removing the last element.</t>
  </si>
  <si>
    <t>For every valid index from 0 up to one less than the previous size of the list, if the element at that index was null before, it remains null, or if it was not null, it remains equal to its previous value.</t>
  </si>
  <si>
    <t>For every valid index from 0 to the old size minus one, if the element at that index was null before, it remains null, or if it was not null, it remains equal to its previous value.</t>
  </si>
  <si>
    <t>For every valid index from 0 to one less than the previous size of the list, if the element at that index was null before, it remains null, or if it was not null, it remains equal to its previous value.</t>
  </si>
  <si>
    <t>If the list contained the specified element before the operation, then the result is true</t>
  </si>
  <si>
    <t>If the list contained the specified element before the operation, then the result is true.</t>
  </si>
  <si>
    <t>If the list initially contains the element, then the result of the operation is true.</t>
  </si>
  <si>
    <t>If the index is within the valid range, the result of set is the element that was previously at the specified index.</t>
  </si>
  <si>
    <t>If the index is within the valid range, the result of set is the old value at that index.</t>
  </si>
  <si>
    <t>If the index is within the bounds of the list, then the result is the element that was previously at the specified index.</t>
  </si>
  <si>
    <t>If the index is valid (greater than or equal to 0 and less than the size of the list), then the result is equal to the old value at that index.</t>
  </si>
  <si>
    <t>If the index is within the valid range, then for each index i less than the given index, the element at position i remains unchanged.</t>
  </si>
  <si>
    <t>If the index is within the valid range, then for each index i less than the given index, the element at position i in the list remains unchanged.</t>
  </si>
  <si>
    <t>If the index is within the valid range, then for each index i less than the given index, the element at position i remains unchanged if it is not null.</t>
  </si>
  <si>
    <t>If the index is valid (greater than or equal to 0 and less than the size of the list), then for every index from 0 up to but not including the specified index, either both the current and the old value at that index are null, or the current value at that index is equal to the old value at that index.</t>
  </si>
  <si>
    <t>If the index is valid (non-negative and less than the size of the list), then for every index from 0 up to, but not including, the specified index, the element at that position remains unchanged or continues to be null if it was originally null.</t>
  </si>
  <si>
    <t>If the index is valid (greater than or equal to 0 and less than the size of the list), then for every index from 0 up to, but not including, the specified index, each element at these indices remains unchanged or continues to be null if it was initially null.</t>
  </si>
  <si>
    <t>If the index is within the bounds of the list, then for every index i greater than the given index and less than the size of the list, the element at index i is either null and was null before or it remains unchanged.</t>
  </si>
  <si>
    <t>If the index is within the bounds of the list, then for every index i greater than the given index and less than the size of the list, the element at i is either null and was null before the operation, or it remains unchanged.</t>
  </si>
  <si>
    <t>If the index is within the valid range, then for every index i greater than the given index and less than the size of the list, the element at index i remains unchanged if it is not null.</t>
  </si>
  <si>
    <t>If the index is valid (non-negative and less than the size of the list), then for every position greater than the index and within the list size, the element at that position remains unchanged or remains null if it was initially null.</t>
  </si>
  <si>
    <t>If the index is valid (non-negative and less than the size of the list), then for every position greater than the index and within the list size, the element at that position remains unchanged if it was initially null or remains equal to its previous value if it was not null.</t>
  </si>
  <si>
    <t>If the index is valid (non-negative and less than the size of the list), then for every position greater than the index and within the list size, the element at that position remains unchanged if it was initially null or remains equal to its previous value.</t>
  </si>
  <si>
    <t>the number of elements in the list is always greater than or equal to 0</t>
  </si>
  <si>
    <t>size of the list is always greater than or equal to 0</t>
  </si>
  <si>
    <t>The result array is not null</t>
  </si>
  <si>
    <t>the returned array is never null</t>
  </si>
  <si>
    <t>the length of the resulting array is equal to the size of the list</t>
  </si>
  <si>
    <t>For each valid index i in the list, the element at index i in the list is either null and the corresponding element in the result array is also null, or the element at index i in the list is equal to the corresponding element in the result array.</t>
  </si>
  <si>
    <t>For each valid index i in the list, the element at index i in the list is either null and the corresponding element in the result array is null, or the element at index i in the list is equal to the corresponding element in the result array.</t>
  </si>
  <si>
    <t>For every valid index in the list, if the element at that index is null, then the corresponding element in the returned array is also null; otherwise, the element in the returned array is equal to the element in the list at that index.</t>
  </si>
  <si>
    <t>For every valid index in the list, if the element at that index is null, then the corresponding element in the resulting array is also null; otherwise, the element in the resulting array is equal to the element in the list at that index.</t>
  </si>
  <si>
    <t>If the input array is not null, then the result array is not null</t>
  </si>
  <si>
    <t>the stack is empty when it is created</t>
  </si>
  <si>
    <t>The stack is empty when it is first created.</t>
  </si>
  <si>
    <t>stack is empty when it is created.</t>
  </si>
  <si>
    <t>stack is empty when it is created</t>
  </si>
  <si>
    <t>The size of the stack is 0 when it is created.</t>
  </si>
  <si>
    <t>The result is true if and only if the size of the stack is 0</t>
  </si>
  <si>
    <t>!this.empty() =&gt; \result==null &amp;&amp; this.get(this.size()-1)==null|| \result.equals(this.get(this.size()-1))</t>
  </si>
  <si>
    <t>if the stack is not empty, then the result is either null and the last element is null, or the result equals the last element of the stack</t>
  </si>
  <si>
    <t>If the stack is not empty, then the result is either null and the last element of the stack is null, or the result equals the last element of the stack.</t>
  </si>
  <si>
    <t>If the stack is not empty, then the result is either null and the last element of the stack is null, or the result is equal to the last element of the stack.</t>
  </si>
  <si>
    <t>if the stack is not empty, then the popped result is equal to the element that was at the top of the stack before popping</t>
  </si>
  <si>
    <t>If the stack is not empty, then the popped result is equal to the element that was at the top of the stack before popping.</t>
  </si>
  <si>
    <t>If the stack is not empty, then the result is either null and the last element in the stack is null, or the result is equal to the last element in the stack.</t>
  </si>
  <si>
    <t>If the stack is not empty, then the result of the pop operation is either null and the last element in the stack is null, or the result equals the last element in the stack.</t>
  </si>
  <si>
    <t>stack contains the pushed item after the operation</t>
  </si>
  <si>
    <t>The item pushed onto the stack is either null and the last element of the stack is also null, or the item is not null and is equal to the last element of the stack.</t>
  </si>
  <si>
    <t>If the pushed item is null, then the last item in the stack is also null; if the pushed item is not null, it equals the last item in the stack.</t>
  </si>
  <si>
    <t>If the pushed item is null, then the last item in the stack is also null; if the pushed item is not null, then it equals the last item in the stack.</t>
  </si>
  <si>
    <t>the set is empty after initialization</t>
  </si>
  <si>
    <t>The set is empty after it is created.</t>
  </si>
  <si>
    <t>the size of the set is 0 after initialization</t>
  </si>
  <si>
    <t>The size of the newly created set is 0</t>
  </si>
  <si>
    <t>The size of the set is 0 after initialization.</t>
  </si>
  <si>
    <t>if the collection is not null, then the size of this set is equal to the size of the collection</t>
  </si>
  <si>
    <t>if the collection is not null, then the size of the set is equal to the size of the collection</t>
  </si>
  <si>
    <t>If the collection is not null, then the size of the set is equal to the size of the collection.</t>
  </si>
  <si>
    <t>If the initial capacity is greater than or equal to 0, then the set is empty after construction.</t>
  </si>
  <si>
    <t>if the initial capacity is greater than or equal to 0, then the size of the set is 0</t>
  </si>
  <si>
    <t>If the initial capacity is greater than or equal to 0, then the size of the set is 0</t>
  </si>
  <si>
    <t>If the initial capacity is greater than or equal to zero and the load factor is greater than zero, then the set is empty.</t>
  </si>
  <si>
    <t>if the initial capacity is greater than or equal to 0 and the load factor is greater than 0, then the size of the set is 0</t>
  </si>
  <si>
    <t>If the initial capacity is greater than or equal to 0 and the load factor is greater than 0, then the size of the set is zero.</t>
  </si>
  <si>
    <t>the set contains the added element after the operation</t>
  </si>
  <si>
    <t>The set is empty after the clear operation.</t>
  </si>
  <si>
    <t>The size of the set is 0 after clearing all elements.</t>
  </si>
  <si>
    <t>the cloned set is not the same object as the original set</t>
  </si>
  <si>
    <t>the cloned set is equal to the original set</t>
  </si>
  <si>
    <t>the size of the cloned set is the same as the original set</t>
  </si>
  <si>
    <t>The result of cloning the set is never null.</t>
  </si>
  <si>
    <t>The result is true if and only if the size of the set is 0</t>
  </si>
  <si>
    <t>If the set contained the element before removal, then the result is true</t>
  </si>
  <si>
    <t>If the element was present in the set before the operation, then the result of the removal is true.</t>
  </si>
  <si>
    <t>the set does not contain the removed object after the operation</t>
  </si>
  <si>
    <t>the set does not contain the element after it is removed</t>
  </si>
  <si>
    <t>the set does not contain the specified element after the removal operation</t>
  </si>
  <si>
    <t>The newly created list is empty.</t>
  </si>
  <si>
    <t>The newly created list is empty</t>
  </si>
  <si>
    <t>The list is empty after its creation.</t>
  </si>
  <si>
    <t>The size of the newly created list is 0</t>
  </si>
  <si>
    <t>The size of the newly created AttributeList is 0</t>
  </si>
  <si>
    <t>if the provided list is not null, then the size of this list is equal to the size of the provided list</t>
  </si>
  <si>
    <t>If the list is not null, then the size of this list is equal to the size of the input list.</t>
  </si>
  <si>
    <t>if the provided list is not null, then for each valid index i in the new list, the element at index i is the same as the element at index i in the provided list.</t>
  </si>
  <si>
    <t>If the provided list is not null, then for each index i between 0 and the size of this list, the element at index i in this list is the same as the element at index i in the provided list.</t>
  </si>
  <si>
    <t>if the provided list is not null, then this list equals the provided list after construction</t>
  </si>
  <si>
    <t>if the provided list is not null, then this AttributeList equals the provided list</t>
  </si>
  <si>
    <t>if the provided list is not null, then the constructed AttributeList is equal to the provided list</t>
  </si>
  <si>
    <t>If the list is not null, then this list is equal to the supplied list.</t>
  </si>
  <si>
    <t>if the initial capacity is greater than or equal to 0, then the size of the list is 0</t>
  </si>
  <si>
    <t>The attribute list contains the added attribute after the operation</t>
  </si>
  <si>
    <t>The list contains the specified attribute after it has been added.</t>
  </si>
  <si>
    <t>The list contains the added attribute after the operation.</t>
  </si>
  <si>
    <t>The last element in the list is either null if the added attribute is null, or it equals the added attribute if the added attribute is not null.</t>
  </si>
  <si>
    <t>The last element added to the list is either null if the attribute is null, or it equals the attribute if the attribute is not null.</t>
  </si>
  <si>
    <t>If the added attribute is null, then the last attribute in the list is also null; otherwise, the last attribute in the list is equal to the added attribute.</t>
  </si>
  <si>
    <t>If the added attribute is null, then the last attribute in the list is also null; otherwise, the added attribute equals the last attribute in the list.</t>
  </si>
  <si>
    <t>index&gt;=0 &amp;&amp; index&lt;=this.size() =&gt; this.contains(attribute)</t>
  </si>
  <si>
    <t>If the index is between 0 and the size of the list, then the list contains the added attribute.</t>
  </si>
  <si>
    <t>if the index is between 0 and the size of the list, then the list contains the added attribute</t>
  </si>
  <si>
    <t>If the index is valid (between 0 and the size of the list inclusive), then the list contains the added attribute.</t>
  </si>
  <si>
    <t>If the index is valid (between 0 and the size of the list, inclusive), then the list contains the added attribute.</t>
  </si>
  <si>
    <t>index&gt;=0 &amp;&amp; index&lt;=this.size() =&gt; attribute==null&amp;&amp;this.get(index)==null||this.get(index).equals(attribute)</t>
  </si>
  <si>
    <t>If the index is within the valid range, then either the attribute is null and the element at the index is null, or the element at the index equals the attribute.</t>
  </si>
  <si>
    <t>if the index is between 0 and the size of the list, then either the attribute is null and the element at the index is null, or the element at the index equals the attribute</t>
  </si>
  <si>
    <t>If the index is valid (between 0 and the size of the list inclusive), then if the attribute is null, the attribute at that index is also null, or the attribute at that index equals the added attribute.</t>
  </si>
  <si>
    <t>If the index is valid (between 0 and the size of the list inclusive), then if the attribute is null, the attribute at that index is also null, or the attribute at that index equals the provided attribute.</t>
  </si>
  <si>
    <t>If the index is valid (between 0 and the size of the list inclusive), then either the attribute is null and the attribute at that index is also null, or the attribute at that index is equal to the specified attribute.</t>
  </si>
  <si>
    <t>If the index is within the valid range, then for each index i less than the given index, the element at i either remains unchanged or both the old and new elements at i are null.</t>
  </si>
  <si>
    <t>If the index is between 0 and the size of the list, then for every index i less than the given index, the element at i either remains null or is unchanged.</t>
  </si>
  <si>
    <t>if the index is between 0 and the size of the list, then for each index i less than the given index, the element at i is either null and was null before, or it remains unchanged.</t>
  </si>
  <si>
    <t>If the index is valid (between 0 and the size of the list inclusive), then for every valid index before the specified index, each element at that position remains unchanged or is null both before and after the operation.</t>
  </si>
  <si>
    <t>If the index is between 0 and the size of the list inclusive, then for every valid index i less than the specified index, either the element at i is null and was null before, or it remains unchanged from its previous state.</t>
  </si>
  <si>
    <t>If the index is valid (between 0 and the size of the list, inclusive), then for every index i from 0 to just before the specified index, the element at position i in the list remains unchanged or continues to be null after the operation.</t>
  </si>
  <si>
    <t>If the index is between 0 and the current size of the list, then for every index i from the given index to the old size minus one, the element at position i+1 is either null if both the old and new elements at position i were null, or it equals the old element at position i.</t>
  </si>
  <si>
    <t>If the index is within the valid range, then for each element from the index to the old size minus one, the element at the next position is either null if both the current and next positions were null, or it equals the element at the current position before the addition.</t>
  </si>
  <si>
    <t>If the index is within the valid range (from 0 to the size of the list), then for every position from the index to the old size of the list, the element at each position plus one is either both null or equal to the element at that position before the addition.</t>
  </si>
  <si>
    <t>If the index is valid (between 0 and the size of the list inclusive), then for every index from the specified index to the old size of the list, the element at the next position is either both null or equal to the element at the current position before the operation.</t>
  </si>
  <si>
    <t>If the index is valid (between 0 and the size of the list inclusive), then for every valid index from the specified index to the old size of the list, the element at the next position is either both null or equal to the element at the current position before the operation.</t>
  </si>
  <si>
    <t>If the index is within the valid range, the result of setting the attribute at the index is equal to the attribute that was previously at that index.</t>
  </si>
  <si>
    <t>If the index is valid, then the result of setting the attribute at that index is equal to the attribute that was previously at that index.</t>
  </si>
  <si>
    <t>If the index is valid (non-negative and less than the size of the list), then the result is the same as the old value at that index.</t>
  </si>
  <si>
    <t>if the index is valid, then for each index i less than the given index, the element at i remains unchanged if it was not null before and after the operation</t>
  </si>
  <si>
    <t>if the index is valid, then for each index i less than the given index, the element at i remains unchanged or both the old and new elements at i are null</t>
  </si>
  <si>
    <t>If the index is valid, then for each index i less than the given index, the element at i remains unchanged or both the old and new elements at i are null.</t>
  </si>
  <si>
    <t>if the index is valid (non-negative and less than the size of the list), then for every valid index i less than the specified index, either both the current and old values at i are null, or the current value at i equals the old value at i.</t>
  </si>
  <si>
    <t>If the index is valid (between 0 and the size of the list), then for every index from 0 up to but not including the specified index, either both the current and old values at that index are null, or the current value at that index is equal to its old value.</t>
  </si>
  <si>
    <t>If the index is valid (non-negative and less than the size of the list), then for every index from 0 up to but not including the specified index, each element at these indices remains unchanged or continues to be null if it was null before.</t>
  </si>
  <si>
    <t>if the index is valid, then for every index i greater than the given index and less than the size of the list, the element at i is either both null before and after the operation or remains unchanged.</t>
  </si>
  <si>
    <t>If the index is valid, then for every index i greater than the given index and less than the size of the list, the element at i is either both null before and after the operation or remains unchanged.</t>
  </si>
  <si>
    <t>if the index is valid, then for every index i greater than the given index and less than the size of the list, the element at i is either null and was null before or it remains unchanged.</t>
  </si>
  <si>
    <t>If the index is valid (between 0 and the size of the list), then for every position greater than the index up to the end of the list, either both the current and old values at that position are null, or the current value is equal to the old value.</t>
  </si>
  <si>
    <t>If the index is valid (greater than or equal to 0 and less than the size of the list), then for every position i greater than the index and less than the size of the list, the element at position i is either null and was null before, or remains unchanged from its previous state.</t>
  </si>
  <si>
    <t>If the index is valid (between 0 and the size of the list), then for every position after the index up to the end of the list, either both the current and old values at that position are null, or the current value at that position equals the old value at that position.</t>
  </si>
  <si>
    <t>The RoleList is empty after construction.</t>
  </si>
  <si>
    <t>The size of the RoleList is 0 after construction.</t>
  </si>
  <si>
    <t>If the initial capacity is greater than or equal to 0, then the size of the RoleList is 0</t>
  </si>
  <si>
    <t>If the provided list is not null, then the size of this RoleList is equal to the size of the provided list.</t>
  </si>
  <si>
    <t>if the list is not null, then the size of this RoleList is equal to the size of the provided list</t>
  </si>
  <si>
    <t>If the list is not null, then the size of this RoleList is equal to the size of the list provided.</t>
  </si>
  <si>
    <t>If the list is not null, then for each index i between 0 and the size of this RoleList, the element at index i in this RoleList is the same as the element at index i in the provided list.</t>
  </si>
  <si>
    <t>If the list is not null, then for every valid index i (from 0 to the size of this list), the element at index i in this list is the same as the element at index i in the original list.</t>
  </si>
  <si>
    <t>If the list is not null, then for every valid index in this RoleList, the element at that index is the same as the element at the corresponding index in the initial list.</t>
  </si>
  <si>
    <t>If the provided list is not null, then the constructed RoleList is equal to the provided list.</t>
  </si>
  <si>
    <t>if the list is not null, then the constructed RoleList is equal to the provided list</t>
  </si>
  <si>
    <t>If the list is not null, then this RoleList is equal to the list.</t>
  </si>
  <si>
    <t>If the index is within the valid range, then the element is contained in the list after the addition.</t>
  </si>
  <si>
    <t>If the index is within the valid range, then the added element is contained in the list.</t>
  </si>
  <si>
    <t>If the index is between 0 and the size of the list, inclusive, then the list contains the element after the operation.</t>
  </si>
  <si>
    <t>If the index is between 0 and the size of the list inclusive, then the list contains the element.</t>
  </si>
  <si>
    <t>if the index is within the bounds of the list, then the element at the index is either null and the newly added element is null, or the element at the index equals the newly added element</t>
  </si>
  <si>
    <t>If the index is within the valid range, then the element at the index is either null and the newly added element is null, or the element at the index equals the newly added element.</t>
  </si>
  <si>
    <t>If the index is valid (between 0 and the size of the list inclusive), then if the element is null, the element at that index in the list is also null, or the element at that index equals the inserted element.</t>
  </si>
  <si>
    <t>If the index is within the valid range, then for each element before the index, the element is either null and was null before, or it remains unchanged.</t>
  </si>
  <si>
    <t>If the index is within the valid range, then for every index i less than the given index, the element at i is either both null before and after the operation or remains unchanged.</t>
  </si>
  <si>
    <t>If the index is within the valid range, then for each element before the index, the element is either null and was null before or it remains unchanged.</t>
  </si>
  <si>
    <t>If the index is within the valid range (from 0 up to the size of the list), then for every element before the index, it either remains unchanged or continues to be null if it was null before.</t>
  </si>
  <si>
    <t>If the index is within the valid range (from 0 up to the size of the list), then for every element before the index, the element either remains unchanged or continues to be null if it was null before.</t>
  </si>
  <si>
    <t>If the index is within the valid range, then for every element before the index, the element either remains unchanged or was null and remains null.</t>
  </si>
  <si>
    <t>index&gt;=0 &amp;&amp; index&lt;=this.size() =&gt; \forall int i; index &lt;= i&amp;&amp;i &lt;\old(this)size(); this.get(i+1) == null&amp;&amp;\old(this).get(i) == null||this.get(i+1).equals(\old(this).get(i))</t>
  </si>
  <si>
    <t>If the index is within the bounds of the list, then for every element from the index to the old size minus one, the element at the next position is either null and the current element was null, or the element at the next position is equal to the current element in the old list.</t>
  </si>
  <si>
    <t>If the index is within the valid range, then for each element from the index to the old size minus one, the element at the next position is either null if both the current and next positions were null in the old list, or it equals the element at the current position in the old list.</t>
  </si>
  <si>
    <t>If the index is within the valid range, then for every index i from the given index to the old size minus one, the element at position i+1 is either null or equal to the element at position i in the old list.</t>
  </si>
  <si>
    <t>If the index is between 0 and the size of the list inclusive, then for every valid index from the specified index to the old size of the list, the element at the next position is either null if the old element at this index was null, or equal to the old element at this index.</t>
  </si>
  <si>
    <t>If the index is between 0 and the size of the list inclusive, then for every valid index from this index to the old size of the list, the element at the next position is either both null in the new and old list or is equal to the element at the current position in the old list.</t>
  </si>
  <si>
    <t>If the index is between 0 and the size of the list inclusive, then for every valid index from the specified index to the old size of the list, the element at the next position is either null if the old element at that position was null, or equal to the old element at that position.</t>
  </si>
  <si>
    <t>index&gt;=0 &amp;&amp; index&lt;=this.size() &amp;&amp; role!=null =&gt; this.contains(role)</t>
  </si>
  <si>
    <t>If the index is within bounds and the role is not null, then the role is contained in the list after the operation.</t>
  </si>
  <si>
    <t>If the index is between 0 and the size of the list and the role is not null, then the role is contained in the list after adding.</t>
  </si>
  <si>
    <t>If the index is within bounds and the role is not null, then the role is contained in the list after adding.</t>
  </si>
  <si>
    <t>If the index is non-negative, less than or equal to the size of the list, and the role is not null, then the list contains the role.</t>
  </si>
  <si>
    <t>If the index is between 0 and the size of the list inclusive, and the role is not null, then the list contains the role.</t>
  </si>
  <si>
    <t>index&gt;=0 &amp;&amp; index&lt;=this.size() &amp;&amp; role!=null =&gt; this.get(index).equals(role)</t>
  </si>
  <si>
    <t>If the index is between 0 and the size of the list, and the role is not null, then the element at the index in the list equals the role after adding.</t>
  </si>
  <si>
    <t>If the index is within bounds and the role is not null, then the role is set at the specified index in the list.</t>
  </si>
  <si>
    <t>If the index is between 0 and the size of the list (inclusive) and the role is not null, then the role is equal to the element at the specified index after insertion.</t>
  </si>
  <si>
    <t>If the index is between 0 and the size of the list inclusive, and the role is not null, then the role at the specified index must be equal to the inserted role.</t>
  </si>
  <si>
    <t>If the index is non-negative, less than or equal to the size of the list, and the role is not null, then the role at the specified index must be equal to the role that was inserted.</t>
  </si>
  <si>
    <t>If the index is between 0 and the size of the list inclusive, and the role is not null, then the role at the specified index must be the role that was inserted.</t>
  </si>
  <si>
    <t>index&gt;=0 &amp;&amp; index&lt;=this.size() &amp;&amp; role!=null =&gt; \forall int i; 0 &lt;= i&amp;&amp;i &lt; index; this.get(i)==null &amp;&amp; \old(this.get(i))==null || this.get(i).equals(\old(this.get(i)))</t>
  </si>
  <si>
    <t>If the index is within bounds and the role is not null, then for each element before the index, the element remains unchanged if it was not null before the operation.</t>
  </si>
  <si>
    <t>If the index is within bounds and the role is not null, then for each index i less than the given index, the element at i remains unchanged if it was not null before the operation.</t>
  </si>
  <si>
    <t>If the index is valid, non-negative, and not greater than the size of the list, and the role is not null, then for every position from 0 up to, but not including, the index, the element at that position remains unchanged or continues to be null after the insertion.</t>
  </si>
  <si>
    <t>If the index is valid (between 0 and the size of the list inclusive) and the role is not null, then for every index i from 0 up to but not including the specified index, either the element at i is null and was null before, or it remains unchanged from its previous value.</t>
  </si>
  <si>
    <t>If the index is valid (between 0 and the size of the list inclusive) and the role is not null, then for every valid index up to the specified index, either the element at that position is null and was null before, or it remains unchanged from its previous state.</t>
  </si>
  <si>
    <t>index&gt;=0 &amp;&amp; index&lt;=this.size() &amp;&amp; role!=null =&gt; \forall int i; index &lt;= i&amp;&amp;i &lt;\old(this)size(); this.get(i+1) == null&amp;&amp;\old(this).get(i) == null||this.get(i+1).equals(\old(this).get(i))</t>
  </si>
  <si>
    <t>If the index is within bounds and the role is not null, then for each index i from the given index to the old size minus one, the element at position i+1 is either null or equal to the element at position i in the old list.</t>
  </si>
  <si>
    <t>If the index is within bounds and the role is not null, then for each index i from the given index to the old size minus one, the element at i+1 is either null or equal to the element at i in the old list.</t>
  </si>
  <si>
    <t>If the index is within bounds and the role is not null, then for each index i from the given index to the old size minus one, the element at i+1 is either null and the old element at i is null, or the element at i+1 equals the old element at i.</t>
  </si>
  <si>
    <t>If the index is between 0 and the size of the list inclusive, and the role is not null, then for every valid index from the insertion point to the old size of the list, the element at the next position is either null if the old element was null or equals the old element at that position.</t>
  </si>
  <si>
    <t>If the index is valid (between 0 and the size of the list inclusive) and the role is not null, then for every valid index from the insertion point to the old size of the list, the element at the next position is either null if the old element at this index was null, or it equals the old element at this index.</t>
  </si>
  <si>
    <t>If the index is valid (between 0 and the size of the list inclusive) and the role is not null, then for every valid index from the insertion point to the old size of the list, the element at each subsequent index in the updated list is either null if the corresponding old element was null, or equal to the old element at that index.</t>
  </si>
  <si>
    <t>The added object is contained in the RoleList after the operation.</t>
  </si>
  <si>
    <t>The added object is contained in the list after the operation</t>
  </si>
  <si>
    <t>The list contains the added object after the operation</t>
  </si>
  <si>
    <t>The last element added to the list is either null if the added object is null, or it equals the added object if the added object is not null.</t>
  </si>
  <si>
    <t>The last element added to the list is either null if the added object is null, or it equals the added object if it is not null.</t>
  </si>
  <si>
    <t>if o is null, then the last element in the list is also null; if o is not null, then it equals the last element in the list.</t>
  </si>
  <si>
    <t>If the object is null, then the last element in the list is also null; if the object is not null, then it equals the last element in the list.</t>
  </si>
  <si>
    <t>The result of adding an object to the list is always true</t>
  </si>
  <si>
    <t>The result of the add operation is always true.</t>
  </si>
  <si>
    <t>if the role is not null, then the role is contained in the list after adding it</t>
  </si>
  <si>
    <t>If the role is not null, then the role is contained in the list after adding.</t>
  </si>
  <si>
    <t>If the role is not null, then the list contains the role after it has been added.</t>
  </si>
  <si>
    <t>If the role is not null, then the list contains the role after it is added.</t>
  </si>
  <si>
    <t>If the role is not null, then it equals the last element in the list after adding.</t>
  </si>
  <si>
    <t>If the index is within the bounds of the list, then the result of setting an element at that index is the element that was previously at that index.</t>
  </si>
  <si>
    <t>If the index is non-negative and less than the size of the list, then the result is equal to the element at that index before the operation.</t>
  </si>
  <si>
    <t>If the index is non-negative and less than the size of the list, then the result is the same as the old value at that index.</t>
  </si>
  <si>
    <t>If the index is within the bounds of the list, then for every index i less than the given index, the element at i is either both null before and after the operation or remains unchanged.</t>
  </si>
  <si>
    <t>If the index is within the bounds of the list, then for each index i less than the given index, the element at i is either both null before and after the operation or remains unchanged.</t>
  </si>
  <si>
    <t>If the index is within the valid range of the list, then for every index i less than the specified index, the element at i remains the same as before the operation if it was not null, or remains null if it was null before the operation.</t>
  </si>
  <si>
    <t>If the index is within the valid range of the list, then for every index i less than the specified index, the element at i remains unchanged or continues to be null if it was null before the operation.</t>
  </si>
  <si>
    <t>index&gt;=0 &amp;&amp; index&lt;this.size() =&gt; \forall int i; index&lt;i &amp;&amp; i&lt;this.size(); this.get(i)==null &amp;&amp; \old(this).get(i)==null || this.get(i).equals(\old(this).get(i))</t>
  </si>
  <si>
    <t>If the index is within the bounds of the list, then for every index i greater than the given index and less than the size of the list, either both the current and old elements at index i are null, or the current element at index i is equal to the old element at index i.</t>
  </si>
  <si>
    <t>index&gt;=0 &amp;&amp; index&lt;this.size() &amp;&amp; role!=null =&gt; \result==\old(this.get(index))</t>
  </si>
  <si>
    <t>If the index is within bounds and the role is not null, then the result of setting the role at the index is equal to the element that was previously at that index.</t>
  </si>
  <si>
    <t>If the index is within bounds and the role is not null, then the result of setting the role is the same as the element previously at that index.</t>
  </si>
  <si>
    <t>If the index is within valid range (greater than or equal to 0 and less than the size of the list) and the role is not null, then the result is the same as the old value at that index.</t>
  </si>
  <si>
    <t>if the index is non-negative, within the current size of the list, and the role is not null, then the result is the same as the old value at that index.</t>
  </si>
  <si>
    <t>index&gt;=0 &amp;&amp; index&lt;size() &amp;&amp; role!=null =&gt; \forall int i; 0&lt;=i &amp;&amp; i&lt;index; this.get(i)==null &amp;&amp; \old(this).get(i)==null || this.get(i).equals(\old(this).get(i))</t>
  </si>
  <si>
    <t>If the index is within bounds and the role is not null, then for each index i less than the given index, the element at i remains unchanged.</t>
  </si>
  <si>
    <t>If the index is within bounds and the role is not null, then for every index i less than the given index, the element at i remains unchanged if it was not null before the operation.</t>
  </si>
  <si>
    <t>If the index is within bounds and the role is not null, then for every index i less than the given index, the element at i remains unchanged from its previous state.</t>
  </si>
  <si>
    <t>index&gt;=0 &amp;&amp; index&lt;this.size() &amp;&amp; role!=null =&gt; \forall int i; index&lt;i &amp;&amp; i&lt;this.size(); this.get(i)==null &amp;&amp; \old(this.get(i))==null || this.get(i).equals(\old(this.get(i)))</t>
  </si>
  <si>
    <t>If the index is within bounds and the role is not null, then for every index i greater than the given index and less than the size of the list, the element at i is either both null before and after the operation or remains unchanged.</t>
  </si>
  <si>
    <t>If the index is valid, non-negative, within the size of the list, and the role is not null, then for every position greater than the index up to the end of the list, either the element at that position remains null if it was originally null, or it remains unchanged.</t>
  </si>
  <si>
    <t>If the index is valid, within the list's bounds, and the role is not null, then for every position greater than the index and within the list's size, the element at that position remains unchanged or is null if it was null before.</t>
  </si>
  <si>
    <t>The RoleUnresolvedList is empty immediately after its creation.</t>
  </si>
  <si>
    <t>The size of the RoleUnresolvedList is 0 after construction.</t>
  </si>
  <si>
    <t>The size of the newly created RoleUnresolvedList is 0.</t>
  </si>
  <si>
    <t>If the initial capacity is greater than or equal to 0, then the list is empty after construction.</t>
  </si>
  <si>
    <t>If the provided list is not null, then the size of the constructed RoleUnresolvedList is equal to the size of the provided list.</t>
  </si>
  <si>
    <t>if the list is not null, then the size of this list is equal to the size of the provided list</t>
  </si>
  <si>
    <t>if the list is not null, then the size of this RoleUnresolvedList is equal to the size of the provided list</t>
  </si>
  <si>
    <t>If the list is not null, then the size of this RoleUnresolvedList is equal to the size of the list.</t>
  </si>
  <si>
    <t>If the list is not null, then for each index i between 0 and the size of this list, the element at index i in this list is the same as the element at index i in the provided list.</t>
  </si>
  <si>
    <t>If the list is not null, then for every valid index in this list, the element at that index is the same as the element at the corresponding index in the original list.</t>
  </si>
  <si>
    <t>if the list is not null, then for every valid index i (from 0 up to the size of this list), the element at index i in this list is the same as the element at index i in the input list.</t>
  </si>
  <si>
    <t>if the list is not null, then this RoleUnresolvedList equals the list</t>
  </si>
  <si>
    <t>if the list is not null, then this RoleUnresolvedList equals the provided list</t>
  </si>
  <si>
    <t>if the list is not null, then the constructed RoleUnresolvedList is equal to the provided list</t>
  </si>
  <si>
    <t>If the list is not null, then this RoleUnresolvedList is equal to the list.</t>
  </si>
  <si>
    <t>If the index is within the valid range (from 0 to the size of the list), then the element is contained in the list after the addition.</t>
  </si>
  <si>
    <t>If the index is between 0 and the size of the list, inclusive, then the list contains the element.</t>
  </si>
  <si>
    <t>if the index is within the valid range, then the element at the index is either null and the newly added element is null, or the element at the index equals the newly added element</t>
  </si>
  <si>
    <t>If the index is between 0 and the size of the list inclusive, then if the element is null, the element at that index in the list must also be null, or the element at that index must be equal to the element being added.</t>
  </si>
  <si>
    <t>If the index is valid (between 0 and the size of the list, inclusive), then if the element is null, the element at that index in the list should also be null, or it should be equal to the element added at that index.</t>
  </si>
  <si>
    <t>If the index is between 0 and the size of the list, inclusive, then if the element is null, the element at that index in the list is also null, or the element at that index is equal to the provided element.</t>
  </si>
  <si>
    <t>If the index is within the valid range, then for each index i less than the given index, the element at position i is either null and was null before, or it remains unchanged.</t>
  </si>
  <si>
    <t>If the index is between 0 and the size of the list inclusive, then for every valid index up to the specified index, each element is either null and was null before, or remains unchanged from its previous state.</t>
  </si>
  <si>
    <t>If the index is between 0 and the size of the list inclusive, then for every valid index i less than the specified index, each element at index i in the list is either null and was null before, or remains unchanged from its previous state.</t>
  </si>
  <si>
    <t>If the index is between 0 and the size of the list inclusive, then for every valid index less than the specified index, each element at that index is either null and was null before, or remains unchanged from its previous state.</t>
  </si>
  <si>
    <t>If the index is within the valid range, then for each element from the index to the old size minus one, the element at the next position is either null and the current element is null, or the element at the next position is equal to the current element.</t>
  </si>
  <si>
    <t>If the index is within the valid range, then for each element from the index to the old size minus one, the element at position i+1 is either null and the element at position i was null, or the element at position i+1 is equal to the element at position i before the addition.</t>
  </si>
  <si>
    <t>If the index is within the valid range, then for each element from the index to the old size minus one, the element at the next position is either null and the current element is null, or the element at the next position equals the current element.</t>
  </si>
  <si>
    <t>If the index is within the valid range, then for every element from the index to the old size minus one, the element at the next position is either null and the current element is null, or the element at the next position is equal to the current element.</t>
  </si>
  <si>
    <t>If the index is between 0 and the size of the list (inclusive) and the role is not null, then the list contains the role after the operation.</t>
  </si>
  <si>
    <t>If the index is within the valid range (from 0 to the size of the list inclusive) and the role is not null, then the role is contained in the list after it is added.</t>
  </si>
  <si>
    <t>If the index is within the valid range (from 0 to the size of the list) and the role is not null, then the role is contained in the list after it is added.</t>
  </si>
  <si>
    <t>If the index is within bounds and the role is not null, then the element at the specified index is equal to the role added.</t>
  </si>
  <si>
    <t>If the index is within the valid range and the role is not null, then the element at the specified index in the list equals the added role.</t>
  </si>
  <si>
    <t>If the index is between 0 and the size of the list inclusive, and the role is not null, then the element at that index is equal to the role.</t>
  </si>
  <si>
    <t>If the index is valid (between 0 and the size of the list inclusive) and the role is not null, then the role at the specified index is equal to the role just added.</t>
  </si>
  <si>
    <t>If the index is non-negative, less than or equal to the size of the list, and the role is not null, then the role at the specified index in the list is equal to the role just inserted.</t>
  </si>
  <si>
    <t>If the index is within valid range (0 to size of the list), and the role is not null, then for every valid index less than the specified index, either the element at that index is null and was null before, or it remains unchanged from its previous state.</t>
  </si>
  <si>
    <t>If the index is between 0 and the size of the list inclusive, and the role is not null, then for every index i from 0 up to but not including the specified index, the element at position i in the list after insertion is either still null if it was null before, or remains unchanged if it was not null.</t>
  </si>
  <si>
    <t>If the index is between 0 and the size of the list inclusive, and the role is not null, then for every valid index before the specified index, either the element at that index is null and was null before, or it remains unchanged from its previous value.</t>
  </si>
  <si>
    <t>index&gt;=0 &amp;&amp; index&lt;=this.size() &amp;&amp; role!=null =&gt; \forall int i; index &lt;= i&amp;&amp;i &lt;\old(this.size()); this.get(i+1) == null&amp;&amp;\old(this.get(i)) == null||this.get(i+1).equals(\old(this.get(i)))</t>
  </si>
  <si>
    <t>If the index is within bounds and the role is not null, then for each index i from the given index to the old size minus one, the element at i+1 is either null and the element at i was null, or the element at i+1 is equal to the element at i before the addition.</t>
  </si>
  <si>
    <t>If the index is within bounds and the role is not null, then for each index i from the given index to the old size minus one, the element at i+1 is either null and the element at i was null, or the element at i+1 equals the element at i before the addition.</t>
  </si>
  <si>
    <t>If the index is within bounds and the role is not null, then for each index i from the given index to the old size minus one, the element at position i+1 is either null and the old element at position i is null, or the element at position i+1 equals the old element at position i.</t>
  </si>
  <si>
    <t>If the index is within valid range (0 to size inclusive) and the role is not null, then for every position from the index to the old size of the list, the element at the next position is either null and the old element at that position was null, or it is equal to the old element at that position.</t>
  </si>
  <si>
    <t>If the index is within valid range (0 to size of the list), and the role is not null, then for every position from the index to the old size of the list, the element at the next position is either null and the old element at this position was null, or the element at the next position is equal to the old element at this position.</t>
  </si>
  <si>
    <t>If the index is non-negative, less than or equal to the size of the list, and the role is not null, then for every valid index from the insertion point to the old size of the list, the element at the next position is either null and the old element at this index was null, or it is equal to the old element at this index.</t>
  </si>
  <si>
    <t>the list contains the object after the add operation</t>
  </si>
  <si>
    <t>The last element added to the list is either null or equal to the provided object o</t>
  </si>
  <si>
    <t>if the added object is null, then the last element in the list is also null; otherwise, the added object equals the last element in the list.</t>
  </si>
  <si>
    <t>if the object is null, then the last element in the list is also null; otherwise, the object equals the last element in the list.</t>
  </si>
  <si>
    <t>If the role is not null, then it is contained in the list.</t>
  </si>
  <si>
    <t>If the role is not null, it equals the last element in the list after adding.</t>
  </si>
  <si>
    <t>if the role is not null, then the role equals the last element in the list</t>
  </si>
  <si>
    <t>If the role is not null, then it equals the last element in the list.</t>
  </si>
  <si>
    <t>If the index is within the bounds of the list, then the result of setting an element at that index is equal to the element that was previously at that index.</t>
  </si>
  <si>
    <t>If the index is valid (greater than or equal to 0 and less than the size of the list), then the result is the same as the old value at that index.</t>
  </si>
  <si>
    <t>If the index is within the valid range, then for each index i less than the given index, the element at i is either both null before and after the operation or remains unchanged.</t>
  </si>
  <si>
    <t>If the index is within the bounds of the list, then for every index i greater than the given index and less than the size of the list, the element at i is either both null before and after the operation or remains unchanged.</t>
  </si>
  <si>
    <t>If the index is within the bounds of the list, then for every element after the index, the element is either both null before and after the operation or remains unchanged.</t>
  </si>
  <si>
    <t>If the index is valid (greater than or equal to 0 and less than the size of the list), then for every position greater than the index and within the list size, the element at that position is either unchanged or continues to be null if it was null before.</t>
  </si>
  <si>
    <t>if the index is valid (greater than or equal to 0 and less than the size of the list), then for every position greater than the index and within the list size, the element at that position is either null and was null before, or remains unchanged from its previous state.</t>
  </si>
  <si>
    <t>if the index is valid (greater than or equal to 0 and less than the size of the list), then for every position greater than the index and less than the size of the list, the element at that position remains unchanged or continues to be null if it was null before.</t>
  </si>
  <si>
    <t>If the index is within bounds and the role is not null, then the result of setting the element is equal to the element that was previously at that index.</t>
  </si>
  <si>
    <t>If the index is within bounds and the role is not null, then the result of setting the element is the same as the element previously at that index.</t>
  </si>
  <si>
    <t>If the index is within bounds and the role is not null, then the result of setting the element is equal to the element previously at that index.</t>
  </si>
  <si>
    <t>If the index is non-negative, less than the size of the list, and the role is not null, then the result is the same as the old value at that index.</t>
  </si>
  <si>
    <t>If the index is valid, within the list's range, and the role is not null, then the result is the same as the previous element at that index.</t>
  </si>
  <si>
    <t>index&gt;=0 &amp;&amp; index&lt;size() &amp;&amp; role!=null =&gt; \forall int i; 0&lt;=i &amp;&amp; i&lt;index; this.get(i)==null &amp;&amp; \old(this.get(i))==null || this.get(i).equals(\old(this.get(i)))</t>
  </si>
  <si>
    <t>If the index is within valid range and the role is not null, then for every index i less than the specified index, the element at i remains unchanged if it was not null before the operation.</t>
  </si>
  <si>
    <t>If the index is within bounds and the role is not null, then for each index i greater than the given index and less than the size of the list, the element at i is either null and was null before, or it remains unchanged.</t>
  </si>
  <si>
    <t>If the index is within bounds and the role is not null, then for each index i greater than the given index and less than the size of the list, the element at i is either both null before and after the operation or remains unchanged.</t>
  </si>
  <si>
    <t>If the index is within valid range (greater than or equal to 0 and less than the size of the list) and the role is not null, then for every position greater than the index and within the list size, the element at that position remains unchanged or continues to be null if it was originally null.</t>
  </si>
  <si>
    <t>If the index is valid, within the list's bounds, and the role is not null, then for every position greater than the index up to the end of the list, either the element at that position is null and was null before, or it remains unchanged from its previous state.</t>
  </si>
  <si>
    <t>If the index is valid, non-negative, less than the size of the list, and the role is not null, then for every position greater than the index up to the end of the list, either the element at that position is null and was null before, or it remains unchanged from its previous state.</t>
  </si>
  <si>
    <t>the size of the priority queue is 0 after initialization</t>
  </si>
  <si>
    <t>The size of the priority queue is zero when it is created.</t>
  </si>
  <si>
    <t>if the initial capacity is greater than or equal to 1, then the size of the priority queue is 0</t>
  </si>
  <si>
    <t>If the initial capacity is greater than or equal to 1, then the size of the priority queue is zero.</t>
  </si>
  <si>
    <t>if the collection is not null, then the size of the priority queue is equal to the size of the collection</t>
  </si>
  <si>
    <t>If the collection 'c' is not null, then the size of this priority queue equals the size of 'c'.</t>
  </si>
  <si>
    <t>if the collection is not null, then for each element in the collection, this priority queue contains that element after initialization.</t>
  </si>
  <si>
    <t>if the collection is not null, then for each element in the collection, this priority queue contains that element</t>
  </si>
  <si>
    <t>the size of the priority queue is 0 after clearing</t>
  </si>
  <si>
    <t>size of the priority queue is 0 after clearing</t>
  </si>
  <si>
    <t>if the element is not null, then the size of the priority queue increases by 1</t>
  </si>
  <si>
    <t>If the element is not null, then the size of the priority queue increases by 1 after adding the element.</t>
  </si>
  <si>
    <t>If the element is not null, then the size of the queue increases by one compared to its previous size.</t>
  </si>
  <si>
    <t>If the element is not null, then the size of the priority queue after the operation is one more than its size before the operation.</t>
  </si>
  <si>
    <t>if the element is not null, then the priority queue contains the element after the operation</t>
  </si>
  <si>
    <t>if the element is not null, then for each valid index before adding the element, the priority queue contains the element at that index</t>
  </si>
  <si>
    <t>if the element is not null, then for each valid index before adding the element, the element at that index is still contained in the queue after adding the element.</t>
  </si>
  <si>
    <t>e!=null =&gt; this.peek().compareTo(\old(this.peek()))&lt;=0</t>
  </si>
  <si>
    <t>if the element is not null, then the element added does not decrease the priority of the head of the queue</t>
  </si>
  <si>
    <t>if the size of the queue is greater than 0, then the result is not null</t>
  </si>
  <si>
    <t>If the size of the queue is greater than 0, then the result is not null</t>
  </si>
  <si>
    <t>this.size()&gt;0 =&gt; \forall int i; 0&lt;=i &amp;&amp; i&lt;this.size(); \result.compareTo(this.get(i))&lt;=0</t>
  </si>
  <si>
    <t>if the size of the queue is greater than 0, then the element at the head of the queue is less than or equal to every other element in the queue</t>
  </si>
  <si>
    <t>If the size of the queue is greater than zero, then for every valid index in the queue, the element at the head of the queue is less than or equal to all other elements in the queue.</t>
  </si>
  <si>
    <t>If the queue is not empty, the element returned by peek is less than or equal to every element in the queue.</t>
  </si>
  <si>
    <t>If the size of the queue is 0, then the result is null</t>
  </si>
  <si>
    <t>if the size of the queue is 0, then the result is null</t>
  </si>
  <si>
    <t>The result of poll is the same as the element that was at the head of the queue before the operation.</t>
  </si>
  <si>
    <t>The result of the method is equal to the value at the head of the queue before the method is executed.</t>
  </si>
  <si>
    <t>The returned value is equal to the value at the head of the queue before the operation.</t>
  </si>
  <si>
    <t>If the size of the priority queue was 0 before the operation, then the result is null</t>
  </si>
  <si>
    <t>If the size of the priority queue was greater than 0 before the operation, then the size of the priority queue is now one less than it was before the operation.</t>
  </si>
  <si>
    <t>if the size of the queue was greater than 0 before polling, then the size of the queue is now one less than before polling</t>
  </si>
  <si>
    <t>If the size of the priority queue was greater than 0 before the operation, then the size of the priority queue is now one less than before the operation.</t>
  </si>
  <si>
    <t>If the size of the queue was greater than 0 before the operation, then the size of the queue after the operation is exactly one less than before.</t>
  </si>
  <si>
    <t>this.size()&gt;0 =&gt; this.peek().compareTo(\old(this.peek()))&gt;=0</t>
  </si>
  <si>
    <t>If the size of the queue is greater than 0 after polling, the new head element is greater than or equal to the old head element.</t>
  </si>
  <si>
    <t>If the size of the priority queue is greater than 0, then the element at the head of the queue after polling is greater than or equal to the element that was at the head before polling.</t>
  </si>
  <si>
    <t>if the size of the priority queue is greater than 0, then the element at the head of the queue after polling is greater than or equal to the element that was at the head before polling</t>
  </si>
  <si>
    <t>If the size of the queue is greater than zero, then the element at the head of the queue after the operation is greater than or equal to the element that was at the head before the operation.</t>
  </si>
  <si>
    <t>if the element was not in the queue before removal, then the result is false</t>
  </si>
  <si>
    <t>if the element was not in the queue before the removal, then the result is false</t>
  </si>
  <si>
    <t>If the element was in the queue before the removal, then the result is true</t>
  </si>
  <si>
    <t>If the element was in the queue before the removal, the result is true</t>
  </si>
  <si>
    <t>If the element was in the queue before removal, the result is true</t>
  </si>
  <si>
    <t>If the element was initially present in the queue, then the result of the removal is true.</t>
  </si>
  <si>
    <t>If the element was in the queue, the size of the queue is reduced by 1 after removal.</t>
  </si>
  <si>
    <t>If the element was in the queue before removal, the size of the queue is reduced by 1 after removal.</t>
  </si>
  <si>
    <t>If the queue initially contains the specified element, then its size after removal is one less than its original size.</t>
  </si>
  <si>
    <t>If the queue initially contains the specified element, then the size of the queue after removal is one less than the original size.</t>
  </si>
  <si>
    <t>If the size of the queue is greater than 0, then the element at the head of the queue after removal is greater than or equal to the element at the head of the queue before removal.</t>
  </si>
  <si>
    <t>If the size of the queue is greater than 0, then the element at the head of the queue is not less than the element at the head of the queue before the removal.</t>
  </si>
  <si>
    <t>If the size of the queue is greater than 0 after removal, the new head of the queue is not less than the old head.</t>
  </si>
  <si>
    <t>If the collection c is not null, then for each index i between 0 and the size of this queue, the element at index i is not contained in c.</t>
  </si>
  <si>
    <t>If the collection c is not null, then for each element in the priority queue, c does not contain that element after removeAll is called.</t>
  </si>
  <si>
    <t>if c is not null, then for each index i between 0 and the size of this queue, the element at index i is not in c</t>
  </si>
  <si>
    <t>if c is not null, then for each index i between 0 and the size of this queue, the element at index i is contained in c</t>
  </si>
  <si>
    <t>if c is not null, then for each index i between 0 and the size of this queue, the element at index i is contained in c.</t>
  </si>
  <si>
    <t>If the collection 'c' is not null, then every element in the priority queue is contained in 'c'.</t>
  </si>
  <si>
    <t>the size of the priority queue is always greater than or equal to 0</t>
  </si>
  <si>
    <t>size of the priority queue is always greater than or equal to 0</t>
  </si>
  <si>
    <t>the length of the returned array is equal to the size of the queue</t>
  </si>
  <si>
    <t>The length of the returned array is equal to the size of the priority queue.</t>
  </si>
  <si>
    <t>For each index i between 0 and the size of the queue, the element at index i in the queue is either null and the corresponding element in the result array is also null, or the element at index i in the queue is equal to the corresponding element in the result array.</t>
  </si>
  <si>
    <t>For each valid index i in the array, the element at index i in the array returned by toArray is either both null or equal to the element at index i in the priority queue.</t>
  </si>
  <si>
    <t>For every valid index i from 0 to the size of the queue, if the element at index i in the queue is null, then the element at index i in the returned array is also null; otherwise, the element in the queue at index i is equal to the element at index i in the returned array.</t>
  </si>
  <si>
    <t>For every valid index i (from 0 to the size of the queue), if the element at index i in the queue is null, then the corresponding element in the resulting array is also null; otherwise, the element in the resulting array is equal to the element at index i in the queue.</t>
  </si>
  <si>
    <t>the length of the bit set is 0 after initialization</t>
  </si>
  <si>
    <t>The length of the BitSet is zero immediately after its creation.</t>
  </si>
  <si>
    <t>The cardinality of the newly created BitSet is 0</t>
  </si>
  <si>
    <t>The number of bits set to true is zero when a new BitSet is created.</t>
  </si>
  <si>
    <t>the bit set is initially empty</t>
  </si>
  <si>
    <t>the bit set is empty after creation</t>
  </si>
  <si>
    <t>If the number of bits is non-negative, then the length of the bit set is 0.</t>
  </si>
  <si>
    <t>If the number of bits is greater than or equal to 0, then the length of the bit set is 0.</t>
  </si>
  <si>
    <t>If the initial size is non-negative, then the length of the bit set is zero.</t>
  </si>
  <si>
    <t>If the initial number of bits is non-negative, then the logical size of the BitSet is zero.</t>
  </si>
  <si>
    <t>If the number of bits is greater than or equal to 0, then the cardinality of the bit set is 0.</t>
  </si>
  <si>
    <t>If the number of bits is non-negative, then the number of true bits in the bit set is zero.</t>
  </si>
  <si>
    <t>If the initial number of bits is non-negative, then the bit set is initially empty.</t>
  </si>
  <si>
    <t>If the number of bits is non-negative, then the bit set is empty.</t>
  </si>
  <si>
    <t>For each index i between 0 and the length of this BitSet, the bit at index i is set to true if and only if it was true in this BitSet and true in the set BitSet before the operation.</t>
  </si>
  <si>
    <t>For each index i between 0 and the length of this BitSet, the bit at index i is true if and only if it was true in the original BitSet and the corresponding bit in the argument BitSet is also true.</t>
  </si>
  <si>
    <t>For every valid index i from 0 up to the length of this BitSet, the bit at index i remains true if and only if it was true before and the corresponding bit in the given BitSet is also true.</t>
  </si>
  <si>
    <t>For every valid index from 0 up to the length of this BitSet, a bit remains set to true if and only if it was originally true and is also true in the specified BitSet.</t>
  </si>
  <si>
    <t>For each index i between 0 and the length of this BitSet, the bit at index i is set to the result of the logical AND operation between the old value of the bit at index i and the negation of the bit at index i in the specified BitSet.</t>
  </si>
  <si>
    <t>For each index i between 0 and the length of this BitSet, the bit at index i in this BitSet is equal to the bitwise AND of the old bit at index i and the bitwise NOT of the bit at index i in the specified BitSet.</t>
  </si>
  <si>
    <t>For every index i from 0 up to the length of this BitSet, the bit at index i is set to the result of the logical AND operation between the original value of the bit at index i and the negation of the corresponding bit in the specified BitSet.</t>
  </si>
  <si>
    <t>the number of bits set to true in this BitSet is always greater than or equal to 0</t>
  </si>
  <si>
    <t>if the bit index is greater than or equal to 0, then the bit at that index is set to false</t>
  </si>
  <si>
    <t>if the bit index is non-negative, then the bit at that index is set to false.</t>
  </si>
  <si>
    <t>If the bit index is greater than or equal to 0, then for every index i between 0 and the length of the bit set (exclusive), except for the bitIndex, the value of the bit at index i remains unchanged.</t>
  </si>
  <si>
    <t>If the bit index is greater than or equal to 0, then for each index i between 0 and the length of the bit set, excluding the bit index, the value of the bit at index i remains the same after clearing the bit at bitIndex.</t>
  </si>
  <si>
    <t>if the bit index is greater than or equal to 0, then for each index i between 0 and the length of the bit set, except for the bitIndex, the value of the bit at index i remains unchanged.</t>
  </si>
  <si>
    <t>If the bit index is non-negative, then for every valid index in the BitSet that is not the specified bit index, the value of the bit remains unchanged.</t>
  </si>
  <si>
    <t>If the bit index is non-negative, then for every valid index in the BitSet, except for the specified bit index, the value of the bit remains unchanged.</t>
  </si>
  <si>
    <t>If fromIndex is greater than or equal to 0 and toIndex is greater than or equal to fromIndex, then for every index i from fromIndex to toIndex (exclusive), the bit at index i is false.</t>
  </si>
  <si>
    <t>if fromIndex is greater than or equal to 0 and toIndex is greater than or equal to fromIndex, then for every index i from fromIndex to toIndex (exclusive), the bit at index i is false</t>
  </si>
  <si>
    <t>if fromIndex is non-negative and toIndex is not less than fromIndex, then every bit from fromIndex (inclusive) to toIndex (exclusive) is set to false.</t>
  </si>
  <si>
    <t>if fromIndex is greater than or equal to 0 and toIndex is greater than or equal to fromIndex, then for every index i between 0 and the length of the bit set, if i is less than fromIndex or i is greater than or equal to toIndex, the value of the bit at index i remains unchanged.</t>
  </si>
  <si>
    <t>if fromIndex is greater than or equal to 0 and toIndex is greater than or equal to fromIndex, then for every index i between 0 and the length of the bit set, if i is less than fromIndex or greater than or equal to toIndex, the value of the bit at index i remains unchanged.</t>
  </si>
  <si>
    <t>if fromIndex is greater than or equal to 0 and toIndex is greater than or equal to fromIndex, then for every index i between 0 and the length of the bit set, if i is less than fromIndex or greater than or equal to toIndex, the bit at index i remains unchanged.</t>
  </si>
  <si>
    <t>If fromIndex is non-negative and toIndex is not less than fromIndex, then for every valid index i in the BitSet that is either less than fromIndex or greater than or equal to toIndex, the value of the bit at index i remains unchanged.</t>
  </si>
  <si>
    <t>The length of the bit set is 0 after clearing all bits.</t>
  </si>
  <si>
    <t>the length of the bit set is 0 after clearing all bits</t>
  </si>
  <si>
    <t>The cardinality of the bit set is 0 after clearing all bits.</t>
  </si>
  <si>
    <t>The cardinality of the BitSet is 0 after clearing all bits.</t>
  </si>
  <si>
    <t>The bit set is empty after clearing all bits.</t>
  </si>
  <si>
    <t>the bit set is empty after clearing all bits</t>
  </si>
  <si>
    <t>The BitSet is empty after clearing all bits.</t>
  </si>
  <si>
    <t>BitSet is empty after clearing all bits.</t>
  </si>
  <si>
    <t>the cloned BitSet is not the same object as the original BitSet</t>
  </si>
  <si>
    <t>the cloned BitSet is a different object from the original BitSet</t>
  </si>
  <si>
    <t>the returned object is not the same instance as the original object</t>
  </si>
  <si>
    <t>the size of the original BitSet is equal to the size of the cloned BitSet</t>
  </si>
  <si>
    <t>the size of the cloned bit set is the same as the original bit set</t>
  </si>
  <si>
    <t>If the bit index is non-negative, then the value of the bit at the specified index is different after flipping.</t>
  </si>
  <si>
    <t>If the bit index is non-negative, then the value of the bit at that index changes after the operation.</t>
  </si>
  <si>
    <t>If the bit index is non-negative, then for every index i between 0 and the length of the bit set, except for the bit index itself, the value of the bit at index i remains unchanged.</t>
  </si>
  <si>
    <t>If the bit index is greater than or equal to 0, then for each index i between 0 and the length of the bit set (exclusive), except for the bit index itself, the value of the bit at index i remains the same after flipping the bit at bitIndex.</t>
  </si>
  <si>
    <t>If the bit index is non-negative, then for every index i from 0 up to the length of the bit set (exclusive), except for the bit at bitIndex, the value of the bit remains unchanged.</t>
  </si>
  <si>
    <t>If fromIndex is non-negative and toIndex is not less than fromIndex, then for every index i from fromIndex to toIndex-1, the value of the bit at index i in the BitSet is the opposite of its value before the operation.</t>
  </si>
  <si>
    <t>If fromIndex is greater than or equal to 0 and toIndex is greater than or equal to fromIndex, then for each index i from fromIndex to toIndex (exclusive), the value of the bit at index i in the BitSet is the complement of its original value.</t>
  </si>
  <si>
    <t>If fromIndex is greater than or equal to 0 and toIndex is greater than or equal to fromIndex, then for each index i from fromIndex to toIndex (exclusive), the bit at index i in the bit set is the complement of its original value.</t>
  </si>
  <si>
    <t>If fromIndex is non-negative and toIndex is not less than fromIndex, then for every index i from fromIndex (inclusive) to toIndex (exclusive), the bit at index i must be flipped from its original state.</t>
  </si>
  <si>
    <t>If fromIndex is non-negative and toIndex is not less than fromIndex, then for every index i from fromIndex (inclusive) to toIndex (exclusive), the value of the bit at index i is flipped compared to its original state.</t>
  </si>
  <si>
    <t>If fromIndex is greater than or equal to 0 and toIndex is greater than or equal to fromIndex, then for every index i between 0 and the length of the bit set, if i is less than fromIndex or greater than or equal to toIndex, the value of the bit at index i remains unchanged.</t>
  </si>
  <si>
    <t>if fromIndex is greater than or equal to 0 and toIndex is greater than or equal to fromIndex, then for each index i between 0 and the length of the bit set, if i is less than fromIndex or i is greater than or equal to toIndex, the value of the bit at index i remains unchanged.</t>
  </si>
  <si>
    <t>if fromIndex is non-negative and toIndex is not less than fromIndex, then for every index i in the range [0, this.length()) that is either less than fromIndex or greater than or equal to toIndex, the value of the bit at index i remains unchanged.</t>
  </si>
  <si>
    <t>If fromIndex is non-negative and toIndex is not less than fromIndex, then for every index i from 0 up to the length of the BitSet, if i is either less than fromIndex or not less than toIndex, the value at index i remains unchanged.</t>
  </si>
  <si>
    <t>The result is true if and only if the cardinality of the BitSet is 0</t>
  </si>
  <si>
    <t>The result is true if and only if the length of the bit set is 0</t>
  </si>
  <si>
    <t>The result is true if and only if the length of the BitSet is 0</t>
  </si>
  <si>
    <t>the logical size of the BitSet is always greater than or equal to 0</t>
  </si>
  <si>
    <t>if fromIndex is greater than or equal to 0, then the result is greater than or equal to fromIndex</t>
  </si>
  <si>
    <t>if the starting index is non-negative, then the index of the next clear bit is also non-negative and at least as large as the starting index</t>
  </si>
  <si>
    <t>if fromIndex is greater than or equal to 0, then the bit at the returned index is false</t>
  </si>
  <si>
    <t>If fromIndex is greater than or equal to 0, then the bit at the returned index is false.</t>
  </si>
  <si>
    <t>If the starting index is non-negative, then the bit at the resulting index is not set (i.e., it is false).</t>
  </si>
  <si>
    <t>if fromIndex is greater than or equal to 0, then for every index i from fromIndex up to but not including the result, the bit at index i is set to true</t>
  </si>
  <si>
    <t>if fromIndex is greater than or equal to 0, then the result is either -1 or greater than or equal to fromIndex</t>
  </si>
  <si>
    <t>if the starting index is non-negative, then the result is either -1 or greater than or equal to the starting index</t>
  </si>
  <si>
    <t>if fromIndex is non-negative and the result is not -1, then the bit at the result index is true</t>
  </si>
  <si>
    <t>if fromIndex is non-negative and the result is not -1, then the bit at the result index is set to true</t>
  </si>
  <si>
    <t>If the starting index is non-negative and the result is not -1, then the bit at the result index is set to true.</t>
  </si>
  <si>
    <t>If the starting index is non-negative and the result is not -1, then the bit at the resulting index is set to true.</t>
  </si>
  <si>
    <t>if fromIndex is non-negative and a set bit is found, then all bits from fromIndex up to but not including the found set bit index are false</t>
  </si>
  <si>
    <t>if fromIndex is non-negative and a set bit is found, then all bits from fromIndex up to (but not including) the found set bit index are false</t>
  </si>
  <si>
    <t>For each index i between 0 and the length of this BitSet, the bit at index i is set to true if it was originally true or if the corresponding bit in the set parameter is true.</t>
  </si>
  <si>
    <t>For each index i between 0 and the length of this BitSet, the bit at index i is true if it was true before the operation or if the corresponding bit in the set is true.</t>
  </si>
  <si>
    <t>For each index i between 0 and the length of this BitSet, the bit at index i is true if it was true before or if the corresponding bit in the set is true.</t>
  </si>
  <si>
    <t>For every valid index i from 0 up to the length of this BitSet, the bit at index i is true if it was true before the operation or if it is true in the specified BitSet argument.</t>
  </si>
  <si>
    <t>For every valid index i within the length of this BitSet, the bit at index i is set to true if it was previously true or if it is true in the specified BitSet 'set'.</t>
  </si>
  <si>
    <t>if fromIndex is greater than or equal to -1, then the result is less than or equal to fromIndex</t>
  </si>
  <si>
    <t>If the starting index is greater than or equal to -1, then the resulting index is less than or equal to the starting index.</t>
  </si>
  <si>
    <t>if fromIndex is greater than or equal to -1 and the result is not -1, then the bit at the result index is false</t>
  </si>
  <si>
    <t>If the starting index is greater than or equal to -1 and the result is not -1, then the bit at the result index is false.</t>
  </si>
  <si>
    <t>If the starting index is greater than or equal to -1 and the result is not -1, then the bit at the resulting index is false.</t>
  </si>
  <si>
    <t>if fromIndex is greater than or equal to -1, then for every index i greater than the result and less than or equal to fromIndex, the bit at index i is set to true</t>
  </si>
  <si>
    <t>if fromIndex is greater than or equal to -1, then for every index i greater than the result and less than or equal to fromIndex, the bit at index i is true</t>
  </si>
  <si>
    <t>If fromIndex is greater than or equal to -1, then for every integer i such that i is greater than the result and less than or equal to fromIndex, the bit at index i in this BitSet is true.</t>
  </si>
  <si>
    <t>If fromIndex is greater than or equal to -1, then for every index i that is greater than the result and less than or equal to fromIndex, the bit at index i is set to true.</t>
  </si>
  <si>
    <t>if the starting index is greater than or equal to -1, then the result index is less than or equal to the starting index.</t>
  </si>
  <si>
    <t>if fromIndex is greater than or equal to -1 and the result is not -1, then the bit at the result index is true</t>
  </si>
  <si>
    <t>if fromIndex is greater than or equal to -1, then for every index i greater than the result and less than or equal to fromIndex, the bit at index i is false</t>
  </si>
  <si>
    <t>If the starting index is greater than or equal to -1, then for every index greater than the result and less than or equal to the starting index, the bit at that index is not set (i.e., it is false).</t>
  </si>
  <si>
    <t>If the starting index is greater than or equal to -1, then for every index greater than the result and up to the starting index, the bit at that index is not set (is false).</t>
  </si>
  <si>
    <t>if the bit index is greater than or equal to 0, then the bit at that index is set to true</t>
  </si>
  <si>
    <t>if the bit index is greater than or equal to 0, then for each index i between 0 and the length of the bit set (exclusive), if i is not equal to the bit index, the value of the bit at index i remains unchanged.</t>
  </si>
  <si>
    <t>if the bit index is greater than or equal to 0, then for each index i between 0 and the length of the bit set (exclusive), except for the bit index itself, the value of the bit at index i remains the same as before setting the bit at bitIndex.</t>
  </si>
  <si>
    <t>If the bit index is non-negative, then for each index i from 0 up to (but not including) the length of the bit set, if i is not the bit index, the value at index i remains unchanged.</t>
  </si>
  <si>
    <t>If the bit index is non-negative, then for every index from 0 up to (but not including) the length of the BitSet, if the index is not the specified bit index, the value at that index remains unchanged.</t>
  </si>
  <si>
    <t>if the bit index is greater than or equal to 0, then the bit at that index is set to the specified value</t>
  </si>
  <si>
    <t>If the bit index is non-negative, then the value of the bit at that index is equal to the specified value.</t>
  </si>
  <si>
    <t>if the bit index is greater than or equal to 0, then for each index i between 0 and the length of the bit set (exclusive), if i is not equal to bitIndex, the value of the bit at index i remains unchanged.</t>
  </si>
  <si>
    <t>if the bit index is greater than or equal to 0, then for each index i between 0 and the length of the bit set (exclusive), except for the bit index itself, the value of the bit at index i remains the same as before the operation.</t>
  </si>
  <si>
    <t>If the bit index is greater than or equal to 0, then for each index i between 0 and the length of the bit set (exclusive), if i is not equal to the bit index, the value of the bit at index i remains unchanged.</t>
  </si>
  <si>
    <t>if fromIndex is greater than or equal to 0 and toIndex is greater than or equal to fromIndex, then for each index i from fromIndex to toIndex (exclusive), the bit at index i is set to true</t>
  </si>
  <si>
    <t>if fromIndex is greater than or equal to 0 and toIndex is greater than or equal to fromIndex, then for every index i from fromIndex to toIndex (exclusive), the bit at index i is set to true</t>
  </si>
  <si>
    <t>If fromIndex is greater than or equal to 0 and toIndex is greater than or equal to fromIndex, then for every index i from fromIndex to toIndex (exclusive), the bit at index i is set to true.</t>
  </si>
  <si>
    <t>If fromIndex is greater than or equal to 0 and toIndex is greater than or equal to fromIndex, then for every index i between 0 and the length of this BitSet, if i is less than fromIndex or i is greater than or equal to toIndex, the value of the bit at index i remains unchanged.</t>
  </si>
  <si>
    <t>If fromIndex is greater than or equal to 0 and toIndex is greater than or equal to fromIndex, then for every index i between 0 and the length of this BitSet, if i is less than fromIndex or greater than or equal to toIndex, the value of the bit at index i remains unchanged.</t>
  </si>
  <si>
    <t>If fromIndex is non-negative and toIndex is not less than fromIndex, then for every valid index i in the BitSet that is either less than fromIndex or greater than or equal to toIndex, the value at index i remains unchanged after the operation.</t>
  </si>
  <si>
    <t>If fromIndex is non-negative and toIndex is greater than or equal to fromIndex, then for every index i from fromIndex to toIndex (exclusive), the bit at index i is set to the specified value.</t>
  </si>
  <si>
    <t>if fromIndex is non-negative and toIndex is not less than fromIndex, then for every index i from fromIndex to toIndex (exclusive), the bit at index i is set to the specified value.</t>
  </si>
  <si>
    <t>If fromIndex is greater than or equal to 0 and toIndex is greater than or equal to fromIndex, then for every index i from fromIndex to toIndex (exclusive), the bit at index i is set to the specified value.</t>
  </si>
  <si>
    <t>If the starting index is non-negative and the ending index is not less than the starting index, then for every index from the starting index (inclusive) to the ending index (exclusive), the value of the bit at that index is equal to the specified value.</t>
  </si>
  <si>
    <t>if fromIndex is greater than or equal to 0 and toIndex is greater than or equal to fromIndex, then for each index i between 0 and the length of the bit set, if i is less than fromIndex or greater than or equal to toIndex, the value of the bit at index i remains unchanged.</t>
  </si>
  <si>
    <t>If fromIndex is greater than or equal to 0 and toIndex is greater than or equal to fromIndex, then for each index i between 0 and the length of this BitSet, if i is less than fromIndex or greater than or equal to toIndex, the value of the bit at index i remains unchanged.</t>
  </si>
  <si>
    <t>If fromIndex is non-negative and toIndex is not less than fromIndex, then for every index i between 0 and the length of the bit set, if i is less than fromIndex or greater than or equal to toIndex, the bit at index i remains unchanged.</t>
  </si>
  <si>
    <t>the size of the bit set is always greater than or equal to 0</t>
  </si>
  <si>
    <t>The result is always greater than or equal to 0.</t>
  </si>
  <si>
    <t>The result is always greater than or equal to zero.</t>
  </si>
  <si>
    <t>\result!=null &amp;&amp; \result.toLongArray().equals(longs)</t>
  </si>
  <si>
    <t>the result is not null and its long array representation is equal to the input long array</t>
  </si>
  <si>
    <t>The result is not null and its long array representation is equal to the input long array.</t>
  </si>
  <si>
    <t>\result!=null &amp;&amp; \forall int i; 0&lt;=i &amp;&amp; i&lt;\result.toLongArray().size(); \result.toLongArray()[i].equals(lb.get(i))</t>
  </si>
  <si>
    <t>The result is not null and for each index i between 0 and the size of the result's long array, the element at index i in the result's long array is equal to the element at index i in the long buffer lb.</t>
  </si>
  <si>
    <t>The returned BitSet is not null and for every valid index i, the ith element of the long array representation of the returned BitSet is equal to the ith element of the input LongBuffer.</t>
  </si>
  <si>
    <t>The result is not null and for every valid index i, the i-th element of the result converted to a long array is equal to the i-th element of the long buffer lb.</t>
  </si>
  <si>
    <t>\result!=null &amp;&amp; \result.toByteArray().equals(bytes)</t>
  </si>
  <si>
    <t>The result is not null and its byte array representation is equal to the input bytes.</t>
  </si>
  <si>
    <t>the result is not null and its byte array representation is equal to the input bytes</t>
  </si>
  <si>
    <t>\result!=null &amp;&amp; \forall int i; 0&lt;=i &amp;&amp; i&lt;\result.toByteArray().size(); \result.toByteArray()[i].equals(bb.get(i))</t>
  </si>
  <si>
    <t>The result is not null and for each index i between 0 and the size of the result's byte array, the byte at index i in the result's byte array is equal to the byte at index i in the input byte buffer.</t>
  </si>
  <si>
    <t>the result is not null and for each index i between 0 and the size of the result's byte array, the byte at index i in the result's byte array is equal to the byte at index i in the input byte buffer</t>
  </si>
  <si>
    <t>The result is not null and for every valid index i (from 0 up to the size of the byte array representation of the result), the byte at index i in the byte array representation of the result equals the byte at index i in the ByteBuffer bb.</t>
  </si>
  <si>
    <t>The result is not null and for every valid index i, the byte at index i in the result's byte array representation is equal to the byte at index i in the byte buffer.</t>
  </si>
  <si>
    <t>For each index i between 0 and the length of this BitSet, the bit at index i is the result of the XOR operation between the old bit at index i and the bit at index i in the provided BitSet.</t>
  </si>
  <si>
    <t>For each index i between 0 and the length of this BitSet, the value of the bit at index i is the result of the XOR operation between the old value of the bit at index i and the value of the bit at index i in the set.</t>
  </si>
  <si>
    <t>For every valid index i within the length of this BitSet, the value at index i after the operation is the logical XOR of the original value at index i and the value at index i in the specified BitSet set.</t>
  </si>
  <si>
    <t>For every valid index i (from 0 up to the length of this BitSet), the value at index i after the operation is the logical XOR of the original value at index i and the value at index i in the specified BitSet set.</t>
  </si>
  <si>
    <t>the newly created HashMap is empty</t>
  </si>
  <si>
    <t>The HashMap is empty immediately after its creation.</t>
  </si>
  <si>
    <t>The size of the newly created HashMap is 0.</t>
  </si>
  <si>
    <t>the size of the map is 0 after initialization</t>
  </si>
  <si>
    <t>The size of the HashMap is zero immediately after initialization.</t>
  </si>
  <si>
    <t>If the initial capacity is greater than or equal to 0 and the load factor is greater than 0, then the map is empty.</t>
  </si>
  <si>
    <t>If the initial capacity is greater than or equal to 0 and the load factor is greater than 0, then the HashMap is empty.</t>
  </si>
  <si>
    <t>If the initial capacity is greater than or equal to 0 and the load factor is greater than 0, then the size of the map is 0.</t>
  </si>
  <si>
    <t>if the input map is not null, then the size of this map is equal to the size of the input map after construction</t>
  </si>
  <si>
    <t>if the input map is not null, then the size of this map is equal to the size of the input map after creation</t>
  </si>
  <si>
    <t>If the map 'm' is not null, then the size of this HashMap is equal to the size of 'm'.</t>
  </si>
  <si>
    <t>If the input map is not null, then the size of this HashMap equals the size of the input map.</t>
  </si>
  <si>
    <t>the number of key-value mappings in the map is always greater than or equal to 0</t>
  </si>
  <si>
    <t>The number of key-value mappings in the map is always greater than or equal to 0</t>
  </si>
  <si>
    <t>The result is true if and only if the size of the map is 0</t>
  </si>
  <si>
    <t>The result is true if and only if the size of the map is zero</t>
  </si>
  <si>
    <t>if the map does not contain the key, then the result is null</t>
  </si>
  <si>
    <t>If the map does not contain the key, then the result is null.</t>
  </si>
  <si>
    <t>If the map contains the key, then the value returned by get is contained in the map's values.</t>
  </si>
  <si>
    <t>if the map contains the key, then the map contains the value associated with the key as the result</t>
  </si>
  <si>
    <t>If the result is null, then the key was not previously in the map or the key was previously mapped to null.</t>
  </si>
  <si>
    <t>If the result is null, then the key was not previously in the map or the key was previously associated with a null value.</t>
  </si>
  <si>
    <t>If the result is null, then the key was not previously in the map or the previous value associated with the key was null.</t>
  </si>
  <si>
    <t>If the result is null, then either the key was not present in the map originally, or the original value associated with the key was null.</t>
  </si>
  <si>
    <t>the map contains the key and the value after the put operation</t>
  </si>
  <si>
    <t>The map contains the key and the value after the put operation.</t>
  </si>
  <si>
    <t>If the result is not null, then the key was already contained in the map before the operation.</t>
  </si>
  <si>
    <t>If the result is not null, then the map contained the key before the operation.</t>
  </si>
  <si>
    <t>If the result is not null, then the key was already present in the map before this operation.</t>
  </si>
  <si>
    <t>If the method returns a non-null value, then the key was already present in the map before this method was called.</t>
  </si>
  <si>
    <t>If the result is not null, then the result is equal to the value associated with the key before the operation.</t>
  </si>
  <si>
    <t>If the result is not null, then the old value associated with the key is equal to the result.</t>
  </si>
  <si>
    <t>If the result is not null, then the value associated with the key before the operation is equal to the result.</t>
  </si>
  <si>
    <t>if the input map is not null, then the size of this map is equal to the size of the input map after putting all its entries</t>
  </si>
  <si>
    <t>If the result is null, then the key was not present in the map before the operation or the key was present but its value was null.</t>
  </si>
  <si>
    <t>If the result is null, then the key was not present in the map before the removal or the key was associated with a null value before the removal.</t>
  </si>
  <si>
    <t>If the result is null, then the key was not in the map before the operation or the key was associated with a null value before the operation.</t>
  </si>
  <si>
    <t>If the result is null, then either the key was not present in the map originally, or the key was originally mapped to null.</t>
  </si>
  <si>
    <t>If the result is not null, then the map contained the key before the removal.</t>
  </si>
  <si>
    <t>If the result is not null, then the key was contained in the map before the removal.</t>
  </si>
  <si>
    <t>the map does not contain the key after the removal operation</t>
  </si>
  <si>
    <t>the key is no longer contained in the map after removal</t>
  </si>
  <si>
    <t>If the key was in the map before removal, then the removed value is no longer in the map.</t>
  </si>
  <si>
    <t>If the key was in the map before the removal, then the removed value is no longer in the map.</t>
  </si>
  <si>
    <t>If the key was present in the map before, then the value associated with that key is not present in the map after removal.</t>
  </si>
  <si>
    <t>If the key was previously in the map, then after removal, the map does not contain the value that was associated with that key.</t>
  </si>
  <si>
    <t>the map is empty after the clear operation</t>
  </si>
  <si>
    <t>The map is empty after the clear operation.</t>
  </si>
  <si>
    <t>the size of the map is 0 after clearing all mappings</t>
  </si>
  <si>
    <t>size of the map is 0 after clearing all mappings</t>
  </si>
  <si>
    <t>the cloned result is not the same object as the original map</t>
  </si>
  <si>
    <t>The size of the cloned map is the same as the original map.</t>
  </si>
  <si>
    <t>the size of the cloned map is the same as the original map</t>
  </si>
  <si>
    <t>if the initial size is greater than or equal to 0, then the stack is empty</t>
  </si>
  <si>
    <t>if the initial size is greater than or equal to 0, then the stack is initially empty</t>
  </si>
  <si>
    <t>if the initial size is greater than or equal to 0, then the size of the stack is 0</t>
  </si>
  <si>
    <t>If the initial size is non-negative, then the size of the stack is zero.</t>
  </si>
  <si>
    <t>If the stack is not empty, then the result is either null and the last element is null, or the result is equal to the last element of the stack.</t>
  </si>
  <si>
    <t>If the stack is not empty, then the result is either null and the last element is null, or the result is equal to the last element of the stack</t>
  </si>
  <si>
    <t>if the stack is not empty, then the result is either null and the last element is null, or the result equals the last element</t>
  </si>
  <si>
    <t>If the stack is not empty, then the result is either null and the last item in the stack is null, or the result is equal to the last item in the stack.</t>
  </si>
  <si>
    <t>If the stack is not empty, then the result is either null and the last item of the stack is null, or the result is equal to the last item of the stack.</t>
  </si>
  <si>
    <t>If the stack is not empty, then the popped result is either null and the last element of the stack is null, or the popped result equals the last element of the stack.</t>
  </si>
  <si>
    <t>If the stack is not empty, then the popped result is either null and the last element of the stack is null, or the popped result is equal to the last element of the stack.</t>
  </si>
  <si>
    <t>If the stack is not empty, then the returned value is either null and the last item in the stack is null, or the returned value is equal to the last item in the stack.</t>
  </si>
  <si>
    <t>the stack contains the pushed item after the operation</t>
  </si>
  <si>
    <t>The stack contains the item after it has been pushed.</t>
  </si>
  <si>
    <t>The last item in the stack is the same as the item just pushed, whether the item is null or not</t>
  </si>
  <si>
    <t>The last item in the stack is the same as the item just pushed, considering both null and non-null cases</t>
  </si>
  <si>
    <t>The last item in the stack is the same as the item just pushed, considering null values appropriately</t>
  </si>
  <si>
    <t>If the pushed item is null, then the last item in the stack is also null; otherwise, the pushed item equals the last item in the stack.</t>
  </si>
  <si>
    <t>org.apache.commons.collections4.CollectionUtils</t>
  </si>
  <si>
    <t>addAll(Collection collection, C elements)</t>
  </si>
  <si>
    <t>collection==null =&gt; throw NullPointerExpcetion</t>
  </si>
  <si>
    <t>collection!=null</t>
  </si>
  <si>
    <t>elements==null =&gt; throw NullPointerExpcetion</t>
  </si>
  <si>
    <t>elements!=null</t>
  </si>
  <si>
    <t>addAll(Collection collection, Enumeration enumeration)</t>
  </si>
  <si>
    <t>enumeration==null =&gt; throw NullPointerExpcetion</t>
  </si>
  <si>
    <t>enumeration!=null</t>
  </si>
  <si>
    <t>addAll(Collection collection, Iterable iterable)</t>
  </si>
  <si>
    <t>iterable==null =&gt; throw NullPointerExpcetion</t>
  </si>
  <si>
    <t>iterable!=null</t>
  </si>
  <si>
    <t>addAll(Collection collection, Iterator iterator)</t>
  </si>
  <si>
    <t>iterator==null =&gt; throw NullPointerExpcetion</t>
  </si>
  <si>
    <t>iterator!=null</t>
  </si>
  <si>
    <t>addIgnoreNull(Collection collection, T object)</t>
  </si>
  <si>
    <t>int cardinality(O obj, Iterable coll)</t>
  </si>
  <si>
    <t>collate(Iterable a, Iterable b)</t>
  </si>
  <si>
    <t>b==null =&gt; throw NullPointerExpcetion</t>
  </si>
  <si>
    <t>b!=null</t>
  </si>
  <si>
    <t>collate(Iterable a, Iterable b, boolean includeDuplicates)</t>
  </si>
  <si>
    <t>collate(Iterable a, Iterable b,  Comparator c)</t>
  </si>
  <si>
    <t>collate(Iterable a, Iterable b,  Comparator c, boolean includeDuplicates)</t>
  </si>
  <si>
    <t>collect(Iterable inputCollection, Transformer transformer, R outputCollection)</t>
  </si>
  <si>
    <t>outputCollection==null =&gt; throw NullPointerExpcetion</t>
  </si>
  <si>
    <t>outputCollection!=null</t>
  </si>
  <si>
    <t>collect(Iterable inputCollection, Transformer transformer)</t>
  </si>
  <si>
    <t>inputCollection==null =&gt; throw NullPointerExpcetion</t>
  </si>
  <si>
    <t>inputCollection!=null</t>
  </si>
  <si>
    <t>collect(Iterator inputIterator, Transformer transformer, R outputCollection)</t>
  </si>
  <si>
    <t>containsAll(Collection coll1, Collection coll2)</t>
  </si>
  <si>
    <t>coll1!=null</t>
  </si>
  <si>
    <t>coll2!=null</t>
  </si>
  <si>
    <t>containsAny(Collection coll1, Collection coll2)</t>
  </si>
  <si>
    <t>containsAny(Collection coll1, T coll2)</t>
  </si>
  <si>
    <t>disjunction(Iterable a, Iterable b)</t>
  </si>
  <si>
    <t>emptyCollection()</t>
  </si>
  <si>
    <t>emptyIfNull(Collection collection)</t>
  </si>
  <si>
    <t>extractSingleton(Collection collection)</t>
  </si>
  <si>
    <t>collection.isEmpty() =&gt; throw IllegalArgumentException</t>
  </si>
  <si>
    <t>forAllButLastDo(Iterable collection, C closure)</t>
  </si>
  <si>
    <t>collection==null =&gt; \result==null</t>
  </si>
  <si>
    <t>closure==null =&gt; \result==null</t>
  </si>
  <si>
    <t>forAllButLastDo(Iterator iterator, C closure)</t>
  </si>
  <si>
    <t>iterator==null =&gt; \result==null</t>
  </si>
  <si>
    <t>getCardinalityMap(Iterable coll)</t>
  </si>
  <si>
    <t>intersection(Iterable a, Iterable b)</t>
  </si>
  <si>
    <t>isEmpty(Collection coll)</t>
  </si>
  <si>
    <t>coll==null =&gt; \result==true</t>
  </si>
  <si>
    <t>coll!=null &amp;&amp; coll.size()==0 =&gt; \result==true</t>
  </si>
  <si>
    <t>isEqualCollection(Collection a, Collection b)</t>
  </si>
  <si>
    <t>isEqualCollection(Collection  a, Collection b, Equator equator)</t>
  </si>
  <si>
    <t>equator==null =&gt; throw NullPointerExpcetion</t>
  </si>
  <si>
    <t>equator!=null</t>
  </si>
  <si>
    <t>isFull(Collection coll)</t>
  </si>
  <si>
    <t>isNotEmpty(Collection coll)</t>
  </si>
  <si>
    <t>coll!=null =&gt; \result==true</t>
  </si>
  <si>
    <t>isProperSubCollection(Collection a, Collection b)</t>
  </si>
  <si>
    <t>isSubCollection(Collection a, Collection b)</t>
  </si>
  <si>
    <t>maxSize(Collection coll)</t>
  </si>
  <si>
    <t>permutations(Collection collection)</t>
  </si>
  <si>
    <t>predicatedCollection(Collection collection, Predicate predicate)</t>
  </si>
  <si>
    <t>predicate!=null</t>
  </si>
  <si>
    <t>removeAll(Collection collection, Collection remove)</t>
  </si>
  <si>
    <t>remove==null =&gt; throw NullPointerExpcetion</t>
  </si>
  <si>
    <t>remove!=null</t>
  </si>
  <si>
    <t>removeAll(Iterable collection, Iterable remove, Equator equator)</t>
  </si>
  <si>
    <t>retainAll(Collection collection, Collection retain)</t>
  </si>
  <si>
    <t>retain==null =&gt; throw NullPointerExpcetion</t>
  </si>
  <si>
    <t>retain!=null</t>
  </si>
  <si>
    <t>retainAll(Iterable collection, Iterable retain, Equator equator)</t>
  </si>
  <si>
    <t>select(Iterable inputCollection, Predicate predicate)</t>
  </si>
  <si>
    <t>select(Iterable inputCollection, Predicate predicate, R outputCollection)</t>
  </si>
  <si>
    <t>select(Iterable inputCollection, Predicate predicate, R outputCollection, R rejectedCollection)</t>
  </si>
  <si>
    <t>selectRejected(Iterable inputCollection, Predicate predicate)</t>
  </si>
  <si>
    <t>selectRejected(Iterable inputCollection, Predicate predicate, R outputCollection)</t>
  </si>
  <si>
    <t>sizeIsEmpty(Object object)</t>
  </si>
  <si>
    <t>subtract(Iterable a, Iterable b)</t>
  </si>
  <si>
    <t>subtract(Iterable a, Iterable b, Predicate p)</t>
  </si>
  <si>
    <t>synchronizedCollection(Collection collection)</t>
  </si>
  <si>
    <t>transformingCollection(Collection collection, Transformer transformer)</t>
  </si>
  <si>
    <t>transformer==null =&gt; throw NullPointerExpcetion</t>
  </si>
  <si>
    <t>transformer!=null</t>
  </si>
  <si>
    <t>union(Iterable a, Iterable b)</t>
  </si>
  <si>
    <t>unmodifiableCollection(Collection collection)</t>
  </si>
  <si>
    <t>org.apache.commons.collections4.FluentIterable</t>
  </si>
  <si>
    <t>allMatch(Predicate predicate)</t>
  </si>
  <si>
    <t>predicate==null =&gt; throw NullPointerExpcetion</t>
  </si>
  <si>
    <t>anyMatch(Predicate predicate)</t>
  </si>
  <si>
    <t>append(Iterable other)</t>
  </si>
  <si>
    <t>other==null =&gt; throw NullPointerExpcetion</t>
  </si>
  <si>
    <t>other!=null</t>
  </si>
  <si>
    <t>asEnumeration()</t>
  </si>
  <si>
    <t>collate(Iterable other)</t>
  </si>
  <si>
    <t>collate(Iterable other, Comparator comparator)</t>
  </si>
  <si>
    <t>copyInto(Collection collection)</t>
  </si>
  <si>
    <t>filter(Predicate predicate)</t>
  </si>
  <si>
    <t>forEach(Closure closure)</t>
  </si>
  <si>
    <t>closure==null =&gt; throw NullPointerExpcetion</t>
  </si>
  <si>
    <t>closure!=null</t>
  </si>
  <si>
    <t>limit(long maxSize)</t>
  </si>
  <si>
    <t>loop()</t>
  </si>
  <si>
    <t>of(Iterable iterable)</t>
  </si>
  <si>
    <t>of(T elements)</t>
  </si>
  <si>
    <t>of(T singleton)</t>
  </si>
  <si>
    <t>reverse()</t>
  </si>
  <si>
    <t>skip(long elementsToSkip)</t>
  </si>
  <si>
    <t>elementsToSkip&lt;0 =&gt; throw IllegalArgumentException</t>
  </si>
  <si>
    <t>elementsToSkip&gt;=0</t>
  </si>
  <si>
    <t>toArray(Class arrayClass)</t>
  </si>
  <si>
    <t>toList()</t>
  </si>
  <si>
    <t>transform(Transformer transformer)</t>
  </si>
  <si>
    <t>unique()</t>
  </si>
  <si>
    <t>unmodifiable()</t>
  </si>
  <si>
    <t>zip(Iterable other)</t>
  </si>
  <si>
    <t>org.apache.commons.collections4.bag.CollectionBag</t>
  </si>
  <si>
    <t>CollectionBag(Bag bag)</t>
  </si>
  <si>
    <t>bag==null =&gt; throw NullPointerExpcetion</t>
  </si>
  <si>
    <t>bag!=null</t>
  </si>
  <si>
    <t>add(E object)</t>
  </si>
  <si>
    <t>add(E object, int count)</t>
  </si>
  <si>
    <t>collectionBag(Bag bag)</t>
  </si>
  <si>
    <t>org.apache.commons.collections4.bag.CollectionSortedBag</t>
  </si>
  <si>
    <t>CollectionSortedBag(Bag bag)</t>
  </si>
  <si>
    <t>collectionSortedBag(Bag bag)</t>
  </si>
  <si>
    <t>org.apache.commons.collections4.collection.CompositeCollection</t>
  </si>
  <si>
    <t>CompositeCollection()</t>
  </si>
  <si>
    <t>CompositeCollection(Collection compositeCollection)</t>
  </si>
  <si>
    <t>compositeCollection!=null =&gt; this.size()==compositeCollection.size()</t>
  </si>
  <si>
    <t xml:space="preserve">compositeCollection!=null =&gt; this.equals(compositeCollection) </t>
  </si>
  <si>
    <t>getCollections()</t>
  </si>
  <si>
    <t>toCollection()</t>
  </si>
  <si>
    <t>org.apache.commons.collections4.list.FixedSizeList</t>
  </si>
  <si>
    <t>FixedSizeList(List list)</t>
  </si>
  <si>
    <t>list==null =&gt; throw NullPointerExpcetion</t>
  </si>
  <si>
    <t>fixedSizeList(List list)</t>
  </si>
  <si>
    <t>maxSize()</t>
  </si>
  <si>
    <t>org.apache.commons.collections4.list.GrowthList</t>
  </si>
  <si>
    <t>GrowthList(List list)</t>
  </si>
  <si>
    <t>growthList(List list)</t>
  </si>
  <si>
    <t>org.apache.commons.collections4.list.LazyList</t>
  </si>
  <si>
    <t>LazyList(List list, Factory factory)</t>
  </si>
  <si>
    <t>factory==null =&gt; throw NullPointerExpcetion</t>
  </si>
  <si>
    <t>factory!=null</t>
  </si>
  <si>
    <t>LazyList(List list, Transformer transformer)</t>
  </si>
  <si>
    <t>lazyList(List list, Factory factory)</t>
  </si>
  <si>
    <t>lazyList(List list, Transformer transformer)</t>
  </si>
  <si>
    <t>org.apache.commons.collections4.list.PredicatedList</t>
  </si>
  <si>
    <t>PredicatedList(List list, Predicate predicate)</t>
  </si>
  <si>
    <t>decorated()</t>
  </si>
  <si>
    <t>predicatedSet(List list, Predicate predicate)</t>
  </si>
  <si>
    <t>org.apache.commons.collections4.list.TransformedList</t>
  </si>
  <si>
    <t>getList()</t>
  </si>
  <si>
    <t>transformedList(List list, Transformer transformer)</t>
  </si>
  <si>
    <t>transformingList(List list, Transformer transformer)</t>
  </si>
  <si>
    <t>The list is empty after it is constructed.</t>
  </si>
  <si>
    <t>the size of the list is 0 after construction</t>
  </si>
  <si>
    <t>If the collection is not null, then the size of this list equals the size of the collection.</t>
  </si>
  <si>
    <t>If the collection is not null, then the size of the list equals the size of the collection.</t>
  </si>
  <si>
    <t>if the collection is not null, then for each index i between 0 and the size of this list, the element at index i in this list is the same as the element at index i in the collection</t>
  </si>
  <si>
    <t>if the collection is not null, then for each index i between 0 and the size of this list, the element at index i in this list is equal to the element at index i in the collection.</t>
  </si>
  <si>
    <t>If the collection is not null, then for every valid index from 0 to the size of this list, the element at each index in this list is the same as the element at the corresponding index in the collection.</t>
  </si>
  <si>
    <t>if the collection is not null, then the constructed TreeList is equal to the collection</t>
  </si>
  <si>
    <t>if the index is between 0 and the size of the list, then the list contains the added object</t>
  </si>
  <si>
    <t>If the index is between 0 and the size of the list inclusive, then the list contains the added object.</t>
  </si>
  <si>
    <t>if the index is between 0 and the size of the list, then either the object is null and the element at the index is null, or the element at the index equals the object</t>
  </si>
  <si>
    <t>If the index is between 0 and the size of the list inclusive, then if the object is null, the element at that index is also null, or the element at that index equals the object.</t>
  </si>
  <si>
    <t>If the index is valid (between 0 and the size of the list inclusive), then if the object is null, the element at that index is also null, or the element at that index equals the object.</t>
  </si>
  <si>
    <t>if the index is between 0 and the size of the list, then for each index i from 0 to index-1, the element at i is either null and was null before or it remains unchanged</t>
  </si>
  <si>
    <t>if the index is between 0 and the size of the list, then for each index i from 0 to index-1, the element at i is either null and was null before the operation, or it remains unchanged.</t>
  </si>
  <si>
    <t>if the index is between 0 and the size of the list, then for every index i less than the given index, the element at i is either null and was null before or it remains unchanged</t>
  </si>
  <si>
    <t>If the index is between 0 and the size of the list inclusive, then for every index i from 0 to index-1, the element at i either remains unchanged or continues to be null if it was null before.</t>
  </si>
  <si>
    <t>If the index is between 0 and the size of the list inclusive, then for each index i from 0 to index-1, the element at i either remains unchanged or continues to be null if it was null before.</t>
  </si>
  <si>
    <t>If the index is between 0 and the size of the list inclusive, then for every index i from 0 to index-1, the element at i either remains unchanged or is null if it was null before.</t>
  </si>
  <si>
    <t>if the index is between 0 and the size of the list, then for every index i from the insertion index to the old size minus one, either the element at i+1 and the old element at i are both null, or the element at i+1 equals the old element at i</t>
  </si>
  <si>
    <t>if the index is between 0 and the size of the list, then for every index i from the insertion index to the old size minus one, either both the element at i+1 and the old element at i are null, or the element at i+1 equals the old element at i</t>
  </si>
  <si>
    <t>If the index is between 0 and the size of the list inclusive, then for every valid index from this index to the old size of the list, the element at the next position is either null and the old element at this index is null, or the element at the next position equals the old element at this index.</t>
  </si>
  <si>
    <t>If the index is between 0 and the current size inclusive, then for every index from this index to the old size of the list, the element at each subsequent position is either null if the previous was null or equal to the previous element.</t>
  </si>
  <si>
    <t>If the index is valid (between 0 and the size of the list inclusive), then for every valid index from the insertion point to the old size of the list, the element at each subsequent index is either both null or equal to the element at the previous index before the insertion.</t>
  </si>
  <si>
    <t>the list is empty after clear</t>
  </si>
  <si>
    <t>size of the list is 0 after clearing</t>
  </si>
  <si>
    <t>if the index is within the valid range, then the result is the same as the element at that index before removal</t>
  </si>
  <si>
    <t>If the index is greater than or equal to 0 and less than the size of the list, then the returned value is the same as the value at that index before the removal operation.</t>
  </si>
  <si>
    <t>If the index is greater than or equal to 0 and less than the size of the list, then the result is equal to the element at that index before the removal.</t>
  </si>
  <si>
    <t>If the index is greater than or equal to 0 and less than the size of the list, then the returned value is the same as the value at that index before the removal.</t>
  </si>
  <si>
    <t>if the index is valid, then for each valid index i less than the given index, the element at i remains unchanged and is not null</t>
  </si>
  <si>
    <t>if the index is valid, then for each index i less than the given index, the element at position i remains unchanged if it was not null before the removal.</t>
  </si>
  <si>
    <t>If the index is valid (greater than or equal to 0 and less than the size of the list), then for every valid index less than the specified index, the element at that position remains unchanged or continues to be null if it was initially null.</t>
  </si>
  <si>
    <t>If the index is valid (greater than or equal to 0 and less than the size of the list), then for every index from 0 up to, but not including, the specified index, the element at that position remains unchanged or continues to be null if it was originally null.</t>
  </si>
  <si>
    <t>If the index is valid (greater than or equal to 0 and less than the size of the list), then for every index from 0 up to (but not including) the specified index, the element at that position remains unchanged or continues to be null if it was originally null.</t>
  </si>
  <si>
    <t>index&gt;=0 &amp;&amp; index&lt;this.size() =&gt; \forall int i; index&lt;i &amp;&amp; i&lt;\old(this).size()-1; this.get(i)==null &amp;&amp; \old(this).get(i+1)==null || this.get(i).equals(\old(this).get(i+1))</t>
  </si>
  <si>
    <t>if the index is within the bounds of the list, then for each index i greater than the removed index and less than the old size minus one, either the current element at i is null and the old element at i+1 is null, or the current element at i is equal to the old element at i+1</t>
  </si>
  <si>
    <t>if the index is within the valid range, then for each index i greater than the removed index and less than the old size minus one, either the current element at i is null and the old element at i+1 is null, or the current element at i is equal to the old element at i+1</t>
  </si>
  <si>
    <t>if the index is within the bounds of the list, then for every index i greater than the removed index and less than the old size minus one, either the current element at i is null and the old element at i+1 is null, or the current element at i is equal to the old element at i+1</t>
  </si>
  <si>
    <t>If the index is valid (greater than or equal to 0 and less than the size of the list), then for every position i greater than the index and less than the old size of the list minus one, either both the current and the old value at position i+1 are null or the current value at position i equals the old value at position i+1.</t>
  </si>
  <si>
    <t>If the index is valid (greater than or equal to 0 and less than the current size of the list), then for every index greater than the specified index and less than one less than the old size of the list, the element at each of these indices in the updated list should be equal to the element at the next index in the old list, unless both are null.</t>
  </si>
  <si>
    <t>if the index is within the valid range, then the result is the same as the old value at that index</t>
  </si>
  <si>
    <t>if the index is within the valid range, then the result is equal to the old value at that index</t>
  </si>
  <si>
    <t>if the index is within the valid range, then the result is the same as the value at that index before the set operation</t>
  </si>
  <si>
    <t>If the index is non-negative and less than the size of the list, then the returned value is the same as the value at that index before the set operation.</t>
  </si>
  <si>
    <t>If the index is greater than or equal to 0 and less than the size of the list, then the returned value is the same as the value at that index before the set operation.</t>
  </si>
  <si>
    <t>If the index is non-negative and less than the size of the list, then the returned value is the same as the element at that index before the set operation.</t>
  </si>
  <si>
    <t>index&gt;=0 &amp;&amp; index&lt;size() =&gt; \forall int i; 0&lt;=i &amp;&amp; i&lt;index; this.get(i)==null &amp;&amp; \old(this).get(i)==null || this.get(i).equals(\old(this).get(i))</t>
  </si>
  <si>
    <t>if the index is within the valid range, then for each index i less than the given index, the element at i is either null in both the old and new list, or it remains unchanged.</t>
  </si>
  <si>
    <t>if the index is within the valid range, then for every index i less than the given index, the element at i is either null in both the old and new lists or it remains unchanged.</t>
  </si>
  <si>
    <t>if the index is within the valid range, then for each index i less than the given index, the element at i remains unchanged and is either null or equal to its previous value</t>
  </si>
  <si>
    <t>If the index is valid (greater than or equal to 0 and less than the size of the list), then for every index from 0 up to, but not including, the specified index, the element at that position remains unchanged from its previous state, unless it was initially null.</t>
  </si>
  <si>
    <t>If the index is valid (greater than or equal to 0 and less than the size of the list), then for every valid index up to but not including the specified index, the element at that position remains unchanged or continues to be null if it was originally null.</t>
  </si>
  <si>
    <t>If the index is valid (non-negative and less than the size of the list), then for every valid index less than the specified index, the element at that position remains unchanged or is null both before and after the operation.</t>
  </si>
  <si>
    <t>if the index is within the valid range, then for every index greater than the given index and less than the size of the list, the element at that index is either null and was null before, or it remains unchanged.</t>
  </si>
  <si>
    <t>if the index is within the valid range, then for every index greater than the given index and less than the size of the list, the element either remains null or stays unchanged</t>
  </si>
  <si>
    <t>if the index is within the valid range, then for every index i greater than the given index and less than the size of the list, either both the current and old values at index i are null, or the current value at index i is equal to the old value at index i.</t>
  </si>
  <si>
    <t>If the index is valid (non-negative and less than the size of the list), then for every index greater than the specified index and less than the size of the list, the element at that index remains unchanged unless it was initially null.</t>
  </si>
  <si>
    <t>If the index is valid (non-negative and less than the size of the list), then for every index greater than the specified index and less than the size of the list, the element at each of these indices remains unchanged or continues to be null if it was originally null.</t>
  </si>
  <si>
    <t>If the index is valid (greater than or equal to 0 and less than the size of the list), then for every position i greater than the index and less than the size of the list, the element at position i remains unchanged or continues to be null if it was initially null.</t>
  </si>
  <si>
    <t>The size of the list is always greater than or equal to zero.</t>
  </si>
  <si>
    <t>For each index i between 0 and the size of the list, the element at index i in the list is either null and the element at index i in the result array is null, or the element at index i in the list is equal to the element at index i in the result array.</t>
  </si>
  <si>
    <t>For every valid index i (from 0 up to the size of the list), if the element at index i in the list is null, then the element at index i in the resulting array is also null; otherwise, the element at index i in the list equals the element at index i in the resulting array.</t>
  </si>
  <si>
    <t>For every valid index i (from 0 to the size of the list minus one), if the element at index i in the list is null, then the corresponding element in the resulting array is also null; otherwise, the element in the list at index i is equal to the element in the resulting array at index i.</t>
  </si>
  <si>
    <t>org.apache.commons.collections4.list.UnmodifiableList</t>
  </si>
  <si>
    <t>UnmodifiableList(List list)</t>
  </si>
  <si>
    <t>unmodifiableList(List list)</t>
  </si>
  <si>
    <t>the queue is empty after initialization</t>
  </si>
  <si>
    <t>The queue is empty after initialization with the default size.</t>
  </si>
  <si>
    <t>The queue is empty immediately after it is created.</t>
  </si>
  <si>
    <t>the size of the queue is 0 after initialization</t>
  </si>
  <si>
    <t>The size of the queue is zero immediately after initialization with the default size.</t>
  </si>
  <si>
    <t>if the collection is not null, then the size of the queue after construction is equal to the size of the collection</t>
  </si>
  <si>
    <t>if the collection is not null, then the size of this queue is equal to the size of the collection</t>
  </si>
  <si>
    <t>If the collection is not null, then the size of this queue equals the size of the collection.</t>
  </si>
  <si>
    <t>If the collection is not null, then for each index i between 0 and the size of this queue, the element at index i in this queue is the same as the element at index i in the collection.</t>
  </si>
  <si>
    <t>if the collection is not null, then for each index i between 0 and the size of this queue, the element at index i in this queue is the same as the element at index i in the collection</t>
  </si>
  <si>
    <t>if the collection is not null, then this queue becomes equal to the collection after construction</t>
  </si>
  <si>
    <t>if the collection is not null, then this queue will be equal to the collection after construction</t>
  </si>
  <si>
    <t>If the size is greater than or equal to 1, then the queue is initially empty.</t>
  </si>
  <si>
    <t>if the size is greater than or equal to 1, then the initial size of the queue is 0</t>
  </si>
  <si>
    <t>If the size is greater than or equal to 1, then the initial size of the queue is 0</t>
  </si>
  <si>
    <t>If the size is greater than or equal to 1, then the initial size of the queue is 0.</t>
  </si>
  <si>
    <t>If the element is not null, then the queue contains the element after adding it.</t>
  </si>
  <si>
    <t>If the element is not null, then it is contained in the queue.</t>
  </si>
  <si>
    <t>if the element is not null, then it is contained in the queue after the operation.</t>
  </si>
  <si>
    <t>If the element is not null, then the method always returns true.</t>
  </si>
  <si>
    <t>If the element is not null, then it equals the last element in the queue after adding.</t>
  </si>
  <si>
    <t>if the element is not null, then it equals the last element in the queue after adding</t>
  </si>
  <si>
    <t>If the element is not null, then it is equal to the last element in the queue after being added.</t>
  </si>
  <si>
    <t>The queue is empty after the clear operation.</t>
  </si>
  <si>
    <t>The queue is empty after clearing</t>
  </si>
  <si>
    <t>the size of the queue is 0 after clearing</t>
  </si>
  <si>
    <t>The size of the queue is 0 after clearing it.</t>
  </si>
  <si>
    <t>size of the queue is 0 after clearing</t>
  </si>
  <si>
    <t>The result is true if and only if the size of the queue is 0</t>
  </si>
  <si>
    <t>if the element is not null, then the queue contains the element after the operation</t>
  </si>
  <si>
    <t>if the element is not null, it equals the last element in the queue after the operation</t>
  </si>
  <si>
    <t>If the element is not null, it equals the last element in the queue after the operation.</t>
  </si>
  <si>
    <t>If the element is not null, then it is the same as the last element in the queue after it is added.</t>
  </si>
  <si>
    <t>If the element is not null, then it equals the last element in the queue after the operation.</t>
  </si>
  <si>
    <t>The size of the queue is always greater than or equal to 0</t>
  </si>
  <si>
    <t>The number of elements in the queue is always greater than or equal to 0.</t>
  </si>
  <si>
    <t>org.apache.commons.collections4.set.CompositeSet</t>
  </si>
  <si>
    <t>CompositeSet()</t>
  </si>
  <si>
    <t>CompositeSet(Set set)</t>
  </si>
  <si>
    <t>set!=null =&gt; this.size()==set.size()</t>
  </si>
  <si>
    <t xml:space="preserve">set!=null =&gt; this.equals(set) </t>
  </si>
  <si>
    <t>getSets()</t>
  </si>
  <si>
    <t>toSet()</t>
  </si>
  <si>
    <t>the newly created ListOrderedSet is empty</t>
  </si>
  <si>
    <t>The newly created ListOrderedSet is empty</t>
  </si>
  <si>
    <t>the size of the list ordered set is 0 after initialization</t>
  </si>
  <si>
    <t>The size of the newly created ListOrderedSet is 0</t>
  </si>
  <si>
    <t>The size of the ordered set is zero when it is created.</t>
  </si>
  <si>
    <t>index&gt;=0 &amp;&amp; index&lt;=this.size() =&gt; this.contains(object)</t>
  </si>
  <si>
    <t>If the index is between 0 and the size of the set, then the set contains the object at that index</t>
  </si>
  <si>
    <t>If the index is between 0 and the size of the set, then the set contains the object at that index.</t>
  </si>
  <si>
    <t>If the index is between 0 and the size of the set inclusive, then the set contains the object.</t>
  </si>
  <si>
    <t>If the index is greater than or equal to 0 and less than or equal to the size of the set, then the set contains the object.</t>
  </si>
  <si>
    <t>index&gt;=0 &amp;&amp; index&lt;=this.size() =&gt; object==null&amp;&amp;this.get(index)==null||this.get(index).equals(object)</t>
  </si>
  <si>
    <t>If the index is within the valid range, then either the object is null and the element at the index is null, or the element at the index is equal to the object.</t>
  </si>
  <si>
    <t>If the index is between 0 and the size of the set, then either the object is null and the element at the index is null, or the element at the index is equal to the object.</t>
  </si>
  <si>
    <t>If the index is within the bounds of the set, then either the object is null and the element at the index is null, or the element at the index is equal to the object.</t>
  </si>
  <si>
    <t>If the index is valid (between 0 and the size of the set inclusive), then if the object is null, the element at that index is also null, or the element at that index equals the object.</t>
  </si>
  <si>
    <t>If the index is within the valid range (from 0 to the size of the set), then the object at that index is either null if the object is null, or equal to the object otherwise.</t>
  </si>
  <si>
    <t>If the index is valid (greater than or equal to 0 and less than or equal to the size of the set), then if the object is null, the element at that index is also null, or the element at that index equals the object.</t>
  </si>
  <si>
    <t>If the index is between 0 and the size of the set, then for every index i less than the given index, the element at i is either null and was null before or it remains unchanged.</t>
  </si>
  <si>
    <t>If the index is within the bounds of the set, then for every index i less than the given index, the element at i is either null and was null before or it remains unchanged.</t>
  </si>
  <si>
    <t>If the index is valid (between 0 and the size of the set inclusive), then for every valid index up to the specified index, each element at that index either remains null if it was initially null, or remains unchanged compared to its initial state.</t>
  </si>
  <si>
    <t>If the index is within the valid range (from 0 to the size of the set), then for every valid index up to the specified index, either the element at that position is null and was null before, or it remains unchanged from its previous state.</t>
  </si>
  <si>
    <t>If the index is between 0 and the size of the set inclusive, then for every index i from 0 to this index, the element at i is either null and was null before, or remains unchanged from its previous state.</t>
  </si>
  <si>
    <t>If the index is between 0 and the size of the set, then for every index i from the given index to the old size minus one, the element at position i+1 is either null and the element at position i was null, or the element at position i+1 is equal to the element at position i in the old set.</t>
  </si>
  <si>
    <t>If the index is within the bounds of the set, then for every position i from index to the old size minus one, the element at position i+1 is either null and the element at position i was null, or the element at position i+1 is equal to the element at position i in the old set.</t>
  </si>
  <si>
    <t>If the index is between 0 and the size of the set, then for every index i from the given index to the old size minus one, either both the current and old elements at i+1 are null, or the current element at i+1 equals the old element at i.</t>
  </si>
  <si>
    <t>If the index of the first occurrence of the specified element is not -1 and the element at that index is null, then the specified element must also be null.</t>
  </si>
  <si>
    <t>If the index of the object is not -1 and the element at that index is not null, then the element at that index is equal to the object.</t>
  </si>
  <si>
    <t>If the result is not -1 and the element at the result index is not null, then the element at the result index is equal to the object.</t>
  </si>
  <si>
    <t>If the result is not -1 and the element at the result index is not null, then the element at the result index must be equal to the specified object.</t>
  </si>
  <si>
    <t>\result!=-1 =&gt; \forall int i; 0&lt;=I &amp;&amp; i&lt;\result; this.get(i)==null &amp;&amp; object!=null || this.get(i)!=null &amp;&amp; !this.get(i).equals(object)</t>
  </si>
  <si>
    <t>If the object is found in the set, then for every index before its first occurrence, the element at that index is either null (if the object is not null) or not equal to the object.</t>
  </si>
  <si>
    <t>If the object is found in the set, then for every index before its position, the element at that index is either null (if the object is null) or not equal to the object.</t>
  </si>
  <si>
    <t>If the index of the first occurrence of the specified element is not -1, then for every index from 0 up to but not including this index, the element at each index is either null and the specified element is not null, or the element is not null and does not equal the specified element.</t>
  </si>
  <si>
    <t>If the result is not -1, then for every index from 0 up to but not including the result, the element at that index is either null and the object is not null, or the element is not null and does not equal the object.</t>
  </si>
  <si>
    <t>if the index is within the bounds of the set, then the removed element is the same as the element at that index before removal</t>
  </si>
  <si>
    <t>If the index is valid (greater than or equal to 0 and less than the size of the set), then the result is the element that was at that index before the operation.</t>
  </si>
  <si>
    <t>If the index is non-negative and less than the size of the set, then the result is the element that was at that index before the removal.</t>
  </si>
  <si>
    <t>If the index is non-negative and less than the size of the ordered set, then the result is equal to the element at that index before the removal.</t>
  </si>
  <si>
    <t>If the index is within the valid range, then for each index less than the given index, the element at that index remains unchanged.</t>
  </si>
  <si>
    <t>If the index is valid (greater than or equal to 0 and less than the size of the set), then for every valid index less than the specified index, the element at that position remains unchanged or continues to be null after the removal.</t>
  </si>
  <si>
    <t>if the index is valid (non-negative and less than the size), then for every valid index less than the specified index, the element at that position remains unchanged or continues to be null if it was null before.</t>
  </si>
  <si>
    <t>If the index is valid (greater than or equal to 0 and less than the size of the set), then for every position from 0 up to, but not including, the index, the element at that position remains unchanged after the operation if it was not null before the operation.</t>
  </si>
  <si>
    <t>If the index is within the valid range, then for each subsequent index, the element at the current index is either null and the next old element is null, or it is equal to the next old element.</t>
  </si>
  <si>
    <t>If the index is within the bounds of the set, then for each subsequent index, the current element is either null and the next old element is null, or the current element equals the next old element.</t>
  </si>
  <si>
    <t>If the index is within the bounds of the set, then for every index i greater than the removed index and less than the old size minus one, the element at i is either null and the old element at i+1 is null, or the element at i is equal to the old element at i+1.</t>
  </si>
  <si>
    <t>If the index is valid (greater than or equal to 0 and less than the size of the set), then for every position i greater than the index and less than the old size minus one, either both the current and the next old elements are null, or the current element equals the next old element.</t>
  </si>
  <si>
    <t>If the index is valid (non-negative and less than the current size of the set), then for every position i greater than the index and less than the old size minus one, either both the current and the old next element are null, or the current element equals the old next element.</t>
  </si>
  <si>
    <t>if the index is valid (greater than or equal to 0 and less than the size of the set), then for every position i greater than the index and less than the old size minus one, the element at position i in the set after removal is either null and the old element at position i+1 is null, or it equals the old element at position i+1.</t>
  </si>
  <si>
    <t>The size of the set is always greater than or equal to 0.</t>
  </si>
  <si>
    <t>org.apache.commons.collections4.set.MapBackedSet</t>
  </si>
  <si>
    <t>mapBackedSet(Map map)</t>
  </si>
  <si>
    <t>map==null =&gt; throw NullPointerExpcetion</t>
  </si>
  <si>
    <t>map!=null</t>
  </si>
  <si>
    <t>mapBackedSet(Map map, V dummyValue)</t>
  </si>
  <si>
    <t>org.apache.commons.collections4.set.PredicatedNavigableSet</t>
  </si>
  <si>
    <t>predicatedNavigableSet(NavigableSet set, Predicate predicate)</t>
  </si>
  <si>
    <t>set==null =&gt; throw NullPointerExpcetion</t>
  </si>
  <si>
    <t>set!=null</t>
  </si>
  <si>
    <t>org.apache.commons.collections4.set.PredicatedSet</t>
  </si>
  <si>
    <t>predicatedSet(Set set, Predicate predicate)</t>
  </si>
  <si>
    <t>org.apache.commons.collections4.set.PredicatedSortedSet</t>
  </si>
  <si>
    <t>predicatedSortedSet(SortedSet set, Predicate predicate)</t>
  </si>
  <si>
    <t>org.apache.commons.collections4.set.TransformedNavigableSet</t>
  </si>
  <si>
    <t>transformedNavigableSet(NavigableSet set, Transformer transformer)</t>
  </si>
  <si>
    <t>transformingNavigableSet(NavigableSet set, Transformer transformer)</t>
  </si>
  <si>
    <t>org.apache.commons.collections4.set.TransformedSet</t>
  </si>
  <si>
    <t>transformedSet(Set set, Transformer transformer)</t>
  </si>
  <si>
    <t>transformingSet(Set set, Transformer transformer)</t>
  </si>
  <si>
    <t>org.apache.commons.collections4.set.TransformedSortedSet</t>
  </si>
  <si>
    <t>getSortedSet()</t>
  </si>
  <si>
    <t>transformedSortedSet(SortedSet set, Transformer transformer)</t>
  </si>
  <si>
    <t>transformingSortedSet(SortedSet set, Transformer transformer)</t>
  </si>
  <si>
    <t>org.apache.commons.collections4.set.UnmodifiableNavigableSet</t>
  </si>
  <si>
    <t>unmodifiableNavigableSet(Set set)</t>
  </si>
  <si>
    <t>org.apache.commons.collections4.set.UnmodifiableSet</t>
  </si>
  <si>
    <t>unmodifiableSet(Set set)</t>
  </si>
  <si>
    <t>org.apache.commons.collections4.set.UnmodifiableSortedSet</t>
  </si>
  <si>
    <t>unmodifiableSortedSet(Set set)</t>
  </si>
  <si>
    <t>com.google.common.collect.ArrayTable</t>
  </si>
  <si>
    <t>at(int rowIndex, int columnIndex)</t>
  </si>
  <si>
    <t>rowIndex&lt;0 =&gt; throw IndexOutOfBoundsException</t>
  </si>
  <si>
    <t>rowIndex&gt;=0</t>
  </si>
  <si>
    <t>columnIndex&lt;0 =&gt; throw IndexOutOfBoundsException</t>
  </si>
  <si>
    <t>columnIndex&gt;=0</t>
  </si>
  <si>
    <t>cellSet()</t>
  </si>
  <si>
    <t>column(C columnKey)</t>
  </si>
  <si>
    <t>columnKeyList()</t>
  </si>
  <si>
    <t>columnKeySet()</t>
  </si>
  <si>
    <t>columnMap()</t>
  </si>
  <si>
    <t>create(Iterable rowKeys, Iterable columnKeys)</t>
  </si>
  <si>
    <t>create(Table table)</t>
  </si>
  <si>
    <t>row(R rowKey)</t>
  </si>
  <si>
    <t>rowKeyList()</t>
  </si>
  <si>
    <t>rowKeySet()</t>
  </si>
  <si>
    <t>rowMap()</t>
  </si>
  <si>
    <t>set(int rowIndex, int columnIndex, V value)</t>
  </si>
  <si>
    <t>toArray(Class valueClass)</t>
  </si>
  <si>
    <t>com.google.common.collect.ConcurrentHashMultiset</t>
  </si>
  <si>
    <t>add(E element, int occurrences)</t>
  </si>
  <si>
    <t>occurrences&lt;0  =&gt; throw IllegalArgumentException</t>
  </si>
  <si>
    <t>occurrences&gt;=0</t>
  </si>
  <si>
    <t>create()</t>
  </si>
  <si>
    <t>create(Iterable elements)</t>
  </si>
  <si>
    <t>elements!=null =&gt; this.size()==elements.size()</t>
  </si>
  <si>
    <t xml:space="preserve">elements!=null =&gt; this.equals(elements) </t>
  </si>
  <si>
    <t>create(MapMaker mapMaker)</t>
  </si>
  <si>
    <t>elementSet()</t>
  </si>
  <si>
    <t>remove(Object element, int occurrences)</t>
  </si>
  <si>
    <t>removeExactly(Object element, int occurrences)</t>
  </si>
  <si>
    <t>setCount(E element, int count)</t>
  </si>
  <si>
    <t>setCount(E element, int expectedOldCount, int newCount)</t>
  </si>
  <si>
    <t>expectedOldCount&lt;0  =&gt; throw IllegalArgumentException</t>
  </si>
  <si>
    <t>newCount&lt;0  =&gt; throw IllegalArgumentException</t>
  </si>
  <si>
    <t>com.google.common.collect.EnumMultiset</t>
  </si>
  <si>
    <t>create(Class type)</t>
  </si>
  <si>
    <t>elements.isEmpty()  =&gt; throw IllegalArgumentException</t>
  </si>
  <si>
    <t>create(Iterable elements, Class type)</t>
  </si>
  <si>
    <t>com.google.common.collect.EvictingQueue</t>
  </si>
  <si>
    <t>create(int maxSize)</t>
  </si>
  <si>
    <t>delegate()</t>
  </si>
  <si>
    <t>com.google.common.collect.HashBasedTable</t>
  </si>
  <si>
    <t>create(int expectedRows, int expectedCellsPerRow)</t>
  </si>
  <si>
    <t>expectedRows&lt;0  =&gt; throw IllegalArgumentException</t>
  </si>
  <si>
    <t>expectedRows&gt;=0</t>
  </si>
  <si>
    <t>expectedCellsPerRow&lt;0  =&gt; throw IllegalArgumentException</t>
  </si>
  <si>
    <t>expectedCellsPerRow&gt;=1</t>
  </si>
  <si>
    <t>com.google.common.collect.LinkedHashMultiset</t>
  </si>
  <si>
    <t>comparator()</t>
  </si>
  <si>
    <t>create(Comparator comparator)</t>
  </si>
  <si>
    <t>com.google.common.collect.TreeMultiset</t>
  </si>
  <si>
    <t>descendingMultiset()</t>
  </si>
  <si>
    <t>headMultiset(E upperBound, BoundType boundType)</t>
  </si>
  <si>
    <t>subMultiset(E fromElement, BoundType fromBoundType, E toElement, BoundType toBoundType)</t>
  </si>
  <si>
    <t>tailMultiset(E lowerBound, BoundType boundType)</t>
  </si>
  <si>
    <t>com.google.common.collect.TreeRangeSet</t>
  </si>
  <si>
    <t>add(Range rangeToAdd)</t>
  </si>
  <si>
    <t>rangeToAdd!=null =&gt; this.contains(rangeToAdd)</t>
  </si>
  <si>
    <t>asDescendingSetOfRanges()</t>
  </si>
  <si>
    <t>asRanges()</t>
  </si>
  <si>
    <t>complement()</t>
  </si>
  <si>
    <t>create(RangeSet rangeSet)</t>
  </si>
  <si>
    <t xml:space="preserve">rangeSet!=null =&gt; this.equals(rangeSet) </t>
  </si>
  <si>
    <t>rangeContaining(C value)</t>
  </si>
  <si>
    <t>span()</t>
  </si>
  <si>
    <t>subRangeSet(Range view)</t>
  </si>
  <si>
    <t>the array contains the added element after the operation</t>
  </si>
  <si>
    <t>The array contains the added element after the operation</t>
  </si>
  <si>
    <t>The method always returns true when adding an element to the array.</t>
  </si>
  <si>
    <t>If the element is null, the last element in the array is null; otherwise, the last element in the array is equal to the added element.</t>
  </si>
  <si>
    <t>i&gt;=0 &amp;&amp; i&lt;this.size() =&gt; \result==\old(this.get(i))</t>
  </si>
  <si>
    <t>If the index is within the bounds of the array, the result of removing the element is the same as the element at that index before removal.</t>
  </si>
  <si>
    <t>If the index is within the bounds of the array, then the result of removing the element is the same as the element that was at that index before removal.</t>
  </si>
  <si>
    <t>If the index is non-negative and less than the size of the array, then the result is equal to the element at that index before the method was executed.</t>
  </si>
  <si>
    <t>If the index is valid (between 0 and the size of the array), then the result is the element that was at that index before the removal.</t>
  </si>
  <si>
    <t>If the index is non-negative and less than the size of the array, then the result is the same as the element at that index before the method execution.</t>
  </si>
  <si>
    <t>i&gt;=0 &amp;&amp; i&lt;size() =&gt; \forall int j; 0&lt;=j &amp;&amp; j&lt;i; this.get(j)==null &amp;&amp; \old(this.get(j))==null || this.get(j).equals(\old(this.get(j)))</t>
  </si>
  <si>
    <t>If the index i is within bounds, then for each index j less than i, the element at j is either null and was null before or it remains unchanged.</t>
  </si>
  <si>
    <t>If the index i is valid, then for each index j less than i, the element at j is either null before and after the removal, or it remains unchanged.</t>
  </si>
  <si>
    <t>If the index i is within valid bounds, then for every index j less than i, the element at j remains unchanged or continues to be null if it was null before.</t>
  </si>
  <si>
    <t>i&gt;=0 &amp;&amp; i&lt;this.size() =&gt; \forall int j; index&lt;j &amp;&amp; j&lt;\old(this.size()-1); this.get(j)==null &amp;&amp; \old(this.get(j+1))==null || this.get(j).equals(\old(this.get(j+1)))</t>
  </si>
  <si>
    <t>If the index is valid, then for each index j between the removed index and the old size minus one, either both the current and previous elements at j are null, or the current element at j is equal to the previous element at j+1.</t>
  </si>
  <si>
    <t>If the index i is within bounds, then for each index j from i to the old size minus two, either both the current and previous elements are null, or the current element equals the previous element.</t>
  </si>
  <si>
    <t>If the index is valid, then for each valid index j less than the old size minus one, either both the current and previous elements at j and j+1 are null, or the current element at j is equal to the previous element at j+1.</t>
  </si>
  <si>
    <t>If the index is valid (between 0 and the size of the array), then for every index greater than the specified index and less than the previous size minus one, the element at that index should either be null and the next element should also be null, or it should be equal to the next element.</t>
  </si>
  <si>
    <t>If the index is valid (greater than or equal to 0 and less than the size of the array), then for every index j greater than the given index and less than the previous size of the array minus one, the element at index j is either null and the next element was also null, or the element at index j is equal to the next element before the removal.</t>
  </si>
  <si>
    <t>If the index is valid (greater than or equal to 0 and less than the size of the array), then for every index greater than the specified index and less than the old size minus one, either both the current and the next elements are null, or the current element is equal to the next old element.</t>
  </si>
  <si>
    <t>The number of elements in the array is always greater than or equal to 0</t>
  </si>
  <si>
    <t>size of the array is always greater than or equal to 0</t>
  </si>
  <si>
    <t>The number of elements in the array is always greater than or equal to 0.</t>
  </si>
  <si>
    <t>org.graphstream.algorithm.generator.RandomGenerator</t>
  </si>
  <si>
    <t>RandomGenerator(double averageDegree)</t>
  </si>
  <si>
    <t>averageDegree&lt;0 =&gt; throw IllegalArgumentException</t>
  </si>
  <si>
    <t>RandomGenerator(double averageDegree, boolean allowRemove)</t>
  </si>
  <si>
    <t>RandomGenerator(double averageDegree, boolean allowRemove, boolean directed)</t>
  </si>
  <si>
    <t>RandomGenerator(double averageDegree, boolean allowRemove, boolean directed, String nodeAttribute, String edgeAttribute)</t>
  </si>
  <si>
    <t>nextEvents()</t>
  </si>
  <si>
    <t>the path is empty when it is newly created</t>
  </si>
  <si>
    <t>the path is initially empty</t>
  </si>
  <si>
    <t>the size of the path is 0 when a new path is created</t>
  </si>
  <si>
    <t>The size of the path is zero when it is newly created.</t>
  </si>
  <si>
    <t>the path contains the added edge after the operation</t>
  </si>
  <si>
    <t>If edge is null, the last element in the path is null; otherwise, the last element in the path is the added edge.</t>
  </si>
  <si>
    <t>If edge is null, the last element of the path is null; otherwise, the last element of the path is the added edge.</t>
  </si>
  <si>
    <t>this.Empty()</t>
  </si>
  <si>
    <t>the path is empty after clearing</t>
  </si>
  <si>
    <t>the path is empty after clearing it.</t>
  </si>
  <si>
    <t>size of the path is 0 after clearing</t>
  </si>
  <si>
    <t>The result is true if and only if the size of the path is 0</t>
  </si>
  <si>
    <t>size of the path is always greater than or equal to 0</t>
  </si>
  <si>
    <t>org.jgrapht.alg.cycle.JohnsonSimpleCycles</t>
  </si>
  <si>
    <t>JohnsonSimpleCycles​(Graph&lt;V,​E&gt; graph)</t>
  </si>
  <si>
    <t>graph==null =&gt; throw IllegalArgumentException</t>
  </si>
  <si>
    <t>findSimpleCycles()</t>
  </si>
  <si>
    <t>org.jgrapht.alg.cycle.HawickJamesSimpleCycles</t>
  </si>
  <si>
    <t>HawickJamesSimpleCycles​(Graph&lt;V,​E&gt; graph)</t>
  </si>
  <si>
    <t>countSimpleCycles()</t>
  </si>
  <si>
    <t>org.jgrapht.alg.cycle.PatonCycleBase</t>
  </si>
  <si>
    <t>PatonCycleBase​(Graph&lt;V,​E&gt; graph)</t>
  </si>
  <si>
    <t>org.jgrapht.alg.cycle.SzwarcfiterLauerSimpleCycles</t>
  </si>
  <si>
    <t>SzwarcfiterLauerSimpleCycles​(Graph&lt;V,​E&gt; graph)</t>
  </si>
  <si>
    <t>org.jgrapht.alg.cycle.TarjanSimpleCycles</t>
  </si>
  <si>
    <t>TarjanSimpleCycles​(Graph&lt;V,​E&gt; graph)</t>
  </si>
  <si>
    <t>org.jgrapht.alg.cycle.TiernanSimpleCycles</t>
  </si>
  <si>
    <t>TiernanSimpleCycles(Graph&lt;V,​E&gt; graph)</t>
  </si>
  <si>
    <t>org.jgrapht.generate.CompleteGraphGenerator</t>
  </si>
  <si>
    <t>CompleteGraphGenerator​(int size)</t>
  </si>
  <si>
    <t>size&lt;0 =&gt; throw IllegalArgumentException</t>
  </si>
  <si>
    <t>size&gt;=0</t>
  </si>
  <si>
    <t>org.jgrapht.generate.EmptyGraphGenerator</t>
  </si>
  <si>
    <t>EmptyGraphGenerator(int size)</t>
  </si>
  <si>
    <t>org.jgrapht.generate.LinearGraphGenerator</t>
  </si>
  <si>
    <t>LinearGraphGenerator(int size)</t>
  </si>
  <si>
    <t>org.jgrapht.generate.RingGraphGenerator</t>
  </si>
  <si>
    <t>RingGraphGenerator(int size)</t>
  </si>
  <si>
    <t>The graph contains the source vertex after adding the edge.</t>
  </si>
  <si>
    <t>The graph contains the source vertex.</t>
  </si>
  <si>
    <t>The graph contains the target vertex after adding the edge.</t>
  </si>
  <si>
    <t>The graph contains the newly added edge after the operation</t>
  </si>
  <si>
    <t>the graph contains the edge returned by the method.</t>
  </si>
  <si>
    <t>The graph contains the added vertex after the operation</t>
  </si>
  <si>
    <t>The graph contains the added vertex after the operation.</t>
  </si>
  <si>
    <t>org.jgrapht.graph.DirectedAcyclicGraph</t>
  </si>
  <si>
    <t>org.jgrapht.graph.EdgeReversedGraph</t>
  </si>
  <si>
    <t>getAllEdges(V sourceVertex, V targetVertex)</t>
  </si>
  <si>
    <t>incomingEdgesOf(V vertex)</t>
  </si>
  <si>
    <t>outgoingEdgesOf(V vertex)</t>
  </si>
  <si>
    <t>org.jgrapht.graph.GraphDelegator</t>
  </si>
  <si>
    <t>edgeSet()</t>
  </si>
  <si>
    <t>edgesOf(V vertex)</t>
  </si>
  <si>
    <t>vertexSet()</t>
  </si>
  <si>
    <t>org.jgrapht.graph.ParanoidGraph</t>
  </si>
  <si>
    <t>Naturalness</t>
  </si>
  <si>
    <t>Human-written NL assertions</t>
  </si>
  <si>
    <t>Source code link</t>
  </si>
  <si>
    <t>Written by Hongyi</t>
  </si>
  <si>
    <t>Written by Madhu</t>
  </si>
  <si>
    <t>Written by Adithya</t>
  </si>
  <si>
    <t>gen0</t>
  </si>
  <si>
    <t>java.util.TreeSet</t>
  </si>
  <si>
    <t xml:space="preserve">e!=null &amp;&amp; !\old(this.contains(e)) =&gt; \result==true </t>
  </si>
  <si>
    <t>https://github.com/Lhtie/llms-for-assertions/blob/master/naturalness/TreeSet.java</t>
  </si>
  <si>
    <t>it returns true if the specified element to be added is not null and the set did not initially contain it.</t>
  </si>
  <si>
    <t>assert e != null &amp;&amp; !\old(this.contains(e)) =&gt; \result == true;</t>
  </si>
  <si>
    <t>e!=null &amp;&amp; \old(this.contains(e)) =&gt; \result==false</t>
  </si>
  <si>
    <t>it returns false if the specified element to be added is not null and the set already contains it.</t>
  </si>
  <si>
    <t>assert e != null &amp;&amp; \old(this.contains(e)) =&gt; !\result;</t>
  </si>
  <si>
    <t>assert e != null &amp;&amp; this.contains(e) =&gt; \result == false;</t>
  </si>
  <si>
    <t>if the specified element is not null, it should be present in the set after the operation.</t>
  </si>
  <si>
    <t>o!=null &amp;&amp; \old(this.contains(o)) =&gt; \result==true</t>
  </si>
  <si>
    <t>o==null =&gt; throw NullPointerException</t>
  </si>
  <si>
    <t>o!=null</t>
  </si>
  <si>
    <t>it returns true if the specified element is not null and it is initially present.</t>
  </si>
  <si>
    <t>assert o != null &amp;&amp; \old(this.contains(o)) =&gt; \result == true;</t>
  </si>
  <si>
    <t>assert o != null &amp;&amp; \old(this.contains(o)) =&gt; \result;</t>
  </si>
  <si>
    <t>o!=null &amp;&amp; !\old(this.contains(o)) =&gt; \result==false</t>
  </si>
  <si>
    <t>it returns false if the specified element is not null and it is not contained in the set.</t>
  </si>
  <si>
    <t>assert o != null &amp;&amp; !\old(this.contains(o)) =&gt; !\result;</t>
  </si>
  <si>
    <t>\result==true =&gt; !this.contains(o)</t>
  </si>
  <si>
    <t>the specified element should not be present after the operation if the operation is successful.</t>
  </si>
  <si>
    <t>assert o != null =&gt; !this.contains(o);</t>
  </si>
  <si>
    <t>this.isEmpty()==true</t>
  </si>
  <si>
    <t>after the operation, the set should be empty.</t>
  </si>
  <si>
    <t>(\result==null) == \old(this.isEmpty())</t>
  </si>
  <si>
    <t>the returned value is null if and only if the set is initially empty.</t>
  </si>
  <si>
    <t>assert (\result == null) == \old(this.isEmpty());</t>
  </si>
  <si>
    <t>assert \result == null &lt;=&gt; \old(this.isEmpty());</t>
  </si>
  <si>
    <t>\result!=null =&gt; \result.equals(\old(this.first()))</t>
  </si>
  <si>
    <t>the returned value should be the first element in the set if it is not null.</t>
  </si>
  <si>
    <t>assert \result == null || \result.equals(\old(this.first()));</t>
  </si>
  <si>
    <t>\result!=null =&gt; !this.contains(\result)</t>
  </si>
  <si>
    <t>the polled value should not be present in the set after the operation if the return is not null.</t>
  </si>
  <si>
    <t>assert \result != null =&gt; !this.contains(\result);</t>
  </si>
  <si>
    <t>assert \result == null &amp;lt;&amp;gt; \old(this.isEmpty());</t>
  </si>
  <si>
    <t>\result!=null =&gt; \result.equals(\old(this.last()))</t>
  </si>
  <si>
    <t>the returned value should be the last element in the set if it is not null.</t>
  </si>
  <si>
    <t>assert \result == null || \result.equals(\old(this.last()));</t>
  </si>
  <si>
    <t>org.jgrapht.alg.util.UnionFind</t>
  </si>
  <si>
    <t>addElement(T element)</t>
  </si>
  <si>
    <t>!this.contains(element) =&gt; this.size()==\old(this.size())+1</t>
  </si>
  <si>
    <t>this.contains(element) =&gt; throw IllegalArgumentException</t>
  </si>
  <si>
    <t>!this.contains(element)</t>
  </si>
  <si>
    <t>https://github.com/Lhtie/llms-for-assertions/blob/master/naturalness/UnionFind.java</t>
  </si>
  <si>
    <t>the total number of elements in the union-find sets should increase by 1 after the operation if the element is not initially contained.</t>
  </si>
  <si>
    <t>assert !\old(this.contains(element)) =&gt; this.size() == \old(this.size()) + 1;</t>
  </si>
  <si>
    <t>!this.contains(element) =&gt; this.numberOfSets()==\old(this.numberOfSets())+1</t>
  </si>
  <si>
    <t>the number of different sets in the data structure should increase by 1 after the operation if the element is not initially contained.</t>
  </si>
  <si>
    <t>assert !\old(this.contains(element)) =&gt; this.numberOfSets() == \old(this.numberOfSets()) + 1;</t>
  </si>
  <si>
    <t>!this.contains(element) =&gt; element.equals(this.find(element))</t>
  </si>
  <si>
    <t>after the add operation, the representative of the set that the added element is in should be itself if the element is not initially contained.</t>
  </si>
  <si>
    <t>assert !\old(this.contains(element)) =&gt; this.find(element).equals(element);</t>
  </si>
  <si>
    <t>the element is contained after the operation.</t>
  </si>
  <si>
    <t>union(T element1, T element2)</t>
  </si>
  <si>
    <t>this.contains(element1)&amp;&amp;this.contains(element2) =&gt; this.size()==\old(this.size())</t>
  </si>
  <si>
    <t>!this.contains(element1)||!this.contains(element2) =&gt; throw illegalArgumentException</t>
  </si>
  <si>
    <t>this.contains(element1)&amp;&amp;this.contains(element2)</t>
  </si>
  <si>
    <t>the size of the data structure should remain the same if two elements are initially contained.</t>
  </si>
  <si>
    <t>assert \old(this.size()) == this.size();</t>
  </si>
  <si>
    <t>assert \result == \old(this.size());</t>
  </si>
  <si>
    <t>this.contains(element1)&amp;&amp;this.contains(element2) =&gt; this.numberOfSets()==\old(this.numberOfSets())-1</t>
  </si>
  <si>
    <t>the number of different sets should decrease by 1 after the operation if two elements are initially contained.</t>
  </si>
  <si>
    <t>assert \old(this.inSameSet(element1, element2)) =&gt; \result == \old(this.numberOfSets()) - 1;</t>
  </si>
  <si>
    <t>assert \old(this.inSameSet(element1, element2)) =&gt; this.numberOfSets() == \old(this.numberOfSets()) &amp;&amp; !\old(this.inSameSet(element1, element2)) =&gt; this.numberOfSets() == \old(this.numberOfSets()) - 1;</t>
  </si>
  <si>
    <t>this.contains(element1)&amp;&amp;this.contains(element2) =&gt; this.inSameSet(element1, element2)</t>
  </si>
  <si>
    <t>after the union, the two elements should be in the same set if two elements are initially contained.</t>
  </si>
  <si>
    <t>assert this.inSameSet(element1, element2);</t>
  </si>
  <si>
    <t>reset()</t>
  </si>
  <si>
    <t>this.size()==\old(this.size())</t>
  </si>
  <si>
    <t>the size of the data structure should remain the same.</t>
  </si>
  <si>
    <t>this.numberOfSets()==this.size()</t>
  </si>
  <si>
    <t>the number of sets should be equal to the total number of elements after reset.</t>
  </si>
  <si>
    <t>assert this.numberOfSets() == this.size();</t>
  </si>
  <si>
    <t>Trie</t>
  </si>
  <si>
    <t>add(String word)</t>
  </si>
  <si>
    <t>word!=null =&gt; this.contains(word)</t>
  </si>
  <si>
    <t>word==null =&gt; throw NullPointerException</t>
  </si>
  <si>
    <t>word!=null</t>
  </si>
  <si>
    <t>https://github.com/Lhtie/llms-for-assertions/blob/master/naturalness/Trie.java</t>
  </si>
  <si>
    <t>the trie should contain the added word after add operation if the word is not null.</t>
  </si>
  <si>
    <t>assert this.contains(word);</t>
  </si>
  <si>
    <t>word!=null =&gt; !\old(this.contains(word)) == (\result==true)</t>
  </si>
  <si>
    <t>when the word is not null, the result is true if and only if the word is not initially contained.</t>
  </si>
  <si>
    <t>assert word != null =&gt; \result == !\old(this.contains(word));</t>
  </si>
  <si>
    <t>word!=null&amp;&amp;!\old(this.contains(word)) =&gt; this.size()==\old(this.size())+1</t>
  </si>
  <si>
    <t>when the word is not null and haven't been added, the resulting trie should have one more in size.</t>
  </si>
  <si>
    <t>assert word != null &amp;&amp; !\old(this.contains(word)) =&gt; this.size() == \old(this.size()) + 1;</t>
  </si>
  <si>
    <t>word!=null&amp;&amp;\old(this.contains(word)) =&gt; this.size()==\old(this.size())</t>
  </si>
  <si>
    <t>when the word is not null but already added to the trie, the size of the trie should remain the same.</t>
  </si>
  <si>
    <t>assert word != null &amp;&amp; !\old(this.contains(word)) =&gt; \result == true &amp;&amp; this.size() == \old(this.size()) + 1;</t>
  </si>
  <si>
    <t>assert word != null &amp;&amp; !\old(this.contains(word)) =&gt; \result == true &amp;&amp; this.size() == \old(this.size());</t>
  </si>
  <si>
    <t>word!=null =&gt; \forall int i; 1&lt;=i&amp;&amp;i&lt;=word.length(); this.startsWith(word.substring(0,i))==true</t>
  </si>
  <si>
    <t>if the word is not null, the trie contains at least one string that starts with each prefix of the added word after the add operation.</t>
  </si>
  <si>
    <t>assert word != null =&gt; \forall int j; 0 &lt;= j &amp;&amp; j &lt;= word.length(); this.startsWith(word.substring(0, j));</t>
  </si>
  <si>
    <t>assert \forall int j; 0 &lt;= j &amp;&amp; j &lt;= word.length(); this.startsWith(word.substring(0, j));</t>
  </si>
  <si>
    <t>word!=null&amp;&amp;!\old(this.contains(word)) =&gt; \forall int i; 1&lt;=i&amp;&amp;i&lt;=word.length(); this.countPrefix(word.substring(0,i))==\old(this.countPrefix(word.substring(0,i)))+1</t>
  </si>
  <si>
    <t>if the word is not null and haven't been added, all of the number of strings contained in the trie that start with each prefix of the added word should increase by 1.</t>
  </si>
  <si>
    <t>assert word != null &amp;&amp; !\old(this.contains(word)) =&gt; \forall int j; 0 &lt;= j &amp;&amp; j &lt;= word.length(); this.countPrefix(word.substring(0, j)) == \old(this.countPrefix(word.substring(0, j))) + 1;</t>
  </si>
  <si>
    <t>assert word != null &amp;&amp; !\old(this.contains(word)) =&gt; \forall int j; 0&lt;=j &amp;&amp; j&lt;=word.length(); this.countPrefix(word.substring(0, j)) == \old(this.countPrefix(word.substring(0, j))) + 1;</t>
  </si>
  <si>
    <t>word!=null =&gt; \forall int i; 1&lt;=i&amp;&amp;i&lt;=word.length(); this.keysWithPrefix(word.substring(0,i)).contains(word)</t>
  </si>
  <si>
    <t>if the word is not null, the word should be contained in every list of strings in the trie that start with each prefix of the word.</t>
  </si>
  <si>
    <t>assert word != null =&gt; \forall String prefix; this.startsWith(prefix) &amp;&amp; prefix.length() &lt;= word.length(); this.keysWithPrefix(prefix).contains(word);</t>
  </si>
  <si>
    <t>remove(String word)</t>
  </si>
  <si>
    <t>word!=null =&gt; !this.contains(word)</t>
  </si>
  <si>
    <t>the trie should not contain the removed word after the operation if the word is not null.</t>
  </si>
  <si>
    <t>assert !this.contains(word);</t>
  </si>
  <si>
    <t>word!=null =&gt; (\result==true) == \old(this.contains(word))</t>
  </si>
  <si>
    <t>when the word is not null, the result is true if and only if the word is initially contained.</t>
  </si>
  <si>
    <t>assert word != null =&gt; \result == \old(this.contains(word));</t>
  </si>
  <si>
    <t>word!=null&amp;&amp;\old(this.contains(word)) =&gt; this.size()==\old(this.size())-1</t>
  </si>
  <si>
    <t>when the word is not null and present in the trie, the resulting trie should have its size decrease by 1.</t>
  </si>
  <si>
    <t>assert word != null &amp;&amp; \old(this.contains(word)) =&gt; this.size() == \old(this.size()) - 1;</t>
  </si>
  <si>
    <t>word!=null&amp;&amp;!\old(this.contains(word)) =&gt; this.size()==\old(this.size())</t>
  </si>
  <si>
    <t>when the word is not null but not present the trie, the size of the trie should remain the same.</t>
  </si>
  <si>
    <t>assert word != null &amp;&amp; !\old(this.contains(word)) =&gt; \result == false &amp;&amp; this.size() == \old(this.size());</t>
  </si>
  <si>
    <t>assert word != null &amp;&amp; !\old(this.contains(word)) =&gt; this.size() == \old(this.size());</t>
  </si>
  <si>
    <t>word!=null&amp;&amp;\old(this.contains(word)) =&gt; \forall int i; 1&lt;=i&amp;&amp;i&lt;=word.length(); this.countPrefix(word.substring(0,i))==\old(this.countPrefix(word.substring(0,i)))-1</t>
  </si>
  <si>
    <t>if the word is not null and present in the trie, all of the number of strings contained in the trie that start with each prefix of the given word should decrease by 1 after the remove operation.</t>
  </si>
  <si>
    <t>assert word != null &amp;&amp; \old(this.contains(word)) =&gt; \forall int i; 0&lt;=i &amp;&amp; i&lt;=word.length(); \old(this.countPrefix(word.substring(0, i))) == this.countPrefix(word.substring(0, i)) + 1;</t>
  </si>
  <si>
    <t>assert word != null &amp;&amp; \old(this.contains(word)) =&gt; \forall int i; 0&lt;=i &amp;&amp; i&lt;=word.length(); \old(this.countPrefix(word.substring(0, i))) - this.countPrefix(word.substring(0, i)) == 1;</t>
  </si>
  <si>
    <t>word!=null =&gt; \forall int i; 1&lt;=i&amp;&amp;i&lt;=word.length(); !this.keysWithPrefix(word.substring(0,i)).contains(word)</t>
  </si>
  <si>
    <t>if the word is not null, the word should not be contained in any list of strings in the trie that start with each prefix of the word after the remove operation.</t>
  </si>
  <si>
    <t>assert word != null =&gt; \forall String prefix; this.startsWith(prefix) &amp;&amp; this.keysWithPrefix(prefix).contains(word) == false;</t>
  </si>
  <si>
    <t>assert word != null =&gt; \forall String prefix; this.startsWith(prefix) &amp;&amp; this.keysWithPrefix(prefix).contains(word) =&gt; !this.keysWithPrefix(prefix).contains(word);</t>
  </si>
  <si>
    <t>the trie is empty.</t>
  </si>
  <si>
    <t>the size of the trie should be 0.</t>
  </si>
  <si>
    <t>keysWithPrefix(String prefix)</t>
  </si>
  <si>
    <t>prefix!=null =&gt; \result.size()==this.countPrefix(prefix)</t>
  </si>
  <si>
    <t>prefix==null =&gt; throw NullPointerException</t>
  </si>
  <si>
    <t>prefix!=null</t>
  </si>
  <si>
    <t>the size of the resulting list should be equal to the number of strings contained in the trie that start with the prefix if the prefix is not null.</t>
  </si>
  <si>
    <t>assert this.countPrefix(prefix) == \result.size();</t>
  </si>
  <si>
    <t>prefix!=null =&gt; \forall int i; 0&lt;=i&amp;&amp;i&lt;\result.size(); this.contains(\result.get(i))&amp;&amp;\result.get(i).startsWith(prefix)</t>
  </si>
  <si>
    <t>if the prefix is not null, each element of the resulting list should be a member of the trie and start with the prefix.</t>
  </si>
  <si>
    <t>assert prefix != null =&gt; \forall String s; out.contains(s) =&gt; this.contains(s) &amp;&amp; s.startsWith(prefix);</t>
  </si>
  <si>
    <t>assert \forall String s; out.contains(s) =&gt; this.contains(s) &amp;&amp; s.startsWith(prefix);</t>
  </si>
  <si>
    <t>The list is empty after initialization.</t>
  </si>
  <si>
    <t>The size of the list is zero when it is created.</t>
  </si>
  <si>
    <t>If the collection c is not null, the size of this list equals the size of c after construction.</t>
  </si>
  <si>
    <t>If the collection c is not null, then for every valid index i (from 0 to the size of this list), the element at index i in this list is equal to the element at index i in the collection c.</t>
  </si>
  <si>
    <t>If the collection c is not null, the constructed list contains exactly the same elements as c.</t>
  </si>
  <si>
    <t>If the initial capacity is valid (non-negative), the newly constructed list is empty.</t>
  </si>
  <si>
    <t>If the initial capacity is non-negative, the list is empty after construction.</t>
  </si>
  <si>
    <t>The list contains the added element after add.</t>
  </si>
  <si>
    <t>The result of adding an element is always true.</t>
  </si>
  <si>
    <t>The last element in the list equals the appended element after add.</t>
  </si>
  <si>
    <t>If the index is valid, the list contains the inserted element after the operation.</t>
  </si>
  <si>
    <t>If the index is valid, the element at that index equals the inserted element after the insertion.</t>
  </si>
  <si>
    <t>If the index is valid, every element before the insertion point remains unchanged after the operation.</t>
  </si>
  <si>
    <t>The list is empty after clear.</t>
  </si>
  <si>
    <t>The list is empty after clearing it.</t>
  </si>
  <si>
    <t>The returned clone is a distinct object from the original ArrayList instance.</t>
  </si>
  <si>
    <t>The cloned ArrayList is equal to the original.</t>
  </si>
  <si>
    <t>The cloned ArrayList has the same size as the original.</t>
  </si>
  <si>
    <t>Every element in the cloned list matches the corresponding element in the original list at the same index.</t>
  </si>
  <si>
    <t>If the index is valid, the returned value is the element that was at that index before the removal.</t>
  </si>
  <si>
    <t>If the index is valid, every element before the removed index remains unchanged after the removal.</t>
  </si>
  <si>
    <t>If the index is valid, every element after the removed position is shifted left by one, preserving the original order.</t>
  </si>
  <si>
    <t>If the list originally contained the element, the method returns true.</t>
  </si>
  <si>
    <t>If the index is valid, the returned value is the element that was at that position before the update.</t>
  </si>
  <si>
    <t>If the index is valid, every element before the specified index remains unchanged after set.</t>
  </si>
  <si>
    <t>If the index is valid, every element after the replaced position remains unchanged.</t>
  </si>
  <si>
    <t>The returned array is never null.</t>
  </si>
  <si>
    <t>The length of the returned array equals the number of elements in the list.</t>
  </si>
  <si>
    <t>Every element in the list equals the corresponding element at the same index in the returned array.</t>
  </si>
  <si>
    <t>If the array 'a' is not null and can store every element in the list, then the result is also not null.</t>
  </si>
  <si>
    <t>The deque is empty after initialization.</t>
  </si>
  <si>
    <t>The size of the deque is zero when it is initially created.</t>
  </si>
  <si>
    <t>If the collection c is not null, the deque's size equals the size of c after construction.</t>
  </si>
  <si>
    <t>The deque is empty after initialization.</t>
  </si>
  <si>
    <t>The deque is empty after construction.</t>
  </si>
  <si>
    <t>If the element is not null, then it is contained in the deque after the operation.</t>
  </si>
  <si>
    <t>If the element to be added is not null, the method always returns true.</t>
  </si>
  <si>
    <t>If the element is not null, then it is contained in the deque after the operation.</t>
  </si>
  <si>
    <t>The added element is contained in the deque after the operation.</t>
  </si>
  <si>
    <t>The deque is empty after clear.</t>
  </si>
  <si>
    <t>The deque is empty after this operation.</t>
  </si>
  <si>
    <t>The returned clone is a distinct object from the original deque.</t>
  </si>
  <si>
    <t>The cloned deque has the same number of elements as the original.</t>
  </si>
  <si>
    <t>The cloned deque is never null.</t>
  </si>
  <si>
    <t>If the element is not null, then it is contained in the deque after the operation.</t>
  </si>
  <si>
    <t>If the element is not null, the method always returns true.</t>
  </si>
  <si>
    <t>If the element is not null, it is contained in the deque after insertion.</t>
  </si>
  <si>
    <t>If the element is not null, the method always returns true.</t>
  </si>
  <si>
    <t>If the element is not null, then it is contained in the deque after the operation.</t>
  </si>
  <si>
    <t>If the element is not null, the method always returns true.</t>
  </si>
  <si>
    <t>If the deque is initially empty, then the result is null.</t>
  </si>
  <si>
    <t>If the deque was empty before the call, null is returned.</t>
  </si>
  <si>
    <t>If the deque was empty before the call, the returned value is null.</t>
  </si>
  <si>
    <t>If the element is not null, then it is contained in the deque after push.</t>
  </si>
  <si>
    <t>If the deque contained the element before removal, the method returns true.</t>
  </si>
  <si>
    <t>If the deque contained the specified element before the call, the method returns true.</t>
  </si>
  <si>
    <t>If the deque contained the element before the operation, the method returns true.</t>
  </si>
  <si>
    <t>The returned array is never null.</t>
  </si>
  <si>
    <t>The length of the returned array equals the number of elements in the deque.</t>
  </si>
  <si>
    <t>If the input array is not null and its component type is compatible with every element in the deque, then the returned array is not null.</t>
  </si>
  <si>
    <t>The vector is empty after it is created.</t>
  </si>
  <si>
    <t>The size of the vector is zero after initialization.</t>
  </si>
  <si>
    <t>If the collection c is not null, the size of the vector equals the size of c after construction.</t>
  </si>
  <si>
    <t>If the collection c is not null, every element in the vector matches the corresponding element from c in the same order.</t>
  </si>
  <si>
    <t>If the collection c is not null, the vector contains exactly the same elements in the same order as c.</t>
  </si>
  <si>
    <t>If the initial capacity is valid (non-negative), the newly constructed vector is empty.</t>
  </si>
  <si>
    <t>If the initial capacity is valid (non-negative), the vector starts out empty.</t>
  </si>
  <si>
    <t>If both the initial capacity and capacity increment are non-negative, the newly constructed vector is empty.</t>
  </si>
  <si>
    <t>If both the initial capacity and capacity increment are non-negative, the vector is empty after construction.</t>
  </si>
  <si>
    <t>The vector contains the specified element after it has been added.</t>
  </si>
  <si>
    <t>The result of adding an element is always true.</t>
  </si>
  <si>
    <t>The last element in the vector equals the appended element after add.</t>
  </si>
  <si>
    <t>If the index is valid, the vector contains the inserted element after add.</t>
  </si>
  <si>
    <t>If the index is valid, the element at that index in the vector equals the inserted element after insertion.</t>
  </si>
  <si>
    <t>If the index is valid for insertion, every element before the specified index remains unchanged after the insertion.</t>
  </si>
  <si>
    <t>If the index is valid, then every element that was at or after the insertion point has been shifted one position to the right.</t>
  </si>
  <si>
    <t>The vector contains the added element after the operation.</t>
  </si>
  <si>
    <t>The vector is empty after clearing all elements.</t>
  </si>
  <si>
    <t>The vector is empty after clear.</t>
  </si>
  <si>
    <t>The returned clone is a distinct object from the original vector.</t>
  </si>
  <si>
    <t>The cloned vector is equal to the original vector.</t>
  </si>
  <si>
    <t>The size of the cloned vector is equal to the size of the original vector.</t>
  </si>
  <si>
    <t>For every valid index i (from 0 to the size of this vector), the element at index i in the cloned vector is the same as the element at index i in the original vector.</t>
  </si>
  <si>
    <t>The result of cloning the vector is never null.</t>
  </si>
  <si>
    <t>If the index is valid, the vector contains the inserted object after the insertion.</t>
  </si>
  <si>
    <t>If the index is valid, the element at that index equals the inserted object after insertion.</t>
  </si>
  <si>
    <t>If the index is valid, every element before the insertion point remains unchanged after the insertion.</t>
  </si>
  <si>
    <t>If the index is valid, then every element that was at or after the insertion point before the insert is shifted up by one position, preserving its value.</t>
  </si>
  <si>
    <t>If the index is valid, the returned element is the value that was at that index before the removal.</t>
  </si>
  <si>
    <t>If the index is valid, every element before the given index remains unchanged after the removal.</t>
  </si>
  <si>
    <t>If the index is valid, every element after the removed position is shifted left by one, matching the element that was originally one position ahead of it.</t>
  </si>
  <si>
    <t>If the element was present in the vector before removal, the method returns true.</t>
  </si>
  <si>
    <t>The vector is empty after all elements are removed.</t>
  </si>
  <si>
    <t>The size of the vector is zero after removing all elements.</t>
  </si>
  <si>
    <t>If the vector contained the object before removal, the method returns true.</t>
  </si>
  <si>
    <t>If the index is valid, every element before the removed index remains unchanged after the removal.</t>
  </si>
  <si>
    <t>If the index is valid, then every element after the removed position is shifted down by one, matching what was previously at the next higher index.</t>
  </si>
  <si>
    <t>If the index is valid, the returned value is the element that was previously at that position in the vector.</t>
  </si>
  <si>
    <t>If the index is valid, all elements before the specified index remain unchanged after the replacement.</t>
  </si>
  <si>
    <t>If the index is valid, every element after the specified index remains unchanged after the replacement.</t>
  </si>
  <si>
    <t>If the index is valid, all elements before the specified index remain unchanged after the set operation.</t>
  </si>
  <si>
    <t>If the index is valid, every element after that index remains unchanged.</t>
  </si>
  <si>
    <t>The returned array is never null.</t>
  </si>
  <si>
    <t>The length of the returned array equals the number of elements in the vector.</t>
  </si>
  <si>
    <t>Every element in the returned array matches the corresponding element in the vector at the same index.</t>
  </si>
  <si>
    <t>If the provided array is not null and can store every element in the vector, then the result is not null.</t>
  </si>
  <si>
    <t>The list is empty after it is created.</t>
  </si>
  <si>
    <t>The list is empty after construction.</t>
  </si>
  <si>
    <t>If the collection c is not null, the list's size equals the size of c after construction.</t>
  </si>
  <si>
    <t>If the collection c is not null, every element in this list matches the corresponding element from c in iteration order.</t>
  </si>
  <si>
    <t>If the collection is not null, the list contains exactly the same elements as the collection after construction.</t>
  </si>
  <si>
    <t>The list contains the specified element after it has been added.</t>
  </si>
  <si>
    <t>The last element of the list equals the added element after add.</t>
  </si>
  <si>
    <t>The result of adding an element to the list is always true.</t>
  </si>
  <si>
    <t>If the index is within valid bounds (between 0 and the original size of the list, inclusive), then the list contains the inserted element after the operation.</t>
  </si>
  <si>
    <t>After insertion, the element at the specified index equals the inserted element.</t>
  </si>
  <si>
    <t>If the index is valid, every element before the insertion point remains unchanged after the operation.</t>
  </si>
  <si>
    <t>If the index is valid, every element that was at or after the specified index before the insertion is shifted one position to the right after the insertion.</t>
  </si>
  <si>
    <t>The list contains the added element after addFirst.</t>
  </si>
  <si>
    <t>The first element of the list equals the added element after addFirst.</t>
  </si>
  <si>
    <t>The list contains the added element after addLast.</t>
  </si>
  <si>
    <t>The last element in the list equals the element added.</t>
  </si>
  <si>
    <t>The list is empty after clear.</t>
  </si>
  <si>
    <t>The list is empty after clearing it.</t>
  </si>
  <si>
    <t>The returned clone is a distinct object from the original list.</t>
  </si>
  <si>
    <t>The cloned list is equal to the original list.</t>
  </si>
  <si>
    <t>The size of the cloned list equals the size of the original list.</t>
  </si>
  <si>
    <t>For every valid index in the original list, the element at that index in the cloned list is the same as the element at that index in the original list.</t>
  </si>
  <si>
    <t>The result of cloning the list is never null.</t>
  </si>
  <si>
    <t>The list contains the offered element after offer.</t>
  </si>
  <si>
    <t>The last element in the list equals the offered element after offer.</t>
  </si>
  <si>
    <t>The result of adding an element to the list is always true.</t>
  </si>
  <si>
    <t>The list contains the specified element after it has been inserted at the front.</t>
  </si>
  <si>
    <t>After offerFirst, the new first element of the list equals e.</t>
  </si>
  <si>
    <t>The result of offerFirst is always true.</t>
  </si>
  <si>
    <t>The list contains the inserted element after offerLast.</t>
  </si>
  <si>
    <t>The last element of the list equals the inserted element after offerLast.</t>
  </si>
  <si>
    <t>The result of the operation is always true.</t>
  </si>
  <si>
    <t>If the list was not empty before the call, the returned element equals the first element that was in the list.</t>
  </si>
  <si>
    <t>If the list was empty before the call, the returned value is null.</t>
  </si>
  <si>
    <t>If the list was not empty before the call, the returned element equals the original first element of the list.</t>
  </si>
  <si>
    <t>If the list was empty before the call, null is returned.</t>
  </si>
  <si>
    <t>If the list was not empty before the operation, the returned value equals the last element of the list before the operation.</t>
  </si>
  <si>
    <t>If the list was empty before the call, null is returned.</t>
  </si>
  <si>
    <t>If the list was not empty before the operation, the returned element equals the first element that was at the front of the list.</t>
  </si>
  <si>
    <t>The list contains the pushed element after push.</t>
  </si>
  <si>
    <t>The pushed element equals the first element of the list after push.</t>
  </si>
  <si>
    <t>If the list was not empty before removal, the returned element equals the first element that was in the list before the removal.</t>
  </si>
  <si>
    <t>The returned element is the element that was previously at the given index before removal.</t>
  </si>
  <si>
    <t>If the index is valid, every element before the removed index remains unchanged after the removal.</t>
  </si>
  <si>
    <t>If the index is valid, every element after the removed position shifts left by one, preserving the original order of those elements.</t>
  </si>
  <si>
    <t>If the list contained the element before removal, the method returns true.</t>
  </si>
  <si>
    <t>If the list was not empty before the operation, the returned element equals the first element that was in the list.</t>
  </si>
  <si>
    <t>If the list is initially not empty, the returned element is the same as the first element of the list before the method was called.</t>
  </si>
  <si>
    <t>If the list was not empty before removal, every element remaining in the list equals the corresponding next element from the original list.</t>
  </si>
  <si>
    <t>If the list contained the specified element before removal, the method returns true.</t>
  </si>
  <si>
    <t>If the list was not empty before removal, the returned element equals the previously last element of the list.</t>
  </si>
  <si>
    <t>If the list was not empty before removal, the returned element is the last element of the list before the modification.</t>
  </si>
  <si>
    <t>If the list was not empty before removal, every element at a valid index before the last one remains unchanged after removeLast.</t>
  </si>
  <si>
    <t>If the list originally contained the element o, then removeLastOccurrence returns true.</t>
  </si>
  <si>
    <t>If the index is valid, the returned value is the element that was previously at that position.</t>
  </si>
  <si>
    <t>If the index is valid, all elements before the specified index remain unchanged after the set operation.</t>
  </si>
  <si>
    <t>If the index is valid, every element after the replaced position remains unchanged after set.</t>
  </si>
  <si>
    <t>The returned array is never null.</t>
  </si>
  <si>
    <t>The length of the returned array equals the number of elements in the list.</t>
  </si>
  <si>
    <t>Every element in the returned array matches the corresponding element in the list at the same index.</t>
  </si>
  <si>
    <t>If the input array is not null and its component type is compatible with every element in the list, then the returned array is not null.</t>
  </si>
  <si>
    <t>The stack is empty when it is created.</t>
  </si>
  <si>
    <t>The stack is empty upon creation.</t>
  </si>
  <si>
    <t>If the stack is not empty before pop, the returned value equals the item that was at the top of the stack.</t>
  </si>
  <si>
    <t>The stack contains the pushed item after the operation.</t>
  </si>
  <si>
    <t>The last element in the stack equals the pushed item after push.</t>
  </si>
  <si>
    <t>The set is empty after construction.</t>
  </si>
  <si>
    <t>The set is empty immediately after initialization.</t>
  </si>
  <si>
    <t>If the collection c is not null, the size of this set equals the size of c after construction.</t>
  </si>
  <si>
    <t>If the initial capacity is valid (non-negative), the newly constructed set is empty.</t>
  </si>
  <si>
    <t>If the initial capacity is valid (non-negative), the newly constructed set is empty.</t>
  </si>
  <si>
    <t>If the initial capacity and load factor are valid, the newly constructed set is empty.</t>
  </si>
  <si>
    <t>If the initial capacity and load factor are valid, the newly constructed set is empty.</t>
  </si>
  <si>
    <t>The set contains the added element after the operation.</t>
  </si>
  <si>
    <t>The set is empty after the clear operation.</t>
  </si>
  <si>
    <t>The set is empty after this method is called.</t>
  </si>
  <si>
    <t>The returned clone is a distinct object from the original set.</t>
  </si>
  <si>
    <t>The cloned set is equal to the original set.</t>
  </si>
  <si>
    <t>The cloned set has the same size as the original set.</t>
  </si>
  <si>
    <t>The result of cloning the HashSet is never null.</t>
  </si>
  <si>
    <t>If the set originally contained the specified element, then the removal returns true.</t>
  </si>
  <si>
    <t>The set does not contain the specified element after the removal operation.</t>
  </si>
  <si>
    <t>The list is empty after construction.</t>
  </si>
  <si>
    <t>The list is empty when initially created.</t>
  </si>
  <si>
    <t>If the provided list is not null, the size of this list equals the size of the provided list after construction.</t>
  </si>
  <si>
    <t>If the list is not null, then for every valid index in this list, the element at that index is the same as the element at the same index in the original list.</t>
  </si>
  <si>
    <t>If the provided list is not null, then this list equals the provided list after construction.</t>
  </si>
  <si>
    <t>If the initial capacity is valid (non-negative), the newly constructed list is empty.</t>
  </si>
  <si>
    <t>If the initial capacity is valid (non-negative), the list is empty after construction.</t>
  </si>
  <si>
    <t>The list contains the specified attribute after it is added.</t>
  </si>
  <si>
    <t>The attribute added is now the last element in the list.</t>
  </si>
  <si>
    <t>If the index is valid, the list contains the added attribute after the operation.</t>
  </si>
  <si>
    <t>If the index is valid, the attribute at that index after insertion equals the added attribute.</t>
  </si>
  <si>
    <t>If the index is valid, every element before the specified index remains unchanged after the add.</t>
  </si>
  <si>
    <t>If the index is valid, every element that was at or after the insertion point has been shifted up by one position after the addition.</t>
  </si>
  <si>
    <t>If the index is valid, the element at that index is replaced with the given attribute.</t>
  </si>
  <si>
    <t>If the index is valid, all elements before it remain unchanged after the set operation.</t>
  </si>
  <si>
    <t>If the index is valid, every element after the given index remains unchanged.</t>
  </si>
  <si>
    <t>The RoleList is empty upon construction.</t>
  </si>
  <si>
    <t>The size of the RoleList is zero immediately after it is constructed.</t>
  </si>
  <si>
    <t>If the initial capacity is valid, the newly constructed RoleList is empty.</t>
  </si>
  <si>
    <t>If the initial capacity is valid (non-negative), the list is empty after construction.</t>
  </si>
  <si>
    <t>After construction, the RoleList has the same number of elements as the provided list.</t>
  </si>
  <si>
    <t>If the provided list is not null, every element in this RoleList matches the corresponding element in the provided list at the same index.</t>
  </si>
  <si>
    <t>After construction, this RoleList contains exactly the same elements as the provided list.</t>
  </si>
  <si>
    <t>If the index is valid, the list contains the element after the operation.</t>
  </si>
  <si>
    <t>If the index is valid, the element at that index after insertion equals the inserted element.</t>
  </si>
  <si>
    <t>If the index is valid, every element before the inserted index remains unchanged after the insertion.</t>
  </si>
  <si>
    <t>If the index is valid, every element at or after the insertion point is shifted one position forward and remains equal to what it was before the insertion.</t>
  </si>
  <si>
    <t>If the index is valid and the role is not null, the list contains the role after insertion.</t>
  </si>
  <si>
    <t>If the index is valid and the role is not null, the element at the specified index after insertion equals the inserted role.</t>
  </si>
  <si>
    <t>If the index is valid and the role is not null, then every element before the insertion point remains unchanged after the insertion.</t>
  </si>
  <si>
    <t>If the index is valid and the role is not null, every element originally at or after the insertion point is shifted up by one position unchanged.</t>
  </si>
  <si>
    <t>The list contains the added object after add.</t>
  </si>
  <si>
    <t>The object added is equal to the last element of the list after add.</t>
  </si>
  <si>
    <t>The add operation always returns true.</t>
  </si>
  <si>
    <t>If the role is not null, then the role is contained in the list after adding it.</t>
  </si>
  <si>
    <t>The added role is the last element in the list.</t>
  </si>
  <si>
    <t>If the index is valid, the returned value is the element that was at that index before the operation.</t>
  </si>
  <si>
    <t>If the index is valid, every element before the specified index remains unchanged after the operation.</t>
  </si>
  <si>
    <t>If the index is valid, every element after that index remains unchanged.</t>
  </si>
  <si>
    <t>If the index is valid, within the list's range, and the role is not null, then the value at that index is the same as role.</t>
  </si>
  <si>
    <t>If the index is valid and the role is not null, then every element before the given index remains unchanged after set.</t>
  </si>
  <si>
    <t>If the index is valid and the role is not null, every element after the specified index remains unchanged.</t>
  </si>
  <si>
    <t>The newly created RoleUnresolvedList is empty.</t>
  </si>
  <si>
    <t>The newly created RoleUnresolvedList is empty.</t>
  </si>
  <si>
    <t>If the initial capacity is valid, the newly constructed list is empty.</t>
  </si>
  <si>
    <t>If the initial capacity is valid (non-negative), the list is empty after construction.</t>
  </si>
  <si>
    <t>If the provided list is not null, the size of this RoleUnresolvedList equals the size of the provided list after construction.</t>
  </si>
  <si>
    <t>If the input list is not null, every element in this list matches the element at the same index in the input list.</t>
  </si>
  <si>
    <t>If the provided list is not null, the constructed RoleUnresolvedList contains exactly the same elements as the given list.</t>
  </si>
  <si>
    <t>If the index is valid, the list contains the element after insertion.</t>
  </si>
  <si>
    <t>If the index is valid, the element at that index after insertion equals the element being added.</t>
  </si>
  <si>
    <t>If the index is valid, every element before the insertion point remains unchanged after the add.</t>
  </si>
  <si>
    <t>If the index is within the valid range, then every element from the index onward is shifted one position to the right, preserving their values.</t>
  </si>
  <si>
    <t>If the role is valid and the index is within bounds, the role is contained in the list after adding.</t>
  </si>
  <si>
    <t>If the index is valid and the role is not null, the element at that index equals the inserted role after the insertion.</t>
  </si>
  <si>
    <t>If the index is valid and the role is not null, every element before the specified index remains unchanged after the insertion.</t>
  </si>
  <si>
    <t>If the index is valid and the role is not null, then every element at or after the insertion index is shifted up by one position, preserving its value.</t>
  </si>
  <si>
    <t>The list contains the added object after the operation.</t>
  </si>
  <si>
    <t>The added object equals the last element of the list after add.</t>
  </si>
  <si>
    <t>The method always returns true.</t>
  </si>
  <si>
    <t>After adding the role, the list contains the added role.</t>
  </si>
  <si>
    <t>The added role is the last element in the list.</t>
  </si>
  <si>
    <t>If the index is valid, the returned value is the element that was previously at that position in the list.</t>
  </si>
  <si>
    <t>If the index is valid, every element before the specified index remains unchanged after the operation.</t>
  </si>
  <si>
    <t>If the index is valid, every element after that index remains unchanged.</t>
  </si>
  <si>
    <t>If the index is valid and the role is not null, the element at that index equals role after the set.</t>
  </si>
  <si>
    <t>If the index is valid and the role is not null, then every element before the specified index remains unchanged after the set operation.</t>
  </si>
  <si>
    <t>If the index is valid and the role is not null, every element after the specified index remains unchanged after set.</t>
  </si>
  <si>
    <t>The size of the priority queue is zero immediately after its creation.</t>
  </si>
  <si>
    <t>A newly constructed priority queue is always empty.</t>
  </si>
  <si>
    <t>After construction, the priority queue contains exactly as many elements as the source collection.</t>
  </si>
  <si>
    <t>If the collection is not null, every element from the collection is contained in this priority queue after initialization.</t>
  </si>
  <si>
    <t>The size of the priority queue is 0 after clearing.</t>
  </si>
  <si>
    <t>If the element is not null, the queue size increases by one after the offer.</t>
  </si>
  <si>
    <t>If the element is not null, the method always returns true.</t>
  </si>
  <si>
    <t>If the element is not null, it is contained in the priority queue after the operation.</t>
  </si>
  <si>
    <t>If the element being added is not null, every element that was in the queue before the add is still contained in the queue after the add.</t>
  </si>
  <si>
    <t>If a non-null element is added to a non-empty priority queue, then the new head is less than or equal to the old head according to the queue's ordering.</t>
  </si>
  <si>
    <t>The returned value is the element that was at the head of the queue before the poll.</t>
  </si>
  <si>
    <t>If the queue was empty before the operation, the returned result is null.</t>
  </si>
  <si>
    <t>If the queue was non-empty before the operation, the queue size decreases by one after polling.</t>
  </si>
  <si>
    <t>If the queue is still non-empty after polling, then the new head is greater than or equal to the old head according to the queue's ordering.</t>
  </si>
  <si>
    <t>If the element was not in the queue before removal, the method returns false.</t>
  </si>
  <si>
    <t>If the element was in the queue before removal, the method returns true.</t>
  </si>
  <si>
    <t>If the queue initially contains the specified element, then the size of the queue after removal is one less than the initial size.</t>
  </si>
  <si>
    <t>If the queue is still non-empty after removal, then the new head is greater than or equal to the old head according to the queue's ordering.</t>
  </si>
  <si>
    <t>After removal, none of the elements remaining in the priority queue are contained in c.</t>
  </si>
  <si>
    <t>After retainAll, every element remaining in the priority queue is contained in c.</t>
  </si>
  <si>
    <t>The returned array is never null.</t>
  </si>
  <si>
    <t>The length of the returned array equals the number of elements in the queue.</t>
  </si>
  <si>
    <t>Every element in the queue appears at the same index in the returned array.</t>
  </si>
  <si>
    <t>If the array 'a' is not null and can store every element in the queue, then the result is also not null.</t>
  </si>
  <si>
    <t>The length of the BitSet is zero after initialization.</t>
  </si>
  <si>
    <t>The number of bits set to true in the BitSet is zero when it is created.</t>
  </si>
  <si>
    <t>The bit set is initially empty.</t>
  </si>
  <si>
    <t>If the initial number of bits is non-negative, the newly created BitSet has a logical length of zero (no bits are set).</t>
  </si>
  <si>
    <t>If the requested initial size is non-negative, the newly constructed BitSet has no bits set to true.</t>
  </si>
  <si>
    <t>If the number of bits requested is non-negative, the newly created bit set is empty.</t>
  </si>
  <si>
    <t>Every bit in this BitSet is true after the AND operation if and only if it was true before and the corresponding bit in set is also true.</t>
  </si>
  <si>
    <t>Every bit in this BitSet is cleared if the corresponding bit in the specified BitSet was set, and left unchanged otherwise.</t>
  </si>
  <si>
    <t>The number of bits set to true in this BitSet is always non-negative.</t>
  </si>
  <si>
    <t>The bit at the specified index is cleared (set to false) after this operation.</t>
  </si>
  <si>
    <t>If the bit index is non-negative, every other bit in the BitSet remains unchanged after clearing the specified bit.</t>
  </si>
  <si>
    <t>If the range is valid, every bit from fromIndex (inclusive) to toIndex (exclusive) is cleared to false after the operation.</t>
  </si>
  <si>
    <t>Bits outside the cleared range remain unchanged after the operation.</t>
  </si>
  <si>
    <t>The length of the BitSet is zero after clearing all bits.</t>
  </si>
  <si>
    <t>After clearing, the BitSet contains no bits set to true.</t>
  </si>
  <si>
    <t>The BitSet is empty after clearing all bits.</t>
  </si>
  <si>
    <t>The returned clone is a distinct object from the original BitSet.</t>
  </si>
  <si>
    <t>The cloned BitSet has the same size as the original.</t>
  </si>
  <si>
    <t>The result of cloning is never null.</t>
  </si>
  <si>
    <t>The bit at the specified index is toggled to the opposite of its previous value.</t>
  </si>
  <si>
    <t>If the bit index is non-negative, then every bit in the set other than the one at bitIndex retains its original value after the flip.</t>
  </si>
  <si>
    <t>If the range is valid, every bit from fromIndex (inclusive) to toIndex (exclusive) is flipped from its original value.</t>
  </si>
  <si>
    <t>Bits outside the flipped range are unchanged after flip.</t>
  </si>
  <si>
    <t>If the starting index is non-negative, then the index of the next clear bit is greater than or equal to the starting index.</t>
  </si>
  <si>
    <t>The bit at the returned index is clear (false).</t>
  </si>
  <si>
    <t>If fromIndex is valid, every bit from fromIndex up to (but not including) the returned index is set to true.</t>
  </si>
  <si>
    <t>If the starting index is non-negative, then the result is either -1 (no set bit found) or a valid index that is at least as large as the starting index.</t>
  </si>
  <si>
    <t>If a next set bit is found, the bit at the returned index is set to true.</t>
  </si>
  <si>
    <t>If a set bit is found, all bits from fromIndex up to but not including the returned index are clear.</t>
  </si>
  <si>
    <t>After the OR operation, each bit in this BitSet is set if and only if it was already set before the operation or the corresponding bit in the argument set was set.</t>
  </si>
  <si>
    <t>The returned index of the previous clear bit is never greater than the starting index.</t>
  </si>
  <si>
    <t>If a valid result is found, the bit at the returned index is clear (false).</t>
  </si>
  <si>
    <t>Every bit between the returned index (exclusive) and the starting index (inclusive) is set to true.</t>
  </si>
  <si>
    <t>If a valid starting index is given, the returned previous set bit index is no greater than the starting index.</t>
  </si>
  <si>
    <t>If the result is a valid index (not -1), the bit at that index is set to true.</t>
  </si>
  <si>
    <t>Every bit between the returned index (exclusive) and fromIndex (inclusive) is false, provided fromIndex is valid.</t>
  </si>
  <si>
    <t>If the bit index is non-negative, then the bit at that index is set to true after the operation.</t>
  </si>
  <si>
    <t>If the bit index is non-negative, all bits at other positions remain unchanged after set.</t>
  </si>
  <si>
    <t>If the bit index is non-negative, then the value of the bit at that index must be equal to the specified value.</t>
  </si>
  <si>
    <t>If the bit index is non-negative, then every bit in the BitSet other than the one at the specified index remains unchanged after the operation.</t>
  </si>
  <si>
    <t>If the range is valid, every bit from fromIndex (inclusive) to toIndex (exclusive) is set to true after the call.</t>
  </si>
  <si>
    <t>If the range is valid, all bits outside the range [fromIndex, toIndex) remain unchanged after the operation.</t>
  </si>
  <si>
    <t>If the index range is valid, every bit in the range [fromIndex, toIndex) is set to the specified value after the operation.</t>
  </si>
  <si>
    <t>If the index range is valid, every bit outside the range [fromIndex, toIndex) remains unchanged after the operation.</t>
  </si>
  <si>
    <t>The returned BitSet is not null and every word in its long array representation matches the corresponding input word.</t>
  </si>
  <si>
    <t>The returned BitSet is not null and each element in the long array representation of the returned BitSet matches the corresponding element in the LongBuffer from its current position to its limit.</t>
  </si>
  <si>
    <t>The returned BitSet is not null and every byte in its byte array representation matches the corresponding input byte.</t>
  </si>
  <si>
    <t>The result is not null and each byte in the resulting BitSet's byte array matches the corresponding byte in the input ByteBuffer bb.</t>
  </si>
  <si>
    <t>For every valid bit index in this BitSet, the bit's value after the XOR operation equals the XOR of its original value and the corresponding bit in the argument set.</t>
  </si>
  <si>
    <t>The newly created HashMap is empty.</t>
  </si>
  <si>
    <t>The size of the HashMap is zero after initialization.</t>
  </si>
  <si>
    <t>If the initial capacity is non-negative and the load factor is positive, the newly constructed HashMap is empty.</t>
  </si>
  <si>
    <t>If the initial capacity is non-negative and the load factor is positive, then the size of the map is zero.</t>
  </si>
  <si>
    <t>After construction, the size of this HashMap equals the size of the source map.</t>
  </si>
  <si>
    <t>If the map does not contain the specified key, the returned value is null.</t>
  </si>
  <si>
    <t>If the map contains the specified key, then the returned value is also contained in the map.</t>
  </si>
  <si>
    <t>If the return value is null, then either the key was not present in the map before this operation, or it was explicitly mapped to null.</t>
  </si>
  <si>
    <t>After put, the map contains the specified key and the specified value.</t>
  </si>
  <si>
    <t>If a previous value is returned, the key was already present in the map before the put.</t>
  </si>
  <si>
    <t>If a previous mapping existed for the key, the returned value equals the value that was associated with the key before the put.</t>
  </si>
  <si>
    <t>If the input map is not null, the size of this map after putAll equals the size of the input map.</t>
  </si>
  <si>
    <t>If the returned value is null, then either the key was not in the map before the removal, or the value previously mapped to the key was null.</t>
  </si>
  <si>
    <t>If a non-null value is returned, the key was present in the map before the removal.</t>
  </si>
  <si>
    <t>The map no longer contains the specified key after it has been removed.</t>
  </si>
  <si>
    <t>If the key was previously in the map, the value that was associated with it is no longer present in the map after removal.</t>
  </si>
  <si>
    <t>The map is empty after this operation.</t>
  </si>
  <si>
    <t>The map is empty after clearing it.</t>
  </si>
  <si>
    <t>The returned clone is a distinct object from the original map.</t>
  </si>
  <si>
    <t>The cloned map has the same number of key-value mappings as the original map.</t>
  </si>
  <si>
    <t>If the initial size is non-negative, the stack is empty after construction.</t>
  </si>
  <si>
    <t>If the initial size is non-negative, the stack is empty after construction.</t>
  </si>
  <si>
    <t>If the stack was not empty before the pop, the returned value equals the item that was previously on top of the stack.</t>
  </si>
  <si>
    <t>The stack contains the pushed item after the operation.</t>
  </si>
  <si>
    <t>The top of the stack equals the pushed item after push.</t>
  </si>
  <si>
    <t>The list is empty after construction.</t>
  </si>
  <si>
    <t>The list is empty after construction.</t>
  </si>
  <si>
    <t>If the collection is not null, the size of the TreeList equals the size of the collection.</t>
  </si>
  <si>
    <t>If the collection is not null, then for every valid index from 0 to the size of this list, the element at that index in this list is the same as the element at that index in the collection.</t>
  </si>
  <si>
    <t>If the collection is not null, the resulting list equals the collection.</t>
  </si>
  <si>
    <t>If the index is valid, the list contains the added object after add.</t>
  </si>
  <si>
    <t>If the index is valid, the element at that index after insertion equals the added object.</t>
  </si>
  <si>
    <t>If the index is valid, every element before the insertion point remains unchanged after the add.</t>
  </si>
  <si>
    <t>If the index is valid, every element that was at or after the insertion point is shifted one position forward after the add.</t>
  </si>
  <si>
    <t>The list is empty after clearing.</t>
  </si>
  <si>
    <t>The size of the list is zero after clearing it.</t>
  </si>
  <si>
    <t>If the index is valid, the returned value equals the element that was at that index before the removal.</t>
  </si>
  <si>
    <t>If the index is valid, every element before the removed index remains unchanged after the removal.</t>
  </si>
  <si>
    <t>If the index is valid, every element after the removed position shifts down by one, preserving the original order.</t>
  </si>
  <si>
    <t>If the index is valid, the returned value is the element that was at that index before the set operation.</t>
  </si>
  <si>
    <t>If the index is valid, all elements before the specified index remain unchanged after set.</t>
  </si>
  <si>
    <t>If the index is valid, every element after the specified index remains unchanged.</t>
  </si>
  <si>
    <t>The result array is never null.</t>
  </si>
  <si>
    <t>The length of the returned array equals the number of elements in the list.</t>
  </si>
  <si>
    <t>Every element in the resulting array matches the corresponding element in the list at the same index.</t>
  </si>
  <si>
    <t>The queue is empty after construction.</t>
  </si>
  <si>
    <t>The queue is empty after initialization.</t>
  </si>
  <si>
    <t>If the collection is not null, the size of the queue equals the size of the collection.</t>
  </si>
  <si>
    <t>If the collection is not null, then every element in this queue matches the corresponding element from the collection, in order.</t>
  </si>
  <si>
    <t>If the collection is not null, the queue contains exactly the same elements as the given collection.</t>
  </si>
  <si>
    <t>If the size is valid (at least 1), the newly constructed queue is empty.</t>
  </si>
  <si>
    <t>The queue is initially empty after construction.</t>
  </si>
  <si>
    <t>After adding, the queue contains the newly added element.</t>
  </si>
  <si>
    <t>The method always returns true as long as the element is not null.</t>
  </si>
  <si>
    <t>The added element is always the last element in the queue.</t>
  </si>
  <si>
    <t>The queue is empty after it is cleared.</t>
  </si>
  <si>
    <t>The size of the queue is zero after clearing it.</t>
  </si>
  <si>
    <t>If the element is not null, the queue contains it after the operation.</t>
  </si>
  <si>
    <t>If the element is not null, the method always returns true.</t>
  </si>
  <si>
    <t>If the element is not null, it becomes the last element in the queue after the operation.</t>
  </si>
  <si>
    <t>The newly created ListOrderedSet is empty.</t>
  </si>
  <si>
    <t>The size of the ordered set is zero when it is newly created.</t>
  </si>
  <si>
    <t>If the index is valid, the set contains the object after the operation.</t>
  </si>
  <si>
    <t>If the index is valid and the object was not already in the set, then after insertion the element at that index equals the inserted object.</t>
  </si>
  <si>
    <t>If the index is valid, every element before that index remains unchanged after the insertion.</t>
  </si>
  <si>
    <t>If the index is valid and the object was not already in the set, every element from the insertion point onward is shifted one position to the right.</t>
  </si>
  <si>
    <t>If the index is valid, the returned element is the one that was at that index before removal.</t>
  </si>
  <si>
    <t>If the index is valid, every element after the removed position shifts left by one — that is, each element at position i now equals what was at position i+1 before the removal.</t>
  </si>
  <si>
    <t>If the element is not null, then the array contains the added element after the operation.</t>
  </si>
  <si>
    <t>If the element is not null, the method always returns true.</t>
  </si>
  <si>
    <t>If the element is not null, it is stored at its assigned index after insertion.</t>
  </si>
  <si>
    <t>If the index is valid, the returned value is the element that was at that index before the removal.</t>
  </si>
  <si>
    <t>If the index i is within valid bounds, then for each index j before i, the element at j is unchanged after the removal.</t>
  </si>
  <si>
    <t>If the index is valid, then every element after the removed index (up to the second-to-last position) is unchanged after the removal.</t>
  </si>
  <si>
    <t>The path is empty immediately after it is created.</t>
  </si>
  <si>
    <t>The size of the path is zero when a new path is created.</t>
  </si>
  <si>
    <t>The path contains the added edge after the operation.</t>
  </si>
  <si>
    <t>The last element in the edge path after adding is equal to the added edge.</t>
  </si>
  <si>
    <t>The path is empty after clearing it.</t>
  </si>
  <si>
    <t>The size of the path is zero after clearing it.</t>
  </si>
  <si>
    <t>The graph contains the source vertex after attempting to add an edge.</t>
  </si>
  <si>
    <t>The graph contains the target vertex after attempting to add an edge.</t>
  </si>
  <si>
    <t>The graph contains edge e after addEdge.</t>
  </si>
  <si>
    <t>The graph always contains vertex v after addVertex is called.</t>
  </si>
  <si>
    <t>NL-assertion generated by Claude-Sonnet</t>
  </si>
  <si>
    <t>Bug description</t>
  </si>
  <si>
    <t>buggyasrts.ArrayDeque</t>
  </si>
  <si>
    <t>ArrayDeque(Collection&lt;? extends E&gt; c)</t>
  </si>
  <si>
    <t>c!=null =&gt; this.size()==c.size()+1</t>
  </si>
  <si>
    <t>The contract has an off-by-one size error and expects one more element than the source collection.</t>
  </si>
  <si>
    <t>e!=null =&gt; this.peekFirst().equals(e)</t>
  </si>
  <si>
    <t>The contract confuses tail insertion with insertion at the front of the deque.</t>
  </si>
  <si>
    <t>\result.size()==this.size()+1</t>
  </si>
  <si>
    <t>The contract has an off-by-one size expectation for the cloned collection.</t>
  </si>
  <si>
    <t>\old(this.contains(o)) =&gt; \result==false</t>
  </si>
  <si>
    <t>The contract confuses successful removal with a false return value.</t>
  </si>
  <si>
    <t>\result.length==this.size()+1</t>
  </si>
  <si>
    <t>The contract expects an extra null terminator in the raw toArray result.</t>
  </si>
  <si>
    <t>buggyasrts.ArrayList</t>
  </si>
  <si>
    <t>ArrayList(Collection&lt;? extends E&gt; c)</t>
  </si>
  <si>
    <t>c!=null =&gt; !this.equals(c)</t>
  </si>
  <si>
    <t>The contract writer confused equality with object distinction and says the copied collection should not equal the source.</t>
  </si>
  <si>
    <t>The contract confuses appending/pushing with insertion at the front.</t>
  </si>
  <si>
    <t>The contract confuses the last element with the first element.</t>
  </si>
  <si>
    <t>index&gt;=0 &amp;&amp; index&lt;=\old(this.size()) =&gt; element==null&amp;&amp;this.get(index+1)==null || this.get(index+1).equals(element)</t>
  </si>
  <si>
    <t>The contract has an off-by-one indexed update/insertion expectation.</t>
  </si>
  <si>
    <t>index&gt;=0 &amp;&amp; index&lt;=\old(this.size()) =&gt; \forall int i; 0 &lt;= i&amp;&amp;i &lt;= index; this.get(i)==null &amp;&amp; \old(this.get(i))==null || this.get(i).equals(\old(this.get(i)))</t>
  </si>
  <si>
    <t>The contract includes the modified index in the unchanged-prefix range.</t>
  </si>
  <si>
    <t>index&gt;=0 &amp;&amp; index&lt;=\old(this.size()) =&gt; \forall int i; index &lt;= i&amp;&amp;i &lt;\old(this.size()); this.get(i) == null&amp;&amp;\old(this.get(i)) == null||this.get(i).equals(\old(this.get(i)))</t>
  </si>
  <si>
    <t>The contract forgets the one-position shift and compares old elements to the same index.</t>
  </si>
  <si>
    <t>!\result.equals(this)</t>
  </si>
  <si>
    <t>The contract writer confused object distinction with content inequality for clone.</t>
  </si>
  <si>
    <t>((ArrayList&lt;?&gt;) \result).size()==this.size()+1</t>
  </si>
  <si>
    <t>index&gt;=0 &amp;&amp; index&lt;\old(this.size()) =&gt; \result==\old(this.get(index+1))</t>
  </si>
  <si>
    <t>The contract has an off-by-one return-value expectation for indexed removal.</t>
  </si>
  <si>
    <t>index&gt;=0 &amp;&amp; index&lt;\old(this.size()) =&gt; \forall int i; 0&lt;=i &amp;&amp; i&lt;=index; this.get(i)==null &amp;&amp; \old(this.get(i))==null || this.get(i).equals(\old(this.get(i)))</t>
  </si>
  <si>
    <t>index&gt;=0 &amp;&amp; index&lt;\old(this.size()) =&gt; \forall int i; index&lt;i &amp;&amp; i&lt;\old(this.size()-1); this.get(i)==null &amp;&amp; \old(this.get(i))==null || this.get(i).equals(\old(this.get(i)))</t>
  </si>
  <si>
    <t>The contract forgets that elements after a removal shift left by one.</t>
  </si>
  <si>
    <t>index&gt;=0 &amp;&amp; index&lt;\old(this.size()) =&gt; \result==element</t>
  </si>
  <si>
    <t>The contract confuses set return value with the newly stored element instead of the old value.</t>
  </si>
  <si>
    <t>\forall int i; 0&lt;=i &amp;&amp; i&lt;this.size(); this.get(i)==null &amp;&amp; \result[i+1]==null || this.get(i).equals(\result[i+1])</t>
  </si>
  <si>
    <t>The contract has an off-by-one array-index expectation.</t>
  </si>
  <si>
    <t>buggyasrts.BitSet</t>
  </si>
  <si>
    <t>nbits&gt;=0 =&gt; this.length()==nbits</t>
  </si>
  <si>
    <t>The contract confuses the requested initial capacity with BitSet logical length.</t>
  </si>
  <si>
    <t>The contract writer used OR semantics for BitSet.and.</t>
  </si>
  <si>
    <t>\forall int i; 0&lt;=i &amp;&amp; i&lt;this.length(); this.get(i)==(\old(this.get(i)) &amp; set.get(i))</t>
  </si>
  <si>
    <t>The contract forgot the negation in BitSet.andNot.</t>
  </si>
  <si>
    <t>The contract accidentally states that clear leaves the target bit set.</t>
  </si>
  <si>
    <t>bitIndex&gt;=0 =&gt; \forall int i; 0&lt;=i &amp;&amp; i&lt;this.length() &amp;&amp; i==bitIndex; this.get(i)==\old(this.get(i))</t>
  </si>
  <si>
    <t>The contract applies the unchanged-other-bits clause to the modified bit.</t>
  </si>
  <si>
    <t>fromIndex&gt;=0 &amp;&amp; toIndex&gt;=fromIndex =&gt; \forall int i; fromIndex&lt;=i &amp;&amp; i&lt;=toIndex; this.get(i)==false</t>
  </si>
  <si>
    <t>The contract uses an inclusive upper bound for a half-open bit range.</t>
  </si>
  <si>
    <t>((BitSet) \result).size()==this.size()+1</t>
  </si>
  <si>
    <t>bitIndex&gt;=0 =&gt; this.get(bitIndex)==\old(this.get(bitIndex))</t>
  </si>
  <si>
    <t>The contract says flip leaves the target bit unchanged.</t>
  </si>
  <si>
    <t>fromIndex&gt;=0 &amp;&amp; toIndex&gt;=fromIndex =&gt; \forall int i; fromIndex&lt;=i &amp;&amp; i&lt;=toIndex; this.get(i)!=\old(this.get(i))</t>
  </si>
  <si>
    <t>fromIndex&gt;=0 =&gt; \result&gt;fromIndex</t>
  </si>
  <si>
    <t>The contract uses a strict lower bound for next-bit search results.</t>
  </si>
  <si>
    <t>fromIndex&gt;=0 =&gt; this.get(\result)==true</t>
  </si>
  <si>
    <t>The contract reverses the meaning of a returned clear-bit index.</t>
  </si>
  <si>
    <t>fromIndex&gt;=0 =&gt; \forall int i; i&gt;=fromIndex &amp;&amp; i&lt;=\result; this.get(i)==true</t>
  </si>
  <si>
    <t>The contract includes the returned index in the skipped-prefix range.</t>
  </si>
  <si>
    <t>fromIndex&gt;=0 &amp;&amp; \result!=-1 =&gt; this.get(\result)==false</t>
  </si>
  <si>
    <t>The contract reverses the meaning of a returned set-bit index.</t>
  </si>
  <si>
    <t>fromIndex&gt;=0 &amp;&amp; \result!=-1 =&gt; \forall int i; i&gt;=fromIndex &amp;&amp; i&lt;=\result; this.get(i)==false</t>
  </si>
  <si>
    <t>The contract writer used AND semantics for BitSet.or.</t>
  </si>
  <si>
    <t>fromIndex&gt;=-1 =&gt; \result&lt;fromIndex</t>
  </si>
  <si>
    <t>The contract uses a strict upper bound for previous-bit search results.</t>
  </si>
  <si>
    <t>fromIndex&gt;=-1 =&gt; \forall int i; i&gt;=\result &amp;&amp; i&lt;=fromIndex; this.get(i)==true</t>
  </si>
  <si>
    <t>The contract includes the returned index in the skipped-suffix range.</t>
  </si>
  <si>
    <t>fromIndex&gt;=-1 =&gt; \forall int i; i&gt;=\result &amp;&amp; i&lt;=fromIndex; this.get(i)==false</t>
  </si>
  <si>
    <t>The contract accidentally states that set leaves the target bit clear.</t>
  </si>
  <si>
    <t>bitIndex&gt;=0 =&gt; this.get(bitIndex)!=value</t>
  </si>
  <si>
    <t>The contract reverses the requested boolean value for set(bitIndex, value).</t>
  </si>
  <si>
    <t>fromIndex&gt;=0 &amp;&amp; toIndex&gt;=fromIndex =&gt; \forall int i; fromIndex&lt;=i &amp;&amp; i&lt;=toIndex; this.get(i)==true</t>
  </si>
  <si>
    <t>fromIndex&gt;=0 &amp;&amp; toIndex&gt;=fromIndex =&gt; \forall int i; fromIndex&lt;=i &amp;&amp; i&lt;=toIndex; this.get(i)==value</t>
  </si>
  <si>
    <t>\result!=null &amp;&amp; \forall int i; 0&lt;=i &amp;&amp; i&lt;\result.toLongArray().length; \result.toLongArray()[i]==longs[i+1]</t>
  </si>
  <si>
    <t>The contract has an off-by-one copy expectation for long-array conversion.</t>
  </si>
  <si>
    <t>\result!=null &amp;&amp; \forall int i; 0&lt;=i &amp;&amp; i&lt;\result.toLongArray().length; \result.toLongArray()[i] == lb.get(i+1)</t>
  </si>
  <si>
    <t>The contract has an off-by-one copy expectation for LongBuffer conversion.</t>
  </si>
  <si>
    <t>\result!=null &amp;&amp; \forall int i; 0&lt;=i &amp;&amp; i&lt;\result.toByteArray().length; \result.toByteArray()[i]==bytes[i+1]</t>
  </si>
  <si>
    <t>The contract has an off-by-one copy expectation for byte-array conversion.</t>
  </si>
  <si>
    <t>\result!=null &amp;&amp; \forall int i; 0&lt;=i &amp;&amp; i&lt;\result.toByteArray().length; \result.toByteArray()[i] == bb.get(i+1)</t>
  </si>
  <si>
    <t>The contract has an off-by-one copy expectation for ByteBuffer conversion.</t>
  </si>
  <si>
    <t>\forall int i; 0&lt;=i &amp;&amp; i&lt;this.length(); this.get(i)==(\old(this.get(i)) == set.get(i))</t>
  </si>
  <si>
    <t>The contract writer confused XOR with equality.</t>
  </si>
  <si>
    <t>buggyasrts.HashMap</t>
  </si>
  <si>
    <t>m!=null =&gt; this.size()==m.size()+1</t>
  </si>
  <si>
    <t>this.containsKey(key) =&gt; \result==null</t>
  </si>
  <si>
    <t>The contract accidentally states the removed key should still be present.</t>
  </si>
  <si>
    <t>this.containsKey(key) =&gt; !this.containsValue(\result)</t>
  </si>
  <si>
    <t>The contract reverses the relationship between a found key and its returned value.</t>
  </si>
  <si>
    <t>\result==null =&gt; \old(this.containsKey(key)) || \old(this.get(key))==null</t>
  </si>
  <si>
    <t>The contract reverses the null-return case for map update/removal.</t>
  </si>
  <si>
    <t>this.containsKey(key) &amp;&amp; !this.containsValue(value)</t>
  </si>
  <si>
    <t>The contract accidentally states that the newly put value should not be present.</t>
  </si>
  <si>
    <t>\result!=null =&gt; !\old(this.containsKey(key))</t>
  </si>
  <si>
    <t>The contract reverses the meaning of a non-null previous value.</t>
  </si>
  <si>
    <t>\result!=null =&gt; value.equals(\result)</t>
  </si>
  <si>
    <t>The contract confuses the returned previous value with the newly supplied value.</t>
  </si>
  <si>
    <t>this.containsKey(key)</t>
  </si>
  <si>
    <t>\old(this.containsKey(key)) =&gt; this.containsValue(\result)</t>
  </si>
  <si>
    <t>The contract mistakenly says the removed value should remain in the map.</t>
  </si>
  <si>
    <t>((HashMap&lt;K,V&gt;) \result).size()==this.size()+1</t>
  </si>
  <si>
    <t>buggyasrts.HashSet</t>
  </si>
  <si>
    <t>HashSet(Collection&lt;? extends E&gt; c)</t>
  </si>
  <si>
    <t>The contract forgets that adding a new set element increases the set size.</t>
  </si>
  <si>
    <t>((HashSet&lt;E&gt;) \result).size()==this.size()+1</t>
  </si>
  <si>
    <t>The contract accidentally states the removed element should still be present.</t>
  </si>
  <si>
    <t>buggyasrts.PriorityQueue</t>
  </si>
  <si>
    <t>e!=null =&gt; this.size()==\old(this.size())+2</t>
  </si>
  <si>
    <t>The contract has an off-by-one growth expectation for insertion.</t>
  </si>
  <si>
    <t>e!=null &amp;&amp; \old(this.size())&gt;0 =&gt; (this.comparator()!=null &amp;&amp; this.comparator().compare(this.peek(), \old(this.peek()))&gt;=0) || (this.comparator()==null &amp;&amp; ((Comparable) this.peek()).compareTo(\old(this.peek()))&gt;=0)</t>
  </si>
  <si>
    <t>The contract reverses the priority-order comparison after offer.</t>
  </si>
  <si>
    <t>\result==\old(this.get(1))</t>
  </si>
  <si>
    <t>The contract confuses the heap head with the next array slot.</t>
  </si>
  <si>
    <t>\old(this.size())==0 =&gt; \result!=null</t>
  </si>
  <si>
    <t>The contract expects a sentinel object instead of null for polling an empty queue.</t>
  </si>
  <si>
    <t>\old(this.size())&gt;0 =&gt; this.size()==\old(this.size())-2</t>
  </si>
  <si>
    <t>The contract has an off-by-one shrink expectation for polling.</t>
  </si>
  <si>
    <t>this.size()&gt;0 =&gt; (this.comparator()!=null &amp;&amp; this.comparator().compare(this.peek(), \old(this.peek()))&lt;=0) || (this.comparator()==null &amp;&amp; ((Comparable) this.peek()).compareTo(\old(this.peek()))&lt;=0)</t>
  </si>
  <si>
    <t>The contract reverses the priority-order comparison after removal/poll.</t>
  </si>
  <si>
    <t>!\old(this.contains(o)) =&gt; \result==true</t>
  </si>
  <si>
    <t>The contract reverses the return value for removing an absent element.</t>
  </si>
  <si>
    <t>\old(this.contains(o)) =&gt; this.size()==\old(this.size())-2</t>
  </si>
  <si>
    <t>The contract has an off-by-one shrink expectation for removal.</t>
  </si>
  <si>
    <t>buggyasrts.Stack</t>
  </si>
  <si>
    <t>!\old(this.empty()) =&gt; (\result==null &amp;&amp; \old(this.get(0))==null) || (\result!=null &amp;&amp; \result.equals(\old(this.get(0))))</t>
  </si>
  <si>
    <t>The contract confuses the top of the stack with the bottom element.</t>
  </si>
  <si>
    <t>item==null &amp;&amp; this.get(0)==null || item!=null &amp;&amp; item.equals(this.get(0))</t>
  </si>
  <si>
    <t>buggyasrts.Vector</t>
  </si>
  <si>
    <t>Vector(Collection&lt;? extends E&gt; c)</t>
  </si>
  <si>
    <t>index&gt;=0 &amp;&amp; index&lt;=\old(this.size()) =&gt; element==null&amp;&amp;this.get(index+1)==null||this.get(index+1).equals(element)</t>
  </si>
  <si>
    <t>obj==null &amp;&amp; this.get(0)==null || obj!=null &amp;&amp; obj.equals(this.get(0))</t>
  </si>
  <si>
    <t>((Vector&lt;E&gt;) \result).size()==this.size()+1</t>
  </si>
  <si>
    <t>index&gt;=0 &amp;&amp; index&lt;=\old(this.size()) =&gt; this.get(index+1).equals(obj)</t>
  </si>
  <si>
    <t>The contract has an off-by-one insertion index and expects the new object one slot too far right.</t>
  </si>
  <si>
    <t>index&gt;=0 &amp;&amp; index&lt;=\old(this.size()) =&gt; obj==null&amp;&amp;this.get(index+1)==null||this.get(index+1).equals(obj)</t>
  </si>
  <si>
    <t>\old(this.contains(obj)) =&gt; \result==false</t>
  </si>
  <si>
    <t>If the source collection is not null, the new collection has one more element than the source collection.</t>
  </si>
  <si>
    <t>After inserting at the tail of the deque, the added element is at the front.</t>
  </si>
  <si>
    <t>The cloned collection has one more element than the original collection.</t>
  </si>
  <si>
    <t>If the element was present before removal, the method returns false.</t>
  </si>
  <si>
    <t>The returned array length is one greater than the collection size.</t>
  </si>
  <si>
    <t>If the source collection is not null, the constructed collection is not equal to the source collection.</t>
  </si>
  <si>
    <t>After the operation, the added element is stored at the first position.</t>
  </si>
  <si>
    <t>After the operation, the added element is equal to the first element.</t>
  </si>
  <si>
    <t>If the index is valid, the element at index + 1 equals the inserted or updated value.</t>
  </si>
  <si>
    <t>Every element up to and including the modified index remains unchanged after the operation.</t>
  </si>
  <si>
    <t>Elements at and after the insertion point remain at the same indices as before.</t>
  </si>
  <si>
    <t>The cloned collection is not equal to the original collection.</t>
  </si>
  <si>
    <t>If the index is valid, the returned value is the element that was originally at index + 1.</t>
  </si>
  <si>
    <t>Elements after the removed position remain at the same indices as before removal.</t>
  </si>
  <si>
    <t>If the index is valid, set returns the newly stored element.</t>
  </si>
  <si>
    <t>Each collection element appears one index later in the returned array.</t>
  </si>
  <si>
    <t>If the requested initial size is non-negative, the BitSet logical length equals that requested size.</t>
  </si>
  <si>
    <t>After the AND operation, a bit is true if it was true before or the corresponding bit in the argument is true.</t>
  </si>
  <si>
    <t>After andNot, a bit is true exactly when it was true before and the corresponding bit in the argument is true.</t>
  </si>
  <si>
    <t>After clearing a non-negative bit index, that bit is true.</t>
  </si>
  <si>
    <t>The bit at the modified index remains unchanged after the operation.</t>
  </si>
  <si>
    <t>The operation applies to every bit from the start index through the end index inclusive.</t>
  </si>
  <si>
    <t>After flipping a non-negative bit index, that bit has the same value as before.</t>
  </si>
  <si>
    <t>The next matching bit index is strictly greater than the starting index.</t>
  </si>
  <si>
    <t>If a clear-bit search returns a valid index, the bit at that index is true.</t>
  </si>
  <si>
    <t>Every bit from the starting index through the returned index has the skipped value.</t>
  </si>
  <si>
    <t>If a set-bit search returns a valid index, the bit at that index is false.</t>
  </si>
  <si>
    <t>After the OR operation, a bit is true only if it was true before and the corresponding bit in the argument is true.</t>
  </si>
  <si>
    <t>The previous matching bit index is strictly less than the starting index.</t>
  </si>
  <si>
    <t>Every bit from the returned index through the starting index has the skipped value.</t>
  </si>
  <si>
    <t>After setting a non-negative bit index, that bit is false.</t>
  </si>
  <si>
    <t>After setting a bit to a boolean value, the bit is not equal to that value.</t>
  </si>
  <si>
    <t>Each word in the returned long array representation equals the next word from the input array.</t>
  </si>
  <si>
    <t>Each word in the returned long array representation equals the next word from the input LongBuffer.</t>
  </si>
  <si>
    <t>Each byte in the returned byte array representation equals the next byte from the input array.</t>
  </si>
  <si>
    <t>Each byte in the returned byte array representation equals the next byte from the input ByteBuffer.</t>
  </si>
  <si>
    <t>After XOR, a bit is true exactly when its previous value equals the corresponding bit in the argument.</t>
  </si>
  <si>
    <t>After removal, the map still contains the removed key.</t>
  </si>
  <si>
    <t>If the map contains the key, the returned value is not contained in the map.</t>
  </si>
  <si>
    <t>If the method returns null, the key was present in the map before the operation.</t>
  </si>
  <si>
    <t>After put, the map contains the key and does not contain the specified value.</t>
  </si>
  <si>
    <t>If the method returns a non-null value, the key was not present before the operation.</t>
  </si>
  <si>
    <t>If put returns a non-null value, that returned value equals the newly supplied value.</t>
  </si>
  <si>
    <t>If the key was present before removal, the value returned by remove is still contained in the map afterward.</t>
  </si>
  <si>
    <t>After adding an element to the set, the set size remains unchanged.</t>
  </si>
  <si>
    <t>After removal, the collection still contains the removed element.</t>
  </si>
  <si>
    <t>If the offered element is non-null, the queue size increases by two.</t>
  </si>
  <si>
    <t>After offering to a non-empty priority queue, the new head is greater than or equal to the old head.</t>
  </si>
  <si>
    <t>Polling returns the element that was stored in the second array slot before the operation.</t>
  </si>
  <si>
    <t>If the priority queue was empty before polling, poll returns a non-null value.</t>
  </si>
  <si>
    <t>If the priority queue was non-empty before polling, its size decreases by two.</t>
  </si>
  <si>
    <t>After removing from a non-empty priority queue, the new head is no greater than the old head.</t>
  </si>
  <si>
    <t>If the element was not present before removal, remove returns true.</t>
  </si>
  <si>
    <t>If the queue initially contains the element, its size decreases by two after removal.</t>
  </si>
  <si>
    <t>If the stack was not empty before pop, the returned value equals the bottom element of the stack.</t>
  </si>
  <si>
    <t>If the index is valid, the inserted object appears at index + 1 after insertion.</t>
  </si>
  <si>
    <t>Bug code: head = 0; tail is not reset. Clear leaves the old tail index, so the deque still appears non-empty.</t>
  </si>
  <si>
    <t>Bug code: int i = dec(tail, es.length). Search starts before tail, so a last-slot match can be skipped.</t>
  </si>
  <si>
    <t>Bug code: elementData[index == s ? index : index + 1] = element. Interior insert writes one slot too far right.</t>
  </si>
  <si>
    <t>If the index is between 0 and the initial size of the list inclusive, then every element from the insertion point to the old size is shifted right by one.</t>
  </si>
  <si>
    <t>Bug code: oldValue = (E) es[index == size - 1 ? index : index + 1]. Remove deletes the right slot but returns the following element.</t>
  </si>
  <si>
    <t>Bug code: elementData[index == size - 1 ? index : index + 1] = element. Interior set overwrites the next element.</t>
  </si>
  <si>
    <t>Bug code: words[wordIndex] |= (1L &lt;&lt; (bitIndex + 1)). set(bitIndex) changes the neighboring bit instead of the requested bit.</t>
  </si>
  <si>
    <t>Bug code: words[startWordIndex] |= (firstWordMask | lastWordMask). Single-word range set uses OR masks and changes bits outside the range.</t>
  </si>
  <si>
    <t>Bug code: boolean added = !super.containsEdge(e). addEdge checks freshness but never calls super.addEdge, so vertices/edge are not added.</t>
  </si>
  <si>
    <t>Bug code: boolean modified = !super.containsVertex(v). addVertex checks freshness but never calls super.addVertex.</t>
  </si>
  <si>
    <t>Bug code: e.value = oldValue. Existing-key put keeps the old value instead of storing the new value.</t>
  </si>
  <si>
    <t>Bug code: put((K) key, e.value). remove reinserts the mapping after deleting it.</t>
  </si>
  <si>
    <t>Bug code: newSet.map = new HashMap&lt;&gt;(). clone creates an empty backing map instead of copying entries.</t>
  </si>
  <si>
    <t>Bug code: map.put((E) o, PRESENT). remove restores the element during cleanup.</t>
  </si>
  <si>
    <t>Bug code: size = i. offer stores the element but does not advance the logical size.</t>
  </si>
  <si>
    <t>Bug code: es[0] = x. poll moves the last element to the root without restoring heap order.</t>
  </si>
  <si>
    <t>Bug code: Arrays.copyOf(queue, size + 1). toArray exposes one extra backing-array slot.</t>
  </si>
  <si>
    <t>Bug code: obj = elementAt(len &gt; 1 ? len - 2 : len - 1). pop returns the item below the top while removing the top.</t>
  </si>
  <si>
    <t>item==null &amp;&amp; this.get(this.size()-1)==null || item!=null &amp;&amp; item.equals(this.get(this.size()-1))</t>
  </si>
  <si>
    <t>Bug code: insertElementAt(item, 0). push inserts at the bottom instead of the top.</t>
  </si>
  <si>
    <t>Bug code: elementData[index == s ? index : index + 1] = obj. Shared insertion path writes one slot too far right.</t>
  </si>
  <si>
    <t>Bug code: System.arraycopy(elementData, index, elementData, index, numMoved). remove shifts from the same index instead of index + 1.</t>
  </si>
  <si>
    <t>Bug code: elementData[index == elementCount - 1 ? index : index + 1] = element. Interior set overwrites the next element.</t>
  </si>
  <si>
    <t>\old(this.contains(o))</t>
  </si>
  <si>
    <t>index&gt;=0 &amp;&amp; index&lt;=\old(this.size())</t>
  </si>
  <si>
    <t>index&gt;=0 &amp;&amp; index&lt;\old(this.size())</t>
  </si>
  <si>
    <t>this.size()&gt;0</t>
  </si>
  <si>
    <t>fromIndex&gt;=0 &amp;&amp; \result!=-1</t>
  </si>
  <si>
    <t>fromIndex&gt;=-1 &amp;&amp; \result!=-1</t>
  </si>
  <si>
    <t>e!=null &amp;&amp; \old(this.size())&gt;0</t>
  </si>
  <si>
    <t>buggycodes.ArrayDeque</t>
  </si>
  <si>
    <t>buggycodes.ArrayList</t>
  </si>
  <si>
    <t>buggycodes.BitSet</t>
  </si>
  <si>
    <t>buggycodes.DefaultListenableGraph</t>
  </si>
  <si>
    <t>buggycodes.HashMap</t>
  </si>
  <si>
    <t>buggycodes.HashSet</t>
  </si>
  <si>
    <t>buggycodes.PriorityQueue</t>
  </si>
  <si>
    <t>buggycodes.Stack</t>
  </si>
  <si>
    <t>buggycodes.Vector</t>
  </si>
  <si>
    <t>Contract bug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</si>
</sst>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sz val="12"/>
      <color theme="1"/>
      <name val="Calibri"/>
    </font>
    <font>
      <sz val="12"/>
      <color rgb="FF000000"/>
      <name val="Calibri"/>
    </font>
    <font>
      <sz val="12"/>
      <color theme="1"/>
      <name val="Calibri"/>
      <scheme val="minor"/>
    </font>
    <font>
      <sz val="12"/>
      <color rgb="FFFF0000"/>
      <name val="Calibri"/>
    </font>
    <font>
      <sz val="12"/>
      <color rgb="FFFF0000"/>
      <name val="Calibri"/>
      <scheme val="minor"/>
    </font>
    <font>
      <sz val="12"/>
      <color rgb="FFFF0000"/>
      <name val="Calibri"/>
      <scheme val="minor"/>
    </font>
    <font>
      <sz val="12"/>
      <color rgb="FF000000"/>
      <name val="Calibri"/>
      <scheme val="minor"/>
    </font>
    <font>
      <b/>
      <sz val="12"/>
      <color rgb="FF000000"/>
      <name val="Calibri"/>
    </font>
    <font>
      <u/>
      <sz val="12"/>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2" fillId="0" borderId="0" xfId="0" applyFont="1" applyAlignment="1">
      <alignment horizontal="left"/>
    </xf>
    <xf numFmtId="0" fontId="6" fillId="0" borderId="0" xfId="0" applyFont="1"/>
    <xf numFmtId="0" fontId="2" fillId="0" borderId="0" xfId="0" applyFont="1" applyAlignment="1">
      <alignment horizontal="center"/>
    </xf>
    <xf numFmtId="0" fontId="7" fillId="0" borderId="0" xfId="0" applyFont="1"/>
    <xf numFmtId="0" fontId="0" fillId="0" borderId="0" xfId="0" applyAlignment="1">
      <alignment horizontal="center"/>
    </xf>
    <xf numFmtId="0" fontId="4" fillId="0" borderId="0" xfId="0" applyFont="1" applyAlignment="1">
      <alignment horizontal="left"/>
    </xf>
    <xf numFmtId="0" fontId="2" fillId="0" borderId="0" xfId="0" applyFont="1" applyAlignment="1">
      <alignment horizontal="right"/>
    </xf>
    <xf numFmtId="0" fontId="4" fillId="0" borderId="0" xfId="0" applyFont="1" applyAlignment="1">
      <alignment horizontal="right"/>
    </xf>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3" Type="http://schemas.openxmlformats.org/officeDocument/2006/relationships/hyperlink" Target="https://github.com/Lhtie/llms-for-assertions/blob/master/naturalness/Trie.java" TargetMode="External"/><Relationship Id="rId2" Type="http://schemas.openxmlformats.org/officeDocument/2006/relationships/hyperlink" Target="https://github.com/Lhtie/llms-for-assertions/blob/master/naturalness/UnionFind.java" TargetMode="External"/><Relationship Id="rId1" Type="http://schemas.openxmlformats.org/officeDocument/2006/relationships/hyperlink" Target="https://github.com/Lhtie/llms-for-assertions/blob/master/naturalness/TreeSet.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X595"/>
  <sheetViews>
    <sheetView tabSelected="1" workbookViewId="0">
      <pane xSplit="3" ySplit="1" topLeftCell="D2" activePane="bottomRight" state="frozen"/>
      <selection pane="topRight" activeCell="D1" sqref="D1"/>
      <selection pane="bottomLeft" activeCell="A2" sqref="A2"/>
      <selection pane="bottomRight" activeCell="G26" sqref="G26"/>
    </sheetView>
  </sheetViews>
  <sheetFormatPr defaultColWidth="11.25" defaultRowHeight="15" customHeight="1" x14ac:dyDescent="0.35"/>
  <cols>
    <col min="1" max="1" width="13.4140625" customWidth="1"/>
    <col min="2" max="2" width="21.4140625" customWidth="1"/>
    <col min="3" max="3" width="59.08203125" customWidth="1"/>
    <col min="4" max="4" width="33.4140625" customWidth="1"/>
    <col min="5" max="5" width="14.08203125" customWidth="1"/>
    <col min="6" max="6" width="11.08203125" customWidth="1"/>
    <col min="7" max="7" width="48.4140625" customWidth="1"/>
    <col min="8" max="8" width="33.4140625" customWidth="1"/>
    <col min="9" max="9" width="7.58203125" customWidth="1"/>
    <col min="10" max="10" width="10.6640625" customWidth="1"/>
    <col min="11" max="11" width="7.75" customWidth="1"/>
    <col min="12" max="12" width="8" customWidth="1"/>
    <col min="13" max="13" width="8.9140625" customWidth="1"/>
    <col min="14" max="14" width="6.6640625" customWidth="1"/>
    <col min="15" max="15" width="6.25" customWidth="1"/>
    <col min="16" max="16" width="6.58203125" customWidth="1"/>
    <col min="17" max="19" width="6.25" customWidth="1"/>
    <col min="21" max="21" width="30.33203125" customWidth="1"/>
    <col min="22" max="22" width="6.25" customWidth="1"/>
    <col min="23" max="23" width="7.4140625" customWidth="1"/>
    <col min="24" max="24" width="6.4140625" customWidth="1"/>
    <col min="25" max="25" width="6.6640625" customWidth="1"/>
    <col min="26" max="30" width="6.4140625" customWidth="1"/>
    <col min="31" max="31" width="9.4140625" customWidth="1"/>
    <col min="32" max="32" width="43.75" customWidth="1"/>
    <col min="33" max="33" width="6.75" customWidth="1"/>
    <col min="34" max="34" width="7.58203125" customWidth="1"/>
    <col min="35" max="35" width="6.33203125" customWidth="1"/>
    <col min="36" max="36" width="6" customWidth="1"/>
    <col min="37" max="38" width="7.08203125" customWidth="1"/>
    <col min="39" max="39" width="7.58203125" customWidth="1"/>
    <col min="40" max="40" width="7.08203125" customWidth="1"/>
    <col min="41" max="41" width="6.6640625" customWidth="1"/>
    <col min="43" max="43" width="20.4140625" customWidth="1"/>
  </cols>
  <sheetData>
    <row r="1" spans="1:76" x14ac:dyDescent="0.35">
      <c r="A1" s="1" t="s">
        <v>0</v>
      </c>
      <c r="B1" s="1" t="s">
        <v>1</v>
      </c>
      <c r="C1" s="1" t="s">
        <v>2</v>
      </c>
      <c r="D1" s="1" t="s">
        <v>3</v>
      </c>
      <c r="E1" s="1" t="s">
        <v>4</v>
      </c>
      <c r="F1" s="2" t="s">
        <v>5</v>
      </c>
      <c r="G1" s="2" t="s">
        <v>3948</v>
      </c>
      <c r="H1" s="2" t="s">
        <v>7</v>
      </c>
      <c r="I1" s="2" t="s">
        <v>8</v>
      </c>
      <c r="J1" s="2" t="s">
        <v>9</v>
      </c>
      <c r="K1" s="2" t="s">
        <v>10</v>
      </c>
      <c r="L1" s="2" t="s">
        <v>11</v>
      </c>
      <c r="M1" s="2" t="s">
        <v>12</v>
      </c>
      <c r="N1" s="2" t="s">
        <v>13</v>
      </c>
      <c r="O1" s="2" t="s">
        <v>14</v>
      </c>
      <c r="P1" s="2" t="s">
        <v>15</v>
      </c>
      <c r="Q1" s="2" t="s">
        <v>16</v>
      </c>
      <c r="R1" s="2" t="s">
        <v>17</v>
      </c>
      <c r="S1" s="2" t="s">
        <v>18</v>
      </c>
      <c r="U1" s="3" t="s">
        <v>19</v>
      </c>
      <c r="V1" s="3" t="s">
        <v>8</v>
      </c>
      <c r="W1" s="3" t="s">
        <v>9</v>
      </c>
      <c r="X1" s="3" t="s">
        <v>10</v>
      </c>
      <c r="Y1" s="3" t="s">
        <v>11</v>
      </c>
      <c r="Z1" s="3" t="s">
        <v>12</v>
      </c>
      <c r="AA1" s="3" t="s">
        <v>13</v>
      </c>
      <c r="AB1" s="3" t="s">
        <v>14</v>
      </c>
      <c r="AC1" s="3" t="s">
        <v>15</v>
      </c>
      <c r="AD1" s="3" t="s">
        <v>16</v>
      </c>
      <c r="AE1" s="3"/>
      <c r="AF1" s="3" t="s">
        <v>20</v>
      </c>
      <c r="AG1" s="3" t="s">
        <v>8</v>
      </c>
      <c r="AH1" s="3" t="s">
        <v>9</v>
      </c>
      <c r="AI1" s="3" t="s">
        <v>10</v>
      </c>
      <c r="AJ1" s="3" t="s">
        <v>11</v>
      </c>
      <c r="AK1" s="3" t="s">
        <v>12</v>
      </c>
      <c r="AL1" s="3" t="s">
        <v>13</v>
      </c>
      <c r="AM1" s="3" t="s">
        <v>14</v>
      </c>
      <c r="AN1" s="3" t="s">
        <v>15</v>
      </c>
      <c r="AO1" s="3" t="s">
        <v>16</v>
      </c>
      <c r="AP1" s="3"/>
      <c r="AQ1" s="3" t="s">
        <v>21</v>
      </c>
      <c r="AR1" s="3" t="s">
        <v>8</v>
      </c>
      <c r="AS1" s="3" t="s">
        <v>9</v>
      </c>
      <c r="AT1" s="3" t="s">
        <v>10</v>
      </c>
      <c r="AU1" s="3" t="s">
        <v>11</v>
      </c>
      <c r="AV1" s="3" t="s">
        <v>12</v>
      </c>
      <c r="AW1" s="3" t="s">
        <v>13</v>
      </c>
      <c r="AX1" s="3" t="s">
        <v>14</v>
      </c>
      <c r="AY1" s="3" t="s">
        <v>15</v>
      </c>
      <c r="AZ1" s="3" t="s">
        <v>16</v>
      </c>
      <c r="BA1" s="3" t="s">
        <v>17</v>
      </c>
      <c r="BB1" s="3" t="s">
        <v>22</v>
      </c>
      <c r="BC1" s="3"/>
      <c r="BD1" s="3"/>
      <c r="BE1" s="3"/>
      <c r="BF1" s="3"/>
      <c r="BG1" s="3"/>
      <c r="BH1" s="3"/>
      <c r="BI1" s="3"/>
      <c r="BJ1" s="3"/>
      <c r="BK1" s="3"/>
      <c r="BL1" s="3"/>
      <c r="BM1" s="3"/>
      <c r="BN1" s="3"/>
      <c r="BO1" s="3"/>
      <c r="BP1" s="3"/>
      <c r="BQ1" s="3"/>
      <c r="BR1" s="3"/>
      <c r="BS1" s="3"/>
      <c r="BT1" s="3"/>
      <c r="BU1" s="3"/>
      <c r="BV1" s="3"/>
      <c r="BW1" s="3"/>
      <c r="BX1" s="3"/>
    </row>
    <row r="2" spans="1:76" x14ac:dyDescent="0.35">
      <c r="A2" s="3" t="s">
        <v>23</v>
      </c>
      <c r="B2" s="3" t="s">
        <v>24</v>
      </c>
      <c r="C2" s="3" t="s">
        <v>25</v>
      </c>
      <c r="D2" s="3"/>
      <c r="E2" s="3"/>
      <c r="F2" s="3"/>
      <c r="G2" s="3" t="s">
        <v>3535</v>
      </c>
      <c r="H2" s="3" t="s">
        <v>27</v>
      </c>
      <c r="I2" s="3" t="b">
        <v>1</v>
      </c>
      <c r="J2" s="3" t="b">
        <v>1</v>
      </c>
      <c r="K2" s="3" t="b">
        <v>1</v>
      </c>
      <c r="L2" s="3" t="b">
        <v>1</v>
      </c>
      <c r="M2" s="3" t="b">
        <v>1</v>
      </c>
      <c r="N2" s="3" t="b">
        <f t="shared" ref="N2:N256" si="0">IF(COUNTA(I2:M2)=0, ,AND(AND(I2,J2,K2,L2),M2))</f>
        <v>1</v>
      </c>
      <c r="O2" s="3" t="b">
        <f t="shared" ref="O2:O256" si="1">IF(COUNTA(I2:M2)=0, ,AND(AND(I2,J2,K2,L2),NOT(M2)))</f>
        <v>0</v>
      </c>
      <c r="P2" s="3" t="b">
        <f t="shared" ref="P2:P256" si="2">IF(COUNTA(I2:M2)=0, ,AND(NOT(AND(I2,J2,K2,L2)),NOT(M2)))</f>
        <v>0</v>
      </c>
      <c r="Q2" s="3" t="b">
        <f t="shared" ref="Q2:Q256" si="3">IF(COUNTA(I2:M2)=0, ,AND(NOT(AND(I2,J2,K2,L2)),M2))</f>
        <v>0</v>
      </c>
      <c r="R2" s="3" t="b">
        <f t="shared" ref="R2:R256" si="4">IF(COUNTA(I2:M2)=0, ,AND(AND(I2,J2,K2),NOT(M2)))</f>
        <v>0</v>
      </c>
      <c r="S2" s="3" t="b">
        <f t="shared" ref="S2:S256" si="5">IF(COUNTA(I2:M2)=0, ,AND(NOT(AND(I2,J2,K2)),M2))</f>
        <v>0</v>
      </c>
      <c r="U2" s="3" t="s">
        <v>27</v>
      </c>
      <c r="V2" s="3" t="b">
        <v>1</v>
      </c>
      <c r="W2" s="3" t="b">
        <v>1</v>
      </c>
      <c r="X2" s="3" t="b">
        <v>1</v>
      </c>
      <c r="Y2" s="3" t="b">
        <v>1</v>
      </c>
      <c r="Z2" s="3" t="b">
        <v>1</v>
      </c>
      <c r="AA2" s="3"/>
      <c r="AB2" s="3"/>
      <c r="AC2" s="3"/>
      <c r="AD2" s="3"/>
      <c r="AE2" s="3"/>
      <c r="AF2" s="3" t="s">
        <v>28</v>
      </c>
      <c r="AG2" s="3" t="b">
        <v>1</v>
      </c>
      <c r="AH2" s="3" t="b">
        <v>1</v>
      </c>
      <c r="AI2" s="3" t="b">
        <v>1</v>
      </c>
      <c r="AJ2" s="3" t="b">
        <v>1</v>
      </c>
      <c r="AK2" s="3" t="b">
        <v>1</v>
      </c>
      <c r="AL2" s="3"/>
      <c r="AM2" s="3"/>
      <c r="AN2" s="3"/>
      <c r="AO2" s="3"/>
      <c r="AP2" s="3"/>
      <c r="AQ2" s="3" t="s">
        <v>28</v>
      </c>
      <c r="AR2" s="3" t="b">
        <v>1</v>
      </c>
      <c r="AS2" s="3" t="b">
        <v>1</v>
      </c>
      <c r="AT2" s="3" t="b">
        <v>1</v>
      </c>
      <c r="AU2" s="3" t="b">
        <v>1</v>
      </c>
      <c r="AV2" s="3" t="b">
        <v>1</v>
      </c>
      <c r="AW2" s="3" t="b">
        <f t="shared" ref="AW2:AW256" si="6">IF(COUNTA(AR2:AV2)=0, ,AND(AND(AR2,AS2,AT2,AU2),AV2))</f>
        <v>1</v>
      </c>
      <c r="AX2" s="3" t="b">
        <f t="shared" ref="AX2:AX256" si="7">IF(COUNTA(AR2:AV2)=0, ,AND(AND(AR2,AS2,AT2,AU2),NOT(AV2)))</f>
        <v>0</v>
      </c>
      <c r="AY2" s="3" t="b">
        <f t="shared" ref="AY2:AY256" si="8">IF(COUNTA(AR2:AV2)=0, ,AND(NOT(AND(AR2,AS2,AT2,AU2)),NOT(AV2)))</f>
        <v>0</v>
      </c>
      <c r="AZ2" s="3" t="b">
        <f t="shared" ref="AZ2:AZ256" si="9">IF(COUNTA(AR2:AV2)=0, ,AND(NOT(AND(AR2,AS2,AT2,AU2)),AV2))</f>
        <v>0</v>
      </c>
      <c r="BA2" s="3" t="b">
        <f t="shared" ref="BA2:BA256" si="10">IF(COUNTA(AR2:AV2)=0, ,AND(AND(AR2,AS2,AT2),NOT(AV2)))</f>
        <v>0</v>
      </c>
      <c r="BB2" s="3" t="b">
        <f t="shared" ref="BB2:BB256" si="11">IF(COUNTA(AR2:AV2)=0, ,AND(NOT(AND(AR2,AS2,AT2)),AV2))</f>
        <v>0</v>
      </c>
      <c r="BC2" s="3"/>
      <c r="BD2" s="3" t="s">
        <v>28</v>
      </c>
      <c r="BE2" s="3" t="b">
        <v>1</v>
      </c>
      <c r="BF2" s="3" t="b">
        <v>1</v>
      </c>
      <c r="BG2" s="3" t="b">
        <v>1</v>
      </c>
      <c r="BH2" s="3" t="b">
        <v>1</v>
      </c>
      <c r="BI2" s="3" t="b">
        <v>1</v>
      </c>
      <c r="BJ2" s="3"/>
      <c r="BK2" s="3"/>
      <c r="BL2" s="3"/>
      <c r="BM2" s="3"/>
      <c r="BN2" s="3"/>
      <c r="BO2" s="3" t="s">
        <v>28</v>
      </c>
      <c r="BP2" s="3" t="b">
        <v>1</v>
      </c>
      <c r="BQ2" s="3" t="b">
        <v>1</v>
      </c>
      <c r="BR2" s="3" t="b">
        <v>1</v>
      </c>
      <c r="BS2" s="3" t="b">
        <v>1</v>
      </c>
      <c r="BT2" s="3" t="b">
        <v>1</v>
      </c>
      <c r="BU2" s="3"/>
      <c r="BV2" s="3"/>
      <c r="BW2" s="3"/>
      <c r="BX2" s="3"/>
    </row>
    <row r="3" spans="1:76" x14ac:dyDescent="0.35">
      <c r="A3" s="3"/>
      <c r="B3" s="3"/>
      <c r="C3" s="3" t="s">
        <v>29</v>
      </c>
      <c r="D3" s="3"/>
      <c r="E3" s="3"/>
      <c r="F3" s="3"/>
      <c r="G3" s="3" t="s">
        <v>3536</v>
      </c>
      <c r="H3" s="3" t="s">
        <v>31</v>
      </c>
      <c r="I3" s="3" t="b">
        <v>1</v>
      </c>
      <c r="J3" s="3" t="b">
        <v>1</v>
      </c>
      <c r="K3" s="3" t="b">
        <v>1</v>
      </c>
      <c r="L3" s="3" t="b">
        <v>1</v>
      </c>
      <c r="M3" s="3" t="b">
        <v>1</v>
      </c>
      <c r="N3" s="3" t="b">
        <f t="shared" si="0"/>
        <v>1</v>
      </c>
      <c r="O3" s="3" t="b">
        <f t="shared" si="1"/>
        <v>0</v>
      </c>
      <c r="P3" s="3" t="b">
        <f t="shared" si="2"/>
        <v>0</v>
      </c>
      <c r="Q3" s="3" t="b">
        <f t="shared" si="3"/>
        <v>0</v>
      </c>
      <c r="R3" s="3" t="b">
        <f t="shared" si="4"/>
        <v>0</v>
      </c>
      <c r="S3" s="3" t="b">
        <f t="shared" si="5"/>
        <v>0</v>
      </c>
      <c r="U3" s="3" t="s">
        <v>31</v>
      </c>
      <c r="V3" s="3" t="b">
        <v>1</v>
      </c>
      <c r="W3" s="3" t="b">
        <v>1</v>
      </c>
      <c r="X3" s="3" t="b">
        <v>1</v>
      </c>
      <c r="Y3" s="3" t="b">
        <v>1</v>
      </c>
      <c r="Z3" s="3" t="b">
        <v>1</v>
      </c>
      <c r="AA3" s="3"/>
      <c r="AB3" s="3"/>
      <c r="AC3" s="3"/>
      <c r="AD3" s="3"/>
      <c r="AE3" s="3"/>
      <c r="AF3" s="3" t="s">
        <v>31</v>
      </c>
      <c r="AG3" s="3" t="b">
        <v>1</v>
      </c>
      <c r="AH3" s="3" t="b">
        <v>1</v>
      </c>
      <c r="AI3" s="3" t="b">
        <v>1</v>
      </c>
      <c r="AJ3" s="3" t="b">
        <v>1</v>
      </c>
      <c r="AK3" s="3" t="b">
        <v>1</v>
      </c>
      <c r="AL3" s="3"/>
      <c r="AM3" s="3"/>
      <c r="AN3" s="3"/>
      <c r="AO3" s="3"/>
      <c r="AP3" s="3"/>
      <c r="AQ3" s="3" t="s">
        <v>31</v>
      </c>
      <c r="AR3" s="3" t="b">
        <v>1</v>
      </c>
      <c r="AS3" s="3" t="b">
        <v>1</v>
      </c>
      <c r="AT3" s="3" t="b">
        <v>1</v>
      </c>
      <c r="AU3" s="3" t="b">
        <v>1</v>
      </c>
      <c r="AV3" s="3" t="b">
        <v>1</v>
      </c>
      <c r="AW3" s="3" t="b">
        <f t="shared" si="6"/>
        <v>1</v>
      </c>
      <c r="AX3" s="3" t="b">
        <f t="shared" si="7"/>
        <v>0</v>
      </c>
      <c r="AY3" s="3" t="b">
        <f t="shared" si="8"/>
        <v>0</v>
      </c>
      <c r="AZ3" s="3" t="b">
        <f t="shared" si="9"/>
        <v>0</v>
      </c>
      <c r="BA3" s="3" t="b">
        <f t="shared" si="10"/>
        <v>0</v>
      </c>
      <c r="BB3" s="3" t="b">
        <f t="shared" si="11"/>
        <v>0</v>
      </c>
      <c r="BC3" s="3"/>
      <c r="BD3" s="3" t="s">
        <v>31</v>
      </c>
      <c r="BE3" s="3" t="b">
        <v>1</v>
      </c>
      <c r="BF3" s="3" t="b">
        <v>1</v>
      </c>
      <c r="BG3" s="3" t="b">
        <v>1</v>
      </c>
      <c r="BH3" s="3" t="b">
        <v>1</v>
      </c>
      <c r="BI3" s="3" t="b">
        <v>1</v>
      </c>
      <c r="BJ3" s="3"/>
      <c r="BK3" s="3"/>
      <c r="BL3" s="3"/>
      <c r="BM3" s="3"/>
      <c r="BN3" s="3"/>
      <c r="BO3" s="3" t="s">
        <v>31</v>
      </c>
      <c r="BP3" s="3" t="b">
        <v>1</v>
      </c>
      <c r="BQ3" s="3" t="b">
        <v>1</v>
      </c>
      <c r="BR3" s="3" t="b">
        <v>1</v>
      </c>
      <c r="BS3" s="3" t="b">
        <v>1</v>
      </c>
      <c r="BT3" s="3" t="b">
        <v>1</v>
      </c>
      <c r="BU3" s="3"/>
      <c r="BV3" s="3"/>
      <c r="BW3" s="3"/>
      <c r="BX3" s="3"/>
    </row>
    <row r="4" spans="1:76" x14ac:dyDescent="0.35">
      <c r="A4" s="3"/>
      <c r="B4" s="3" t="s">
        <v>32</v>
      </c>
      <c r="C4" s="3" t="s">
        <v>33</v>
      </c>
      <c r="D4" s="3" t="s">
        <v>34</v>
      </c>
      <c r="E4" s="3" t="s">
        <v>35</v>
      </c>
      <c r="F4" s="3"/>
      <c r="G4" s="3" t="s">
        <v>3537</v>
      </c>
      <c r="H4" s="3" t="s">
        <v>37</v>
      </c>
      <c r="I4" s="3" t="b">
        <v>1</v>
      </c>
      <c r="J4" s="3" t="b">
        <v>1</v>
      </c>
      <c r="K4" s="3" t="b">
        <v>1</v>
      </c>
      <c r="L4" s="3" t="b">
        <v>1</v>
      </c>
      <c r="M4" s="3" t="b">
        <v>1</v>
      </c>
      <c r="N4" s="3" t="b">
        <f t="shared" si="0"/>
        <v>1</v>
      </c>
      <c r="O4" s="3" t="b">
        <f t="shared" si="1"/>
        <v>0</v>
      </c>
      <c r="P4" s="3" t="b">
        <f t="shared" si="2"/>
        <v>0</v>
      </c>
      <c r="Q4" s="3" t="b">
        <f t="shared" si="3"/>
        <v>0</v>
      </c>
      <c r="R4" s="3" t="b">
        <f t="shared" si="4"/>
        <v>0</v>
      </c>
      <c r="S4" s="3" t="b">
        <f t="shared" si="5"/>
        <v>0</v>
      </c>
      <c r="U4" s="3"/>
      <c r="V4" s="3" t="b">
        <v>1</v>
      </c>
      <c r="W4" s="3" t="b">
        <v>0</v>
      </c>
      <c r="X4" s="3" t="b">
        <v>0</v>
      </c>
      <c r="Y4" s="3" t="b">
        <v>0</v>
      </c>
      <c r="Z4" s="3" t="b">
        <v>0</v>
      </c>
      <c r="AA4" s="3"/>
      <c r="AB4" s="3"/>
      <c r="AC4" s="3"/>
      <c r="AD4" s="3"/>
      <c r="AE4" s="3"/>
      <c r="AF4" s="3" t="s">
        <v>37</v>
      </c>
      <c r="AG4" s="3" t="b">
        <v>1</v>
      </c>
      <c r="AH4" s="3" t="b">
        <v>1</v>
      </c>
      <c r="AI4" s="3" t="b">
        <v>1</v>
      </c>
      <c r="AJ4" s="3" t="b">
        <v>1</v>
      </c>
      <c r="AK4" s="3" t="b">
        <v>1</v>
      </c>
      <c r="AL4" s="3"/>
      <c r="AM4" s="3"/>
      <c r="AN4" s="3"/>
      <c r="AO4" s="3"/>
      <c r="AP4" s="3"/>
      <c r="AQ4" s="3" t="s">
        <v>37</v>
      </c>
      <c r="AR4" s="3" t="b">
        <v>1</v>
      </c>
      <c r="AS4" s="3" t="b">
        <v>1</v>
      </c>
      <c r="AT4" s="3" t="b">
        <v>1</v>
      </c>
      <c r="AU4" s="3" t="b">
        <v>1</v>
      </c>
      <c r="AV4" s="3" t="b">
        <v>1</v>
      </c>
      <c r="AW4" s="3" t="b">
        <f t="shared" si="6"/>
        <v>1</v>
      </c>
      <c r="AX4" s="3" t="b">
        <f t="shared" si="7"/>
        <v>0</v>
      </c>
      <c r="AY4" s="3" t="b">
        <f t="shared" si="8"/>
        <v>0</v>
      </c>
      <c r="AZ4" s="3" t="b">
        <f t="shared" si="9"/>
        <v>0</v>
      </c>
      <c r="BA4" s="3" t="b">
        <f t="shared" si="10"/>
        <v>0</v>
      </c>
      <c r="BB4" s="3" t="b">
        <f t="shared" si="11"/>
        <v>0</v>
      </c>
      <c r="BC4" s="3"/>
      <c r="BD4" s="3" t="s">
        <v>37</v>
      </c>
      <c r="BE4" s="3" t="b">
        <v>1</v>
      </c>
      <c r="BF4" s="3" t="b">
        <v>1</v>
      </c>
      <c r="BG4" s="3" t="b">
        <v>1</v>
      </c>
      <c r="BH4" s="3" t="b">
        <v>1</v>
      </c>
      <c r="BI4" s="3" t="b">
        <v>1</v>
      </c>
      <c r="BJ4" s="3"/>
      <c r="BK4" s="3"/>
      <c r="BL4" s="3"/>
      <c r="BM4" s="3"/>
      <c r="BN4" s="3"/>
      <c r="BO4" s="3" t="s">
        <v>37</v>
      </c>
      <c r="BP4" s="3" t="b">
        <v>1</v>
      </c>
      <c r="BQ4" s="3" t="b">
        <v>1</v>
      </c>
      <c r="BR4" s="3" t="b">
        <v>1</v>
      </c>
      <c r="BS4" s="3" t="b">
        <v>1</v>
      </c>
      <c r="BT4" s="3" t="b">
        <v>1</v>
      </c>
      <c r="BU4" s="3"/>
      <c r="BV4" s="3"/>
      <c r="BW4" s="3"/>
      <c r="BX4" s="3"/>
    </row>
    <row r="5" spans="1:76" x14ac:dyDescent="0.35">
      <c r="A5" s="3"/>
      <c r="B5" s="3"/>
      <c r="C5" s="3" t="s">
        <v>38</v>
      </c>
      <c r="D5" s="3"/>
      <c r="E5" s="3"/>
      <c r="F5" s="3"/>
      <c r="G5" s="3" t="s">
        <v>3538</v>
      </c>
      <c r="H5" s="3" t="s">
        <v>40</v>
      </c>
      <c r="I5" s="3" t="b">
        <v>1</v>
      </c>
      <c r="J5" s="3" t="b">
        <v>1</v>
      </c>
      <c r="K5" s="3" t="b">
        <v>1</v>
      </c>
      <c r="L5" s="3" t="b">
        <v>1</v>
      </c>
      <c r="M5" s="3" t="b">
        <v>0</v>
      </c>
      <c r="N5" s="3" t="b">
        <f t="shared" si="0"/>
        <v>0</v>
      </c>
      <c r="O5" s="3" t="b">
        <f t="shared" si="1"/>
        <v>1</v>
      </c>
      <c r="P5" s="3" t="b">
        <f t="shared" si="2"/>
        <v>0</v>
      </c>
      <c r="Q5" s="3" t="b">
        <f t="shared" si="3"/>
        <v>0</v>
      </c>
      <c r="R5" s="3" t="b">
        <f t="shared" si="4"/>
        <v>1</v>
      </c>
      <c r="S5" s="3" t="b">
        <f t="shared" si="5"/>
        <v>0</v>
      </c>
      <c r="U5" s="3" t="s">
        <v>41</v>
      </c>
      <c r="V5" s="3" t="b">
        <v>1</v>
      </c>
      <c r="W5" s="3" t="b">
        <v>0</v>
      </c>
      <c r="X5" s="3" t="b">
        <v>0</v>
      </c>
      <c r="Y5" s="3" t="b">
        <v>1</v>
      </c>
      <c r="Z5" s="3" t="b">
        <v>0</v>
      </c>
      <c r="AA5" s="3"/>
      <c r="AB5" s="3"/>
      <c r="AC5" s="3"/>
      <c r="AD5" s="3"/>
      <c r="AE5" s="3"/>
      <c r="AF5" s="3" t="s">
        <v>40</v>
      </c>
      <c r="AG5" s="3" t="b">
        <v>1</v>
      </c>
      <c r="AH5" s="3" t="b">
        <v>1</v>
      </c>
      <c r="AI5" s="3" t="b">
        <v>1</v>
      </c>
      <c r="AJ5" s="3" t="b">
        <v>1</v>
      </c>
      <c r="AK5" s="3" t="b">
        <v>0</v>
      </c>
      <c r="AL5" s="3"/>
      <c r="AM5" s="3"/>
      <c r="AN5" s="3"/>
      <c r="AO5" s="3"/>
      <c r="AP5" s="3"/>
      <c r="AQ5" s="3" t="s">
        <v>42</v>
      </c>
      <c r="AR5" s="3" t="b">
        <v>1</v>
      </c>
      <c r="AS5" s="3" t="b">
        <v>1</v>
      </c>
      <c r="AT5" s="3" t="b">
        <v>1</v>
      </c>
      <c r="AU5" s="3" t="b">
        <v>0</v>
      </c>
      <c r="AV5" s="3" t="b">
        <v>0</v>
      </c>
      <c r="AW5" s="3" t="b">
        <f t="shared" si="6"/>
        <v>0</v>
      </c>
      <c r="AX5" s="3" t="b">
        <f t="shared" si="7"/>
        <v>0</v>
      </c>
      <c r="AY5" s="3" t="b">
        <f t="shared" si="8"/>
        <v>1</v>
      </c>
      <c r="AZ5" s="3" t="b">
        <f t="shared" si="9"/>
        <v>0</v>
      </c>
      <c r="BA5" s="3" t="b">
        <f t="shared" si="10"/>
        <v>1</v>
      </c>
      <c r="BB5" s="3" t="b">
        <f t="shared" si="11"/>
        <v>0</v>
      </c>
      <c r="BC5" s="3"/>
      <c r="BD5" s="3" t="s">
        <v>42</v>
      </c>
      <c r="BE5" s="3" t="b">
        <v>1</v>
      </c>
      <c r="BF5" s="3" t="b">
        <v>1</v>
      </c>
      <c r="BG5" s="3" t="b">
        <v>1</v>
      </c>
      <c r="BH5" s="3" t="b">
        <v>0</v>
      </c>
      <c r="BI5" s="3" t="b">
        <v>0</v>
      </c>
      <c r="BJ5" s="3"/>
      <c r="BK5" s="3"/>
      <c r="BL5" s="3"/>
      <c r="BM5" s="3"/>
      <c r="BN5" s="3"/>
      <c r="BO5" s="3" t="s">
        <v>42</v>
      </c>
      <c r="BP5" s="3" t="b">
        <v>1</v>
      </c>
      <c r="BQ5" s="3" t="b">
        <v>1</v>
      </c>
      <c r="BR5" s="3" t="b">
        <v>1</v>
      </c>
      <c r="BS5" s="3" t="b">
        <v>0</v>
      </c>
      <c r="BT5" s="3" t="b">
        <v>0</v>
      </c>
      <c r="BU5" s="3"/>
      <c r="BV5" s="3"/>
      <c r="BW5" s="3"/>
      <c r="BX5" s="3"/>
    </row>
    <row r="6" spans="1:76" x14ac:dyDescent="0.35">
      <c r="A6" s="3"/>
      <c r="B6" s="3"/>
      <c r="C6" s="3" t="s">
        <v>43</v>
      </c>
      <c r="D6" s="3"/>
      <c r="E6" s="3"/>
      <c r="F6" s="3"/>
      <c r="G6" s="3" t="s">
        <v>3539</v>
      </c>
      <c r="H6" s="3" t="s">
        <v>45</v>
      </c>
      <c r="I6" s="3" t="b">
        <v>1</v>
      </c>
      <c r="J6" s="3" t="b">
        <v>1</v>
      </c>
      <c r="K6" s="3" t="b">
        <v>1</v>
      </c>
      <c r="L6" s="3" t="b">
        <v>1</v>
      </c>
      <c r="M6" s="3" t="b">
        <v>1</v>
      </c>
      <c r="N6" s="3" t="b">
        <f t="shared" si="0"/>
        <v>1</v>
      </c>
      <c r="O6" s="3" t="b">
        <f t="shared" si="1"/>
        <v>0</v>
      </c>
      <c r="P6" s="3" t="b">
        <f t="shared" si="2"/>
        <v>0</v>
      </c>
      <c r="Q6" s="3" t="b">
        <f t="shared" si="3"/>
        <v>0</v>
      </c>
      <c r="R6" s="3" t="b">
        <f t="shared" si="4"/>
        <v>0</v>
      </c>
      <c r="S6" s="3" t="b">
        <f t="shared" si="5"/>
        <v>0</v>
      </c>
      <c r="U6" s="3" t="s">
        <v>45</v>
      </c>
      <c r="V6" s="3" t="b">
        <v>1</v>
      </c>
      <c r="W6" s="3" t="b">
        <v>1</v>
      </c>
      <c r="X6" s="3" t="b">
        <v>1</v>
      </c>
      <c r="Y6" s="3" t="b">
        <v>1</v>
      </c>
      <c r="Z6" s="3" t="b">
        <v>1</v>
      </c>
      <c r="AA6" s="3"/>
      <c r="AB6" s="3"/>
      <c r="AC6" s="3"/>
      <c r="AD6" s="3"/>
      <c r="AE6" s="3"/>
      <c r="AF6" s="3" t="s">
        <v>45</v>
      </c>
      <c r="AG6" s="3" t="b">
        <v>1</v>
      </c>
      <c r="AH6" s="3" t="b">
        <v>1</v>
      </c>
      <c r="AI6" s="3" t="b">
        <v>1</v>
      </c>
      <c r="AJ6" s="3" t="b">
        <v>1</v>
      </c>
      <c r="AK6" s="3" t="b">
        <v>1</v>
      </c>
      <c r="AL6" s="3"/>
      <c r="AM6" s="3"/>
      <c r="AN6" s="3"/>
      <c r="AO6" s="3"/>
      <c r="AP6" s="3"/>
      <c r="AQ6" s="3" t="s">
        <v>46</v>
      </c>
      <c r="AR6" s="3" t="b">
        <v>1</v>
      </c>
      <c r="AS6" s="3" t="b">
        <v>1</v>
      </c>
      <c r="AT6" s="3" t="b">
        <v>1</v>
      </c>
      <c r="AU6" s="3" t="b">
        <v>1</v>
      </c>
      <c r="AV6" s="3" t="b">
        <v>1</v>
      </c>
      <c r="AW6" s="3" t="b">
        <f t="shared" si="6"/>
        <v>1</v>
      </c>
      <c r="AX6" s="3" t="b">
        <f t="shared" si="7"/>
        <v>0</v>
      </c>
      <c r="AY6" s="3" t="b">
        <f t="shared" si="8"/>
        <v>0</v>
      </c>
      <c r="AZ6" s="3" t="b">
        <f t="shared" si="9"/>
        <v>0</v>
      </c>
      <c r="BA6" s="3" t="b">
        <f t="shared" si="10"/>
        <v>0</v>
      </c>
      <c r="BB6" s="3" t="b">
        <f t="shared" si="11"/>
        <v>0</v>
      </c>
      <c r="BC6" s="3"/>
      <c r="BD6" s="3" t="s">
        <v>47</v>
      </c>
      <c r="BE6" s="3" t="b">
        <v>1</v>
      </c>
      <c r="BF6" s="3" t="b">
        <v>0</v>
      </c>
      <c r="BG6" s="3" t="b">
        <v>0</v>
      </c>
      <c r="BH6" s="3" t="b">
        <v>1</v>
      </c>
      <c r="BI6" s="3" t="b">
        <v>0</v>
      </c>
      <c r="BJ6" s="3"/>
      <c r="BK6" s="3"/>
      <c r="BL6" s="3"/>
      <c r="BM6" s="3"/>
      <c r="BN6" s="3"/>
      <c r="BO6" s="3" t="s">
        <v>48</v>
      </c>
      <c r="BP6" s="3" t="b">
        <v>1</v>
      </c>
      <c r="BQ6" s="3" t="b">
        <v>1</v>
      </c>
      <c r="BR6" s="3" t="b">
        <v>1</v>
      </c>
      <c r="BS6" s="3" t="b">
        <v>1</v>
      </c>
      <c r="BT6" s="3" t="b">
        <v>1</v>
      </c>
      <c r="BU6" s="3"/>
      <c r="BV6" s="3"/>
      <c r="BW6" s="3"/>
      <c r="BX6" s="3"/>
    </row>
    <row r="7" spans="1:76" x14ac:dyDescent="0.35">
      <c r="A7" s="3"/>
      <c r="B7" s="3" t="s">
        <v>49</v>
      </c>
      <c r="C7" s="3" t="s">
        <v>50</v>
      </c>
      <c r="D7" s="3" t="s">
        <v>51</v>
      </c>
      <c r="E7" s="3" t="s">
        <v>52</v>
      </c>
      <c r="F7" s="3"/>
      <c r="G7" s="3" t="s">
        <v>3540</v>
      </c>
      <c r="H7" s="3" t="s">
        <v>54</v>
      </c>
      <c r="I7" s="3" t="b">
        <v>1</v>
      </c>
      <c r="J7" s="3" t="b">
        <v>1</v>
      </c>
      <c r="K7" s="3" t="b">
        <v>1</v>
      </c>
      <c r="L7" s="3" t="b">
        <v>1</v>
      </c>
      <c r="M7" s="3" t="b">
        <v>1</v>
      </c>
      <c r="N7" s="3" t="b">
        <f t="shared" si="0"/>
        <v>1</v>
      </c>
      <c r="O7" s="3" t="b">
        <f t="shared" si="1"/>
        <v>0</v>
      </c>
      <c r="P7" s="3" t="b">
        <f t="shared" si="2"/>
        <v>0</v>
      </c>
      <c r="Q7" s="3" t="b">
        <f t="shared" si="3"/>
        <v>0</v>
      </c>
      <c r="R7" s="3" t="b">
        <f t="shared" si="4"/>
        <v>0</v>
      </c>
      <c r="S7" s="3" t="b">
        <f t="shared" si="5"/>
        <v>0</v>
      </c>
      <c r="U7" s="3" t="s">
        <v>55</v>
      </c>
      <c r="V7" s="3" t="b">
        <v>1</v>
      </c>
      <c r="W7" s="3" t="b">
        <v>1</v>
      </c>
      <c r="X7" s="3" t="b">
        <v>1</v>
      </c>
      <c r="Y7" s="3" t="b">
        <v>1</v>
      </c>
      <c r="Z7" s="3" t="b">
        <v>1</v>
      </c>
      <c r="AA7" s="3"/>
      <c r="AB7" s="3"/>
      <c r="AC7" s="3"/>
      <c r="AD7" s="3"/>
      <c r="AE7" s="3"/>
      <c r="AF7" s="3" t="s">
        <v>56</v>
      </c>
      <c r="AG7" s="3" t="b">
        <v>1</v>
      </c>
      <c r="AH7" s="3" t="b">
        <v>1</v>
      </c>
      <c r="AI7" s="3" t="b">
        <v>1</v>
      </c>
      <c r="AJ7" s="3" t="b">
        <v>1</v>
      </c>
      <c r="AK7" s="3" t="b">
        <v>1</v>
      </c>
      <c r="AL7" s="3"/>
      <c r="AM7" s="3"/>
      <c r="AN7" s="3"/>
      <c r="AO7" s="3"/>
      <c r="AP7" s="3"/>
      <c r="AQ7" s="3" t="s">
        <v>55</v>
      </c>
      <c r="AR7" s="3" t="b">
        <v>1</v>
      </c>
      <c r="AS7" s="3" t="b">
        <v>1</v>
      </c>
      <c r="AT7" s="3" t="b">
        <v>1</v>
      </c>
      <c r="AU7" s="3" t="b">
        <v>1</v>
      </c>
      <c r="AV7" s="3" t="b">
        <v>1</v>
      </c>
      <c r="AW7" s="3" t="b">
        <f t="shared" si="6"/>
        <v>1</v>
      </c>
      <c r="AX7" s="3" t="b">
        <f t="shared" si="7"/>
        <v>0</v>
      </c>
      <c r="AY7" s="3" t="b">
        <f t="shared" si="8"/>
        <v>0</v>
      </c>
      <c r="AZ7" s="3" t="b">
        <f t="shared" si="9"/>
        <v>0</v>
      </c>
      <c r="BA7" s="3" t="b">
        <f t="shared" si="10"/>
        <v>0</v>
      </c>
      <c r="BB7" s="3" t="b">
        <f t="shared" si="11"/>
        <v>0</v>
      </c>
      <c r="BC7" s="3"/>
      <c r="BD7" s="3" t="s">
        <v>55</v>
      </c>
      <c r="BE7" s="3" t="b">
        <v>1</v>
      </c>
      <c r="BF7" s="3" t="b">
        <v>1</v>
      </c>
      <c r="BG7" s="3" t="b">
        <v>1</v>
      </c>
      <c r="BH7" s="3" t="b">
        <v>1</v>
      </c>
      <c r="BI7" s="3" t="b">
        <v>1</v>
      </c>
      <c r="BJ7" s="3"/>
      <c r="BK7" s="3"/>
      <c r="BL7" s="3"/>
      <c r="BM7" s="3"/>
      <c r="BN7" s="3"/>
      <c r="BO7" s="3" t="s">
        <v>55</v>
      </c>
      <c r="BP7" s="3" t="b">
        <v>1</v>
      </c>
      <c r="BQ7" s="3" t="b">
        <v>1</v>
      </c>
      <c r="BR7" s="3" t="b">
        <v>1</v>
      </c>
      <c r="BS7" s="3" t="b">
        <v>1</v>
      </c>
      <c r="BT7" s="3" t="b">
        <v>1</v>
      </c>
      <c r="BU7" s="3"/>
      <c r="BV7" s="3"/>
      <c r="BW7" s="3"/>
      <c r="BX7" s="3"/>
    </row>
    <row r="8" spans="1:76" x14ac:dyDescent="0.35">
      <c r="A8" s="3"/>
      <c r="B8" s="3"/>
      <c r="C8" s="3" t="s">
        <v>57</v>
      </c>
      <c r="D8" s="3"/>
      <c r="E8" s="3"/>
      <c r="F8" s="3"/>
      <c r="G8" s="3" t="s">
        <v>3541</v>
      </c>
      <c r="H8" s="3" t="s">
        <v>59</v>
      </c>
      <c r="I8" s="3" t="b">
        <v>1</v>
      </c>
      <c r="J8" s="3" t="b">
        <v>1</v>
      </c>
      <c r="K8" s="3" t="b">
        <v>1</v>
      </c>
      <c r="L8" s="3" t="b">
        <v>1</v>
      </c>
      <c r="M8" s="3" t="b">
        <v>1</v>
      </c>
      <c r="N8" s="3" t="b">
        <f t="shared" si="0"/>
        <v>1</v>
      </c>
      <c r="O8" s="3" t="b">
        <f t="shared" si="1"/>
        <v>0</v>
      </c>
      <c r="P8" s="3" t="b">
        <f t="shared" si="2"/>
        <v>0</v>
      </c>
      <c r="Q8" s="3" t="b">
        <f t="shared" si="3"/>
        <v>0</v>
      </c>
      <c r="R8" s="3" t="b">
        <f t="shared" si="4"/>
        <v>0</v>
      </c>
      <c r="S8" s="3" t="b">
        <f t="shared" si="5"/>
        <v>0</v>
      </c>
      <c r="U8" s="3" t="s">
        <v>59</v>
      </c>
      <c r="V8" s="3" t="b">
        <v>1</v>
      </c>
      <c r="W8" s="3" t="b">
        <v>1</v>
      </c>
      <c r="X8" s="3" t="b">
        <v>1</v>
      </c>
      <c r="Y8" s="3" t="b">
        <v>1</v>
      </c>
      <c r="Z8" s="3" t="b">
        <v>1</v>
      </c>
      <c r="AA8" s="3"/>
      <c r="AB8" s="3"/>
      <c r="AC8" s="3"/>
      <c r="AD8" s="3"/>
      <c r="AE8" s="3"/>
      <c r="AF8" s="3" t="s">
        <v>59</v>
      </c>
      <c r="AG8" s="3" t="b">
        <v>1</v>
      </c>
      <c r="AH8" s="3" t="b">
        <v>1</v>
      </c>
      <c r="AI8" s="3" t="b">
        <v>1</v>
      </c>
      <c r="AJ8" s="3" t="b">
        <v>1</v>
      </c>
      <c r="AK8" s="3" t="b">
        <v>1</v>
      </c>
      <c r="AL8" s="3"/>
      <c r="AM8" s="3"/>
      <c r="AN8" s="3"/>
      <c r="AO8" s="3"/>
      <c r="AP8" s="3"/>
      <c r="AQ8" s="3" t="s">
        <v>59</v>
      </c>
      <c r="AR8" s="3" t="b">
        <v>1</v>
      </c>
      <c r="AS8" s="3" t="b">
        <v>1</v>
      </c>
      <c r="AT8" s="3" t="b">
        <v>1</v>
      </c>
      <c r="AU8" s="3" t="b">
        <v>1</v>
      </c>
      <c r="AV8" s="3" t="b">
        <v>1</v>
      </c>
      <c r="AW8" s="3" t="b">
        <f t="shared" si="6"/>
        <v>1</v>
      </c>
      <c r="AX8" s="3" t="b">
        <f t="shared" si="7"/>
        <v>0</v>
      </c>
      <c r="AY8" s="3" t="b">
        <f t="shared" si="8"/>
        <v>0</v>
      </c>
      <c r="AZ8" s="3" t="b">
        <f t="shared" si="9"/>
        <v>0</v>
      </c>
      <c r="BA8" s="3" t="b">
        <f t="shared" si="10"/>
        <v>0</v>
      </c>
      <c r="BB8" s="3" t="b">
        <f t="shared" si="11"/>
        <v>0</v>
      </c>
      <c r="BC8" s="3"/>
      <c r="BD8" s="3" t="s">
        <v>59</v>
      </c>
      <c r="BE8" s="3" t="b">
        <v>1</v>
      </c>
      <c r="BF8" s="3" t="b">
        <v>1</v>
      </c>
      <c r="BG8" s="3" t="b">
        <v>1</v>
      </c>
      <c r="BH8" s="3" t="b">
        <v>1</v>
      </c>
      <c r="BI8" s="3" t="b">
        <v>1</v>
      </c>
      <c r="BJ8" s="3"/>
      <c r="BK8" s="3"/>
      <c r="BL8" s="3"/>
      <c r="BM8" s="3"/>
      <c r="BN8" s="3"/>
      <c r="BO8" s="3" t="s">
        <v>59</v>
      </c>
      <c r="BP8" s="3" t="b">
        <v>1</v>
      </c>
      <c r="BQ8" s="3" t="b">
        <v>1</v>
      </c>
      <c r="BR8" s="3" t="b">
        <v>1</v>
      </c>
      <c r="BS8" s="3" t="b">
        <v>1</v>
      </c>
      <c r="BT8" s="3" t="b">
        <v>1</v>
      </c>
      <c r="BU8" s="3"/>
      <c r="BV8" s="3"/>
      <c r="BW8" s="3"/>
      <c r="BX8" s="3"/>
    </row>
    <row r="9" spans="1:76" x14ac:dyDescent="0.35">
      <c r="A9" s="3"/>
      <c r="B9" s="3" t="s">
        <v>60</v>
      </c>
      <c r="C9" s="3" t="s">
        <v>61</v>
      </c>
      <c r="D9" s="3"/>
      <c r="E9" s="3"/>
      <c r="F9" s="3"/>
      <c r="G9" s="3" t="s">
        <v>3542</v>
      </c>
      <c r="H9" s="3" t="s">
        <v>63</v>
      </c>
      <c r="I9" s="3" t="b">
        <v>1</v>
      </c>
      <c r="J9" s="3" t="b">
        <v>1</v>
      </c>
      <c r="K9" s="3" t="b">
        <v>1</v>
      </c>
      <c r="L9" s="3" t="b">
        <v>1</v>
      </c>
      <c r="M9" s="3" t="b">
        <v>1</v>
      </c>
      <c r="N9" s="3" t="b">
        <f t="shared" si="0"/>
        <v>1</v>
      </c>
      <c r="O9" s="3" t="b">
        <f t="shared" si="1"/>
        <v>0</v>
      </c>
      <c r="P9" s="3" t="b">
        <f t="shared" si="2"/>
        <v>0</v>
      </c>
      <c r="Q9" s="3" t="b">
        <f t="shared" si="3"/>
        <v>0</v>
      </c>
      <c r="R9" s="3" t="b">
        <f t="shared" si="4"/>
        <v>0</v>
      </c>
      <c r="S9" s="3" t="b">
        <f t="shared" si="5"/>
        <v>0</v>
      </c>
      <c r="U9" s="3" t="s">
        <v>63</v>
      </c>
      <c r="V9" s="3" t="b">
        <v>1</v>
      </c>
      <c r="W9" s="3" t="b">
        <v>1</v>
      </c>
      <c r="X9" s="3" t="b">
        <v>1</v>
      </c>
      <c r="Y9" s="3" t="b">
        <v>1</v>
      </c>
      <c r="Z9" s="3" t="b">
        <v>1</v>
      </c>
      <c r="AA9" s="3"/>
      <c r="AB9" s="3"/>
      <c r="AC9" s="3"/>
      <c r="AD9" s="3"/>
      <c r="AE9" s="3"/>
      <c r="AF9" s="3" t="s">
        <v>63</v>
      </c>
      <c r="AG9" s="3" t="b">
        <v>1</v>
      </c>
      <c r="AH9" s="3" t="b">
        <v>1</v>
      </c>
      <c r="AI9" s="3" t="b">
        <v>1</v>
      </c>
      <c r="AJ9" s="3" t="b">
        <v>1</v>
      </c>
      <c r="AK9" s="3" t="b">
        <v>1</v>
      </c>
      <c r="AL9" s="3"/>
      <c r="AM9" s="3"/>
      <c r="AN9" s="3"/>
      <c r="AO9" s="3"/>
      <c r="AP9" s="3"/>
      <c r="AQ9" s="3" t="s">
        <v>63</v>
      </c>
      <c r="AR9" s="3" t="b">
        <v>1</v>
      </c>
      <c r="AS9" s="3" t="b">
        <v>1</v>
      </c>
      <c r="AT9" s="3" t="b">
        <v>1</v>
      </c>
      <c r="AU9" s="3" t="b">
        <v>1</v>
      </c>
      <c r="AV9" s="3" t="b">
        <v>1</v>
      </c>
      <c r="AW9" s="3" t="b">
        <f t="shared" si="6"/>
        <v>1</v>
      </c>
      <c r="AX9" s="3" t="b">
        <f t="shared" si="7"/>
        <v>0</v>
      </c>
      <c r="AY9" s="3" t="b">
        <f t="shared" si="8"/>
        <v>0</v>
      </c>
      <c r="AZ9" s="3" t="b">
        <f t="shared" si="9"/>
        <v>0</v>
      </c>
      <c r="BA9" s="3" t="b">
        <f t="shared" si="10"/>
        <v>0</v>
      </c>
      <c r="BB9" s="3" t="b">
        <f t="shared" si="11"/>
        <v>0</v>
      </c>
      <c r="BC9" s="3"/>
      <c r="BD9" s="3" t="s">
        <v>63</v>
      </c>
      <c r="BE9" s="3" t="b">
        <v>1</v>
      </c>
      <c r="BF9" s="3" t="b">
        <v>1</v>
      </c>
      <c r="BG9" s="3" t="b">
        <v>1</v>
      </c>
      <c r="BH9" s="3" t="b">
        <v>1</v>
      </c>
      <c r="BI9" s="3" t="b">
        <v>1</v>
      </c>
      <c r="BJ9" s="3"/>
      <c r="BK9" s="3"/>
      <c r="BL9" s="3"/>
      <c r="BM9" s="3"/>
      <c r="BN9" s="3"/>
      <c r="BO9" s="3" t="s">
        <v>63</v>
      </c>
      <c r="BP9" s="3" t="b">
        <v>1</v>
      </c>
      <c r="BQ9" s="3" t="b">
        <v>1</v>
      </c>
      <c r="BR9" s="3" t="b">
        <v>1</v>
      </c>
      <c r="BS9" s="3" t="b">
        <v>1</v>
      </c>
      <c r="BT9" s="3" t="b">
        <v>1</v>
      </c>
      <c r="BU9" s="3"/>
      <c r="BV9" s="3"/>
      <c r="BW9" s="3"/>
      <c r="BX9" s="3"/>
    </row>
    <row r="10" spans="1:76" x14ac:dyDescent="0.35">
      <c r="A10" s="3"/>
      <c r="B10" s="3"/>
      <c r="C10" s="3" t="s">
        <v>64</v>
      </c>
      <c r="D10" s="3"/>
      <c r="E10" s="3"/>
      <c r="F10" s="3"/>
      <c r="G10" s="3" t="s">
        <v>3543</v>
      </c>
      <c r="H10" s="3" t="s">
        <v>66</v>
      </c>
      <c r="I10" s="3" t="b">
        <v>1</v>
      </c>
      <c r="J10" s="3" t="b">
        <v>1</v>
      </c>
      <c r="K10" s="3" t="b">
        <v>1</v>
      </c>
      <c r="L10" s="3" t="b">
        <v>1</v>
      </c>
      <c r="M10" s="3" t="b">
        <v>1</v>
      </c>
      <c r="N10" s="3" t="b">
        <f t="shared" si="0"/>
        <v>1</v>
      </c>
      <c r="O10" s="3" t="b">
        <f t="shared" si="1"/>
        <v>0</v>
      </c>
      <c r="P10" s="3" t="b">
        <f t="shared" si="2"/>
        <v>0</v>
      </c>
      <c r="Q10" s="3" t="b">
        <f t="shared" si="3"/>
        <v>0</v>
      </c>
      <c r="R10" s="3" t="b">
        <f t="shared" si="4"/>
        <v>0</v>
      </c>
      <c r="S10" s="3" t="b">
        <f t="shared" si="5"/>
        <v>0</v>
      </c>
      <c r="U10" s="3" t="s">
        <v>66</v>
      </c>
      <c r="V10" s="3" t="b">
        <v>1</v>
      </c>
      <c r="W10" s="3" t="b">
        <v>1</v>
      </c>
      <c r="X10" s="3" t="b">
        <v>1</v>
      </c>
      <c r="Y10" s="3" t="b">
        <v>1</v>
      </c>
      <c r="Z10" s="3" t="b">
        <v>1</v>
      </c>
      <c r="AA10" s="3"/>
      <c r="AB10" s="3"/>
      <c r="AC10" s="3"/>
      <c r="AD10" s="3"/>
      <c r="AE10" s="3"/>
      <c r="AF10" s="3" t="s">
        <v>67</v>
      </c>
      <c r="AG10" s="3" t="b">
        <v>1</v>
      </c>
      <c r="AH10" s="3" t="b">
        <v>1</v>
      </c>
      <c r="AI10" s="3" t="b">
        <v>1</v>
      </c>
      <c r="AJ10" s="3" t="b">
        <v>1</v>
      </c>
      <c r="AK10" s="3" t="b">
        <v>1</v>
      </c>
      <c r="AL10" s="3"/>
      <c r="AM10" s="3"/>
      <c r="AN10" s="3"/>
      <c r="AO10" s="3"/>
      <c r="AP10" s="3"/>
      <c r="AQ10" s="3" t="s">
        <v>66</v>
      </c>
      <c r="AR10" s="3" t="b">
        <v>1</v>
      </c>
      <c r="AS10" s="3" t="b">
        <v>1</v>
      </c>
      <c r="AT10" s="3" t="b">
        <v>1</v>
      </c>
      <c r="AU10" s="3" t="b">
        <v>1</v>
      </c>
      <c r="AV10" s="3" t="b">
        <v>1</v>
      </c>
      <c r="AW10" s="3" t="b">
        <f t="shared" si="6"/>
        <v>1</v>
      </c>
      <c r="AX10" s="3" t="b">
        <f t="shared" si="7"/>
        <v>0</v>
      </c>
      <c r="AY10" s="3" t="b">
        <f t="shared" si="8"/>
        <v>0</v>
      </c>
      <c r="AZ10" s="3" t="b">
        <f t="shared" si="9"/>
        <v>0</v>
      </c>
      <c r="BA10" s="3" t="b">
        <f t="shared" si="10"/>
        <v>0</v>
      </c>
      <c r="BB10" s="3" t="b">
        <f t="shared" si="11"/>
        <v>0</v>
      </c>
      <c r="BC10" s="3"/>
      <c r="BD10" s="3" t="s">
        <v>66</v>
      </c>
      <c r="BE10" s="3" t="b">
        <v>1</v>
      </c>
      <c r="BF10" s="3" t="b">
        <v>1</v>
      </c>
      <c r="BG10" s="3" t="b">
        <v>1</v>
      </c>
      <c r="BH10" s="3" t="b">
        <v>1</v>
      </c>
      <c r="BI10" s="3" t="b">
        <v>1</v>
      </c>
      <c r="BJ10" s="3"/>
      <c r="BK10" s="3"/>
      <c r="BL10" s="3"/>
      <c r="BM10" s="3"/>
      <c r="BN10" s="3"/>
      <c r="BO10" s="3" t="s">
        <v>66</v>
      </c>
      <c r="BP10" s="3" t="b">
        <v>1</v>
      </c>
      <c r="BQ10" s="3" t="b">
        <v>1</v>
      </c>
      <c r="BR10" s="3" t="b">
        <v>1</v>
      </c>
      <c r="BS10" s="3" t="b">
        <v>1</v>
      </c>
      <c r="BT10" s="3" t="b">
        <v>1</v>
      </c>
      <c r="BU10" s="3"/>
      <c r="BV10" s="3"/>
      <c r="BW10" s="3"/>
      <c r="BX10" s="3"/>
    </row>
    <row r="11" spans="1:76" x14ac:dyDescent="0.35">
      <c r="A11" s="3"/>
      <c r="B11" s="3"/>
      <c r="C11" s="3" t="s">
        <v>68</v>
      </c>
      <c r="D11" s="3"/>
      <c r="E11" s="3"/>
      <c r="F11" s="3"/>
      <c r="G11" s="3" t="s">
        <v>3544</v>
      </c>
      <c r="H11" s="3" t="s">
        <v>70</v>
      </c>
      <c r="I11" s="3" t="b">
        <v>1</v>
      </c>
      <c r="J11" s="3" t="b">
        <v>1</v>
      </c>
      <c r="K11" s="3" t="b">
        <v>1</v>
      </c>
      <c r="L11" s="3" t="b">
        <v>1</v>
      </c>
      <c r="M11" s="3" t="b">
        <v>1</v>
      </c>
      <c r="N11" s="3" t="b">
        <f t="shared" si="0"/>
        <v>1</v>
      </c>
      <c r="O11" s="3" t="b">
        <f t="shared" si="1"/>
        <v>0</v>
      </c>
      <c r="P11" s="3" t="b">
        <f t="shared" si="2"/>
        <v>0</v>
      </c>
      <c r="Q11" s="3" t="b">
        <f t="shared" si="3"/>
        <v>0</v>
      </c>
      <c r="R11" s="3" t="b">
        <f t="shared" si="4"/>
        <v>0</v>
      </c>
      <c r="S11" s="3" t="b">
        <f t="shared" si="5"/>
        <v>0</v>
      </c>
      <c r="U11" s="3" t="s">
        <v>71</v>
      </c>
      <c r="V11" s="3" t="b">
        <v>1</v>
      </c>
      <c r="W11" s="3" t="b">
        <v>1</v>
      </c>
      <c r="X11" s="3" t="b">
        <v>1</v>
      </c>
      <c r="Y11" s="3" t="b">
        <v>1</v>
      </c>
      <c r="Z11" s="3" t="b">
        <v>1</v>
      </c>
      <c r="AA11" s="3"/>
      <c r="AB11" s="3"/>
      <c r="AC11" s="3"/>
      <c r="AD11" s="3"/>
      <c r="AE11" s="3"/>
      <c r="AF11" s="3" t="s">
        <v>72</v>
      </c>
      <c r="AG11" s="3" t="b">
        <v>1</v>
      </c>
      <c r="AH11" s="3" t="b">
        <v>0</v>
      </c>
      <c r="AI11" s="3" t="b">
        <v>0</v>
      </c>
      <c r="AJ11" s="3" t="b">
        <v>1</v>
      </c>
      <c r="AK11" s="3" t="b">
        <v>0</v>
      </c>
      <c r="AL11" s="3"/>
      <c r="AM11" s="3"/>
      <c r="AN11" s="3"/>
      <c r="AO11" s="3"/>
      <c r="AP11" s="3"/>
      <c r="AQ11" s="3" t="s">
        <v>73</v>
      </c>
      <c r="AR11" s="3" t="b">
        <v>1</v>
      </c>
      <c r="AS11" s="3" t="b">
        <v>0</v>
      </c>
      <c r="AT11" s="3" t="b">
        <v>0</v>
      </c>
      <c r="AU11" s="3" t="b">
        <v>1</v>
      </c>
      <c r="AV11" s="3" t="b">
        <v>0</v>
      </c>
      <c r="AW11" s="3" t="b">
        <f t="shared" si="6"/>
        <v>0</v>
      </c>
      <c r="AX11" s="3" t="b">
        <f t="shared" si="7"/>
        <v>0</v>
      </c>
      <c r="AY11" s="3" t="b">
        <f t="shared" si="8"/>
        <v>1</v>
      </c>
      <c r="AZ11" s="3" t="b">
        <f t="shared" si="9"/>
        <v>0</v>
      </c>
      <c r="BA11" s="3" t="b">
        <f t="shared" si="10"/>
        <v>0</v>
      </c>
      <c r="BB11" s="3" t="b">
        <f t="shared" si="11"/>
        <v>0</v>
      </c>
      <c r="BC11" s="3"/>
      <c r="BD11" s="3" t="s">
        <v>73</v>
      </c>
      <c r="BE11" s="3" t="b">
        <v>1</v>
      </c>
      <c r="BF11" s="3" t="b">
        <v>0</v>
      </c>
      <c r="BG11" s="3" t="b">
        <v>0</v>
      </c>
      <c r="BH11" s="3" t="b">
        <v>1</v>
      </c>
      <c r="BI11" s="3" t="b">
        <v>0</v>
      </c>
      <c r="BJ11" s="3"/>
      <c r="BK11" s="3"/>
      <c r="BL11" s="3"/>
      <c r="BM11" s="3"/>
      <c r="BN11" s="3"/>
      <c r="BO11" s="3" t="s">
        <v>73</v>
      </c>
      <c r="BP11" s="3" t="b">
        <v>1</v>
      </c>
      <c r="BQ11" s="3" t="b">
        <v>0</v>
      </c>
      <c r="BR11" s="3" t="b">
        <v>0</v>
      </c>
      <c r="BS11" s="3" t="b">
        <v>1</v>
      </c>
      <c r="BT11" s="3" t="b">
        <v>0</v>
      </c>
      <c r="BU11" s="3"/>
      <c r="BV11" s="3"/>
      <c r="BW11" s="3"/>
      <c r="BX11" s="3"/>
    </row>
    <row r="12" spans="1:76" x14ac:dyDescent="0.35">
      <c r="A12" s="3"/>
      <c r="B12" s="3" t="s">
        <v>74</v>
      </c>
      <c r="C12" s="3" t="s">
        <v>75</v>
      </c>
      <c r="D12" s="3" t="s">
        <v>76</v>
      </c>
      <c r="E12" s="3" t="s">
        <v>77</v>
      </c>
      <c r="F12" s="3"/>
      <c r="G12" s="3" t="s">
        <v>3545</v>
      </c>
      <c r="H12" s="3" t="s">
        <v>79</v>
      </c>
      <c r="I12" s="3" t="b">
        <v>1</v>
      </c>
      <c r="J12" s="3" t="b">
        <v>1</v>
      </c>
      <c r="K12" s="3" t="b">
        <v>1</v>
      </c>
      <c r="L12" s="3" t="b">
        <v>1</v>
      </c>
      <c r="M12" s="3" t="b">
        <v>1</v>
      </c>
      <c r="N12" s="3" t="b">
        <f t="shared" si="0"/>
        <v>1</v>
      </c>
      <c r="O12" s="3" t="b">
        <f t="shared" si="1"/>
        <v>0</v>
      </c>
      <c r="P12" s="3" t="b">
        <f t="shared" si="2"/>
        <v>0</v>
      </c>
      <c r="Q12" s="3" t="b">
        <f t="shared" si="3"/>
        <v>0</v>
      </c>
      <c r="R12" s="3" t="b">
        <f t="shared" si="4"/>
        <v>0</v>
      </c>
      <c r="S12" s="3" t="b">
        <f t="shared" si="5"/>
        <v>0</v>
      </c>
      <c r="U12" s="3" t="s">
        <v>80</v>
      </c>
      <c r="V12" s="3" t="b">
        <v>1</v>
      </c>
      <c r="W12" s="3" t="b">
        <v>1</v>
      </c>
      <c r="X12" s="3" t="b">
        <v>1</v>
      </c>
      <c r="Y12" s="3" t="b">
        <v>1</v>
      </c>
      <c r="Z12" s="3" t="b">
        <v>1</v>
      </c>
      <c r="AA12" s="3"/>
      <c r="AB12" s="3"/>
      <c r="AC12" s="3"/>
      <c r="AD12" s="3"/>
      <c r="AE12" s="3"/>
      <c r="AF12" s="3" t="s">
        <v>80</v>
      </c>
      <c r="AG12" s="3" t="b">
        <v>1</v>
      </c>
      <c r="AH12" s="3" t="b">
        <v>1</v>
      </c>
      <c r="AI12" s="3" t="b">
        <v>1</v>
      </c>
      <c r="AJ12" s="3" t="b">
        <v>1</v>
      </c>
      <c r="AK12" s="3" t="b">
        <v>1</v>
      </c>
      <c r="AL12" s="3"/>
      <c r="AM12" s="3"/>
      <c r="AN12" s="3"/>
      <c r="AO12" s="3"/>
      <c r="AP12" s="3"/>
      <c r="AQ12" s="3" t="s">
        <v>81</v>
      </c>
      <c r="AR12" s="3" t="b">
        <v>1</v>
      </c>
      <c r="AS12" s="3" t="b">
        <v>0</v>
      </c>
      <c r="AT12" s="3" t="b">
        <v>0</v>
      </c>
      <c r="AU12" s="3" t="b">
        <v>1</v>
      </c>
      <c r="AV12" s="3" t="b">
        <v>0</v>
      </c>
      <c r="AW12" s="3" t="b">
        <f t="shared" si="6"/>
        <v>0</v>
      </c>
      <c r="AX12" s="3" t="b">
        <f t="shared" si="7"/>
        <v>0</v>
      </c>
      <c r="AY12" s="3" t="b">
        <f t="shared" si="8"/>
        <v>1</v>
      </c>
      <c r="AZ12" s="3" t="b">
        <f t="shared" si="9"/>
        <v>0</v>
      </c>
      <c r="BA12" s="3" t="b">
        <f t="shared" si="10"/>
        <v>0</v>
      </c>
      <c r="BB12" s="3" t="b">
        <f t="shared" si="11"/>
        <v>0</v>
      </c>
      <c r="BC12" s="3"/>
      <c r="BD12" s="3" t="s">
        <v>82</v>
      </c>
      <c r="BE12" s="3" t="b">
        <v>1</v>
      </c>
      <c r="BF12" s="3" t="b">
        <v>0</v>
      </c>
      <c r="BG12" s="3" t="b">
        <v>0</v>
      </c>
      <c r="BH12" s="3" t="b">
        <v>1</v>
      </c>
      <c r="BI12" s="3" t="b">
        <v>0</v>
      </c>
      <c r="BJ12" s="3"/>
      <c r="BK12" s="3"/>
      <c r="BL12" s="3"/>
      <c r="BM12" s="3"/>
      <c r="BN12" s="3"/>
      <c r="BO12" s="3" t="s">
        <v>82</v>
      </c>
      <c r="BP12" s="3" t="b">
        <v>1</v>
      </c>
      <c r="BQ12" s="3" t="b">
        <v>0</v>
      </c>
      <c r="BR12" s="3" t="b">
        <v>0</v>
      </c>
      <c r="BS12" s="3" t="b">
        <v>1</v>
      </c>
      <c r="BT12" s="3" t="b">
        <v>0</v>
      </c>
      <c r="BU12" s="3"/>
      <c r="BV12" s="3"/>
      <c r="BW12" s="3"/>
      <c r="BX12" s="3"/>
    </row>
    <row r="13" spans="1:76" x14ac:dyDescent="0.35">
      <c r="A13" s="3"/>
      <c r="B13" s="3"/>
      <c r="C13" s="3" t="s">
        <v>83</v>
      </c>
      <c r="D13" s="3"/>
      <c r="E13" s="3"/>
      <c r="F13" s="3"/>
      <c r="G13" s="3" t="s">
        <v>3546</v>
      </c>
      <c r="H13" s="3" t="s">
        <v>85</v>
      </c>
      <c r="I13" s="3" t="b">
        <v>1</v>
      </c>
      <c r="J13" s="3" t="b">
        <v>0</v>
      </c>
      <c r="K13" s="3" t="b">
        <v>0</v>
      </c>
      <c r="L13" s="3" t="b">
        <v>0</v>
      </c>
      <c r="M13" s="3" t="b">
        <v>0</v>
      </c>
      <c r="N13" s="3" t="b">
        <f t="shared" si="0"/>
        <v>0</v>
      </c>
      <c r="O13" s="3" t="b">
        <f t="shared" si="1"/>
        <v>0</v>
      </c>
      <c r="P13" s="3" t="b">
        <f t="shared" si="2"/>
        <v>1</v>
      </c>
      <c r="Q13" s="3" t="b">
        <f t="shared" si="3"/>
        <v>0</v>
      </c>
      <c r="R13" s="3" t="b">
        <f t="shared" si="4"/>
        <v>0</v>
      </c>
      <c r="S13" s="3" t="b">
        <f t="shared" si="5"/>
        <v>0</v>
      </c>
      <c r="U13" s="3" t="s">
        <v>85</v>
      </c>
      <c r="V13" s="3" t="b">
        <v>1</v>
      </c>
      <c r="W13" s="3" t="b">
        <v>0</v>
      </c>
      <c r="X13" s="3" t="b">
        <v>0</v>
      </c>
      <c r="Y13" s="3" t="b">
        <v>0</v>
      </c>
      <c r="Z13" s="3" t="b">
        <v>0</v>
      </c>
      <c r="AA13" s="3"/>
      <c r="AB13" s="3"/>
      <c r="AC13" s="3"/>
      <c r="AD13" s="3"/>
      <c r="AE13" s="3"/>
      <c r="AF13" s="3" t="s">
        <v>85</v>
      </c>
      <c r="AG13" s="3" t="b">
        <v>1</v>
      </c>
      <c r="AH13" s="3" t="b">
        <v>0</v>
      </c>
      <c r="AI13" s="3" t="b">
        <v>0</v>
      </c>
      <c r="AJ13" s="3" t="b">
        <v>0</v>
      </c>
      <c r="AK13" s="3" t="b">
        <v>0</v>
      </c>
      <c r="AL13" s="3"/>
      <c r="AM13" s="3"/>
      <c r="AN13" s="3"/>
      <c r="AO13" s="3"/>
      <c r="AP13" s="3"/>
      <c r="AQ13" s="3" t="s">
        <v>86</v>
      </c>
      <c r="AR13" s="3" t="b">
        <v>1</v>
      </c>
      <c r="AS13" s="3" t="b">
        <v>0</v>
      </c>
      <c r="AT13" s="3" t="b">
        <v>0</v>
      </c>
      <c r="AU13" s="3" t="b">
        <v>0</v>
      </c>
      <c r="AV13" s="3" t="b">
        <v>0</v>
      </c>
      <c r="AW13" s="3" t="b">
        <f t="shared" si="6"/>
        <v>0</v>
      </c>
      <c r="AX13" s="3" t="b">
        <f t="shared" si="7"/>
        <v>0</v>
      </c>
      <c r="AY13" s="3" t="b">
        <f t="shared" si="8"/>
        <v>1</v>
      </c>
      <c r="AZ13" s="3" t="b">
        <f t="shared" si="9"/>
        <v>0</v>
      </c>
      <c r="BA13" s="3" t="b">
        <f t="shared" si="10"/>
        <v>0</v>
      </c>
      <c r="BB13" s="3" t="b">
        <f t="shared" si="11"/>
        <v>0</v>
      </c>
      <c r="BC13" s="3"/>
      <c r="BD13" s="3" t="s">
        <v>87</v>
      </c>
      <c r="BE13" s="3" t="b">
        <v>1</v>
      </c>
      <c r="BF13" s="3" t="b">
        <v>0</v>
      </c>
      <c r="BG13" s="3" t="b">
        <v>0</v>
      </c>
      <c r="BH13" s="3" t="b">
        <v>0</v>
      </c>
      <c r="BI13" s="3" t="b">
        <v>0</v>
      </c>
      <c r="BJ13" s="3"/>
      <c r="BK13" s="3"/>
      <c r="BL13" s="3"/>
      <c r="BM13" s="3"/>
      <c r="BN13" s="3"/>
      <c r="BO13" s="3" t="s">
        <v>88</v>
      </c>
      <c r="BP13" s="3" t="b">
        <v>1</v>
      </c>
      <c r="BQ13" s="3" t="b">
        <v>0</v>
      </c>
      <c r="BR13" s="3" t="b">
        <v>0</v>
      </c>
      <c r="BS13" s="3" t="b">
        <v>0</v>
      </c>
      <c r="BT13" s="3" t="b">
        <v>0</v>
      </c>
      <c r="BU13" s="3"/>
      <c r="BV13" s="3"/>
      <c r="BW13" s="3"/>
      <c r="BX13" s="3"/>
    </row>
    <row r="14" spans="1:76" x14ac:dyDescent="0.35">
      <c r="A14" s="3"/>
      <c r="B14" s="3"/>
      <c r="C14" s="3" t="s">
        <v>89</v>
      </c>
      <c r="D14" s="3"/>
      <c r="E14" s="3"/>
      <c r="F14" s="3"/>
      <c r="G14" s="3" t="s">
        <v>3547</v>
      </c>
      <c r="H14" s="3" t="s">
        <v>91</v>
      </c>
      <c r="I14" s="3" t="b">
        <v>1</v>
      </c>
      <c r="J14" s="3" t="b">
        <v>1</v>
      </c>
      <c r="K14" s="3" t="b">
        <v>1</v>
      </c>
      <c r="L14" s="3" t="b">
        <v>1</v>
      </c>
      <c r="M14" s="3" t="b">
        <v>1</v>
      </c>
      <c r="N14" s="3" t="b">
        <f t="shared" si="0"/>
        <v>1</v>
      </c>
      <c r="O14" s="3" t="b">
        <f t="shared" si="1"/>
        <v>0</v>
      </c>
      <c r="P14" s="3" t="b">
        <f t="shared" si="2"/>
        <v>0</v>
      </c>
      <c r="Q14" s="3" t="b">
        <f t="shared" si="3"/>
        <v>0</v>
      </c>
      <c r="R14" s="3" t="b">
        <f t="shared" si="4"/>
        <v>0</v>
      </c>
      <c r="S14" s="3" t="b">
        <f t="shared" si="5"/>
        <v>0</v>
      </c>
      <c r="U14" s="3" t="s">
        <v>92</v>
      </c>
      <c r="V14" s="3" t="b">
        <v>1</v>
      </c>
      <c r="W14" s="3" t="b">
        <v>1</v>
      </c>
      <c r="X14" s="3" t="b">
        <v>1</v>
      </c>
      <c r="Y14" s="3" t="b">
        <v>1</v>
      </c>
      <c r="Z14" s="3" t="b">
        <v>1</v>
      </c>
      <c r="AA14" s="3"/>
      <c r="AB14" s="3"/>
      <c r="AC14" s="3"/>
      <c r="AD14" s="3"/>
      <c r="AE14" s="3"/>
      <c r="AF14" s="3" t="s">
        <v>93</v>
      </c>
      <c r="AG14" s="3" t="b">
        <v>1</v>
      </c>
      <c r="AH14" s="3" t="b">
        <v>0</v>
      </c>
      <c r="AI14" s="3" t="b">
        <v>0</v>
      </c>
      <c r="AJ14" s="3" t="b">
        <v>1</v>
      </c>
      <c r="AK14" s="3" t="b">
        <v>0</v>
      </c>
      <c r="AL14" s="3"/>
      <c r="AM14" s="3"/>
      <c r="AN14" s="3"/>
      <c r="AO14" s="3"/>
      <c r="AP14" s="3"/>
      <c r="AQ14" s="3" t="s">
        <v>94</v>
      </c>
      <c r="AR14" s="3" t="b">
        <v>1</v>
      </c>
      <c r="AS14" s="3" t="b">
        <v>0</v>
      </c>
      <c r="AT14" s="3" t="b">
        <v>0</v>
      </c>
      <c r="AU14" s="3" t="b">
        <v>1</v>
      </c>
      <c r="AV14" s="3" t="b">
        <v>0</v>
      </c>
      <c r="AW14" s="3" t="b">
        <f t="shared" si="6"/>
        <v>0</v>
      </c>
      <c r="AX14" s="3" t="b">
        <f t="shared" si="7"/>
        <v>0</v>
      </c>
      <c r="AY14" s="3" t="b">
        <f t="shared" si="8"/>
        <v>1</v>
      </c>
      <c r="AZ14" s="3" t="b">
        <f t="shared" si="9"/>
        <v>0</v>
      </c>
      <c r="BA14" s="3" t="b">
        <f t="shared" si="10"/>
        <v>0</v>
      </c>
      <c r="BB14" s="3" t="b">
        <f t="shared" si="11"/>
        <v>0</v>
      </c>
      <c r="BC14" s="3"/>
      <c r="BD14" s="3" t="s">
        <v>95</v>
      </c>
      <c r="BE14" s="3" t="b">
        <v>1</v>
      </c>
      <c r="BF14" s="3" t="b">
        <v>1</v>
      </c>
      <c r="BG14" s="3" t="b">
        <v>0</v>
      </c>
      <c r="BH14" s="3" t="b">
        <v>0</v>
      </c>
      <c r="BI14" s="3" t="b">
        <v>0</v>
      </c>
      <c r="BJ14" s="3"/>
      <c r="BK14" s="3"/>
      <c r="BL14" s="3"/>
      <c r="BM14" s="3"/>
      <c r="BN14" s="3"/>
      <c r="BO14" s="3" t="s">
        <v>96</v>
      </c>
      <c r="BP14" s="3" t="b">
        <v>1</v>
      </c>
      <c r="BQ14" s="3" t="b">
        <v>0</v>
      </c>
      <c r="BR14" s="3" t="b">
        <v>0</v>
      </c>
      <c r="BS14" s="3" t="b">
        <v>1</v>
      </c>
      <c r="BT14" s="3" t="b">
        <v>0</v>
      </c>
      <c r="BU14" s="3"/>
      <c r="BV14" s="3"/>
      <c r="BW14" s="3"/>
      <c r="BX14" s="3"/>
    </row>
    <row r="15" spans="1:76" x14ac:dyDescent="0.35">
      <c r="A15" s="3"/>
      <c r="B15" s="3"/>
      <c r="C15" s="3" t="s">
        <v>97</v>
      </c>
      <c r="D15" s="3"/>
      <c r="E15" s="3"/>
      <c r="F15" s="3"/>
      <c r="G15" s="3" t="s">
        <v>98</v>
      </c>
      <c r="H15" s="3" t="s">
        <v>99</v>
      </c>
      <c r="I15" s="3" t="b">
        <v>1</v>
      </c>
      <c r="J15" s="3" t="b">
        <v>1</v>
      </c>
      <c r="K15" s="3" t="b">
        <v>1</v>
      </c>
      <c r="L15" s="3" t="b">
        <v>0</v>
      </c>
      <c r="M15" s="3" t="b">
        <v>1</v>
      </c>
      <c r="N15" s="3" t="b">
        <f t="shared" si="0"/>
        <v>0</v>
      </c>
      <c r="O15" s="3" t="b">
        <f t="shared" si="1"/>
        <v>0</v>
      </c>
      <c r="P15" s="3" t="b">
        <f t="shared" si="2"/>
        <v>0</v>
      </c>
      <c r="Q15" s="3" t="b">
        <f t="shared" si="3"/>
        <v>1</v>
      </c>
      <c r="R15" s="3" t="b">
        <f t="shared" si="4"/>
        <v>0</v>
      </c>
      <c r="S15" s="3" t="b">
        <f t="shared" si="5"/>
        <v>0</v>
      </c>
      <c r="U15" s="3"/>
      <c r="V15" s="3" t="b">
        <v>1</v>
      </c>
      <c r="W15" s="3" t="b">
        <v>0</v>
      </c>
      <c r="X15" s="3" t="b">
        <v>0</v>
      </c>
      <c r="Y15" s="3" t="b">
        <v>0</v>
      </c>
      <c r="Z15" s="3" t="b">
        <v>0</v>
      </c>
      <c r="AA15" s="3"/>
      <c r="AB15" s="3"/>
      <c r="AC15" s="3"/>
      <c r="AD15" s="3"/>
      <c r="AE15" s="3"/>
      <c r="AF15" s="3" t="s">
        <v>100</v>
      </c>
      <c r="AG15" s="3" t="b">
        <v>1</v>
      </c>
      <c r="AH15" s="3" t="b">
        <v>1</v>
      </c>
      <c r="AI15" s="3" t="b">
        <v>1</v>
      </c>
      <c r="AJ15" s="3" t="b">
        <v>1</v>
      </c>
      <c r="AK15" s="3" t="b">
        <v>1</v>
      </c>
      <c r="AL15" s="3"/>
      <c r="AM15" s="3"/>
      <c r="AN15" s="3"/>
      <c r="AO15" s="3"/>
      <c r="AP15" s="3"/>
      <c r="AQ15" s="3" t="s">
        <v>101</v>
      </c>
      <c r="AR15" s="3" t="b">
        <v>1</v>
      </c>
      <c r="AS15" s="3" t="b">
        <v>1</v>
      </c>
      <c r="AT15" s="3" t="b">
        <v>0</v>
      </c>
      <c r="AU15" s="3" t="b">
        <v>0</v>
      </c>
      <c r="AV15" s="3" t="b">
        <v>0</v>
      </c>
      <c r="AW15" s="3" t="b">
        <f t="shared" si="6"/>
        <v>0</v>
      </c>
      <c r="AX15" s="3" t="b">
        <f t="shared" si="7"/>
        <v>0</v>
      </c>
      <c r="AY15" s="3" t="b">
        <f t="shared" si="8"/>
        <v>1</v>
      </c>
      <c r="AZ15" s="3" t="b">
        <f t="shared" si="9"/>
        <v>0</v>
      </c>
      <c r="BA15" s="3" t="b">
        <f t="shared" si="10"/>
        <v>0</v>
      </c>
      <c r="BB15" s="3" t="b">
        <f t="shared" si="11"/>
        <v>0</v>
      </c>
      <c r="BC15" s="3"/>
      <c r="BD15" s="3" t="s">
        <v>101</v>
      </c>
      <c r="BE15" s="3" t="b">
        <v>1</v>
      </c>
      <c r="BF15" s="3" t="b">
        <v>1</v>
      </c>
      <c r="BG15" s="3" t="b">
        <v>0</v>
      </c>
      <c r="BH15" s="3" t="b">
        <v>0</v>
      </c>
      <c r="BI15" s="3" t="b">
        <v>0</v>
      </c>
      <c r="BJ15" s="3"/>
      <c r="BK15" s="3"/>
      <c r="BL15" s="3"/>
      <c r="BM15" s="3"/>
      <c r="BN15" s="3"/>
      <c r="BO15" s="3" t="s">
        <v>102</v>
      </c>
      <c r="BP15" s="3" t="b">
        <v>1</v>
      </c>
      <c r="BQ15" s="3" t="b">
        <v>0</v>
      </c>
      <c r="BR15" s="3" t="b">
        <v>0</v>
      </c>
      <c r="BS15" s="3" t="b">
        <v>0</v>
      </c>
      <c r="BT15" s="3" t="b">
        <v>0</v>
      </c>
      <c r="BU15" s="3"/>
      <c r="BV15" s="3"/>
      <c r="BW15" s="3"/>
      <c r="BX15" s="3"/>
    </row>
    <row r="16" spans="1:76" x14ac:dyDescent="0.35">
      <c r="A16" s="3"/>
      <c r="B16" s="3" t="s">
        <v>103</v>
      </c>
      <c r="C16" s="3"/>
      <c r="D16" s="3" t="s">
        <v>34</v>
      </c>
      <c r="E16" s="3" t="s">
        <v>35</v>
      </c>
      <c r="F16" s="3"/>
      <c r="G16" s="3"/>
      <c r="H16" s="3"/>
      <c r="I16" s="3"/>
      <c r="J16" s="3"/>
      <c r="K16" s="3"/>
      <c r="L16" s="3"/>
      <c r="M16" s="3"/>
      <c r="N16" s="3">
        <f t="shared" si="0"/>
        <v>0</v>
      </c>
      <c r="O16" s="3">
        <f t="shared" si="1"/>
        <v>0</v>
      </c>
      <c r="P16" s="3">
        <f t="shared" si="2"/>
        <v>0</v>
      </c>
      <c r="Q16" s="3">
        <f t="shared" si="3"/>
        <v>0</v>
      </c>
      <c r="R16" s="3">
        <f t="shared" si="4"/>
        <v>0</v>
      </c>
      <c r="S16" s="3">
        <f t="shared" si="5"/>
        <v>0</v>
      </c>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f t="shared" si="6"/>
        <v>0</v>
      </c>
      <c r="AX16" s="3">
        <f t="shared" si="7"/>
        <v>0</v>
      </c>
      <c r="AY16" s="3">
        <f t="shared" si="8"/>
        <v>0</v>
      </c>
      <c r="AZ16" s="3">
        <f t="shared" si="9"/>
        <v>0</v>
      </c>
      <c r="BA16" s="3">
        <f t="shared" si="10"/>
        <v>0</v>
      </c>
      <c r="BB16" s="3">
        <f t="shared" si="11"/>
        <v>0</v>
      </c>
      <c r="BC16" s="3"/>
      <c r="BD16" s="3"/>
      <c r="BE16" s="3"/>
      <c r="BF16" s="3"/>
      <c r="BG16" s="3"/>
      <c r="BH16" s="3"/>
      <c r="BI16" s="3"/>
      <c r="BJ16" s="3"/>
      <c r="BK16" s="3"/>
      <c r="BL16" s="3"/>
      <c r="BM16" s="3"/>
      <c r="BN16" s="3"/>
      <c r="BO16" s="3"/>
      <c r="BP16" s="3"/>
      <c r="BQ16" s="3"/>
      <c r="BR16" s="3"/>
      <c r="BS16" s="3"/>
      <c r="BT16" s="3"/>
      <c r="BU16" s="3"/>
      <c r="BV16" s="3"/>
      <c r="BW16" s="3"/>
      <c r="BX16" s="3"/>
    </row>
    <row r="17" spans="1:76" x14ac:dyDescent="0.35">
      <c r="A17" s="3"/>
      <c r="B17" s="3" t="s">
        <v>104</v>
      </c>
      <c r="C17" s="3"/>
      <c r="D17" s="3" t="s">
        <v>34</v>
      </c>
      <c r="E17" s="3" t="s">
        <v>35</v>
      </c>
      <c r="F17" s="3"/>
      <c r="G17" s="3"/>
      <c r="H17" s="3"/>
      <c r="I17" s="3"/>
      <c r="J17" s="3"/>
      <c r="K17" s="3"/>
      <c r="L17" s="3"/>
      <c r="M17" s="3"/>
      <c r="N17" s="3">
        <f t="shared" si="0"/>
        <v>0</v>
      </c>
      <c r="O17" s="3">
        <f t="shared" si="1"/>
        <v>0</v>
      </c>
      <c r="P17" s="3">
        <f t="shared" si="2"/>
        <v>0</v>
      </c>
      <c r="Q17" s="3">
        <f t="shared" si="3"/>
        <v>0</v>
      </c>
      <c r="R17" s="3">
        <f t="shared" si="4"/>
        <v>0</v>
      </c>
      <c r="S17" s="3">
        <f t="shared" si="5"/>
        <v>0</v>
      </c>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f t="shared" si="6"/>
        <v>0</v>
      </c>
      <c r="AX17" s="3">
        <f t="shared" si="7"/>
        <v>0</v>
      </c>
      <c r="AY17" s="3">
        <f t="shared" si="8"/>
        <v>0</v>
      </c>
      <c r="AZ17" s="3">
        <f t="shared" si="9"/>
        <v>0</v>
      </c>
      <c r="BA17" s="3">
        <f t="shared" si="10"/>
        <v>0</v>
      </c>
      <c r="BB17" s="3">
        <f t="shared" si="11"/>
        <v>0</v>
      </c>
      <c r="BC17" s="3"/>
      <c r="BD17" s="3"/>
      <c r="BE17" s="3"/>
      <c r="BF17" s="3"/>
      <c r="BG17" s="3"/>
      <c r="BH17" s="3"/>
      <c r="BI17" s="3"/>
      <c r="BJ17" s="3"/>
      <c r="BK17" s="3"/>
      <c r="BL17" s="3"/>
      <c r="BM17" s="3"/>
      <c r="BN17" s="3"/>
      <c r="BO17" s="3"/>
      <c r="BP17" s="3"/>
      <c r="BQ17" s="3"/>
      <c r="BR17" s="3"/>
      <c r="BS17" s="3"/>
      <c r="BT17" s="3"/>
      <c r="BU17" s="3"/>
      <c r="BV17" s="3"/>
      <c r="BW17" s="3"/>
      <c r="BX17" s="3"/>
    </row>
    <row r="18" spans="1:76" x14ac:dyDescent="0.35">
      <c r="A18" s="3"/>
      <c r="B18" s="3"/>
      <c r="C18" s="3"/>
      <c r="D18" s="3" t="s">
        <v>76</v>
      </c>
      <c r="E18" s="3" t="s">
        <v>77</v>
      </c>
      <c r="F18" s="3"/>
      <c r="G18" s="3"/>
      <c r="H18" s="3"/>
      <c r="I18" s="3"/>
      <c r="J18" s="3"/>
      <c r="K18" s="3"/>
      <c r="L18" s="3"/>
      <c r="M18" s="3"/>
      <c r="N18" s="3">
        <f t="shared" si="0"/>
        <v>0</v>
      </c>
      <c r="O18" s="3">
        <f t="shared" si="1"/>
        <v>0</v>
      </c>
      <c r="P18" s="3">
        <f t="shared" si="2"/>
        <v>0</v>
      </c>
      <c r="Q18" s="3">
        <f t="shared" si="3"/>
        <v>0</v>
      </c>
      <c r="R18" s="3">
        <f t="shared" si="4"/>
        <v>0</v>
      </c>
      <c r="S18" s="3">
        <f t="shared" si="5"/>
        <v>0</v>
      </c>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f t="shared" si="6"/>
        <v>0</v>
      </c>
      <c r="AX18" s="3">
        <f t="shared" si="7"/>
        <v>0</v>
      </c>
      <c r="AY18" s="3">
        <f t="shared" si="8"/>
        <v>0</v>
      </c>
      <c r="AZ18" s="3">
        <f t="shared" si="9"/>
        <v>0</v>
      </c>
      <c r="BA18" s="3">
        <f t="shared" si="10"/>
        <v>0</v>
      </c>
      <c r="BB18" s="3">
        <f t="shared" si="11"/>
        <v>0</v>
      </c>
      <c r="BC18" s="3"/>
      <c r="BD18" s="3"/>
      <c r="BE18" s="3"/>
      <c r="BF18" s="3"/>
      <c r="BG18" s="3"/>
      <c r="BH18" s="3"/>
      <c r="BI18" s="3"/>
      <c r="BJ18" s="3"/>
      <c r="BK18" s="3"/>
      <c r="BL18" s="3"/>
      <c r="BM18" s="3"/>
      <c r="BN18" s="3"/>
      <c r="BO18" s="3"/>
      <c r="BP18" s="3"/>
      <c r="BQ18" s="3"/>
      <c r="BR18" s="3"/>
      <c r="BS18" s="3"/>
      <c r="BT18" s="3"/>
      <c r="BU18" s="3"/>
      <c r="BV18" s="3"/>
      <c r="BW18" s="3"/>
      <c r="BX18" s="3"/>
    </row>
    <row r="19" spans="1:76" x14ac:dyDescent="0.35">
      <c r="A19" s="3"/>
      <c r="B19" s="3" t="s">
        <v>105</v>
      </c>
      <c r="C19" s="4" t="s">
        <v>25</v>
      </c>
      <c r="D19" s="3"/>
      <c r="E19" s="3"/>
      <c r="F19" s="3"/>
      <c r="G19" s="3" t="s">
        <v>3548</v>
      </c>
      <c r="H19" s="3" t="s">
        <v>28</v>
      </c>
      <c r="I19" s="3" t="b">
        <v>1</v>
      </c>
      <c r="J19" s="3" t="b">
        <v>1</v>
      </c>
      <c r="K19" s="3" t="b">
        <v>1</v>
      </c>
      <c r="L19" s="3" t="b">
        <v>1</v>
      </c>
      <c r="M19" s="3" t="b">
        <v>1</v>
      </c>
      <c r="N19" s="3" t="b">
        <f t="shared" si="0"/>
        <v>1</v>
      </c>
      <c r="O19" s="3" t="b">
        <f t="shared" si="1"/>
        <v>0</v>
      </c>
      <c r="P19" s="3" t="b">
        <f t="shared" si="2"/>
        <v>0</v>
      </c>
      <c r="Q19" s="3" t="b">
        <f t="shared" si="3"/>
        <v>0</v>
      </c>
      <c r="R19" s="3" t="b">
        <f t="shared" si="4"/>
        <v>0</v>
      </c>
      <c r="S19" s="3" t="b">
        <f t="shared" si="5"/>
        <v>0</v>
      </c>
      <c r="U19" s="3" t="s">
        <v>28</v>
      </c>
      <c r="V19" s="3" t="b">
        <v>1</v>
      </c>
      <c r="W19" s="3" t="b">
        <v>1</v>
      </c>
      <c r="X19" s="3" t="b">
        <v>1</v>
      </c>
      <c r="Y19" s="3" t="b">
        <v>1</v>
      </c>
      <c r="Z19" s="3" t="b">
        <v>1</v>
      </c>
      <c r="AA19" s="3"/>
      <c r="AB19" s="3"/>
      <c r="AC19" s="3"/>
      <c r="AD19" s="3"/>
      <c r="AE19" s="3"/>
      <c r="AF19" s="3" t="s">
        <v>28</v>
      </c>
      <c r="AG19" s="3" t="b">
        <v>1</v>
      </c>
      <c r="AH19" s="3" t="b">
        <v>1</v>
      </c>
      <c r="AI19" s="3" t="b">
        <v>1</v>
      </c>
      <c r="AJ19" s="3" t="b">
        <v>1</v>
      </c>
      <c r="AK19" s="3" t="b">
        <v>1</v>
      </c>
      <c r="AL19" s="3"/>
      <c r="AM19" s="3"/>
      <c r="AN19" s="3"/>
      <c r="AO19" s="3"/>
      <c r="AP19" s="3"/>
      <c r="AQ19" s="3" t="s">
        <v>28</v>
      </c>
      <c r="AR19" s="3" t="b">
        <v>1</v>
      </c>
      <c r="AS19" s="3" t="b">
        <v>1</v>
      </c>
      <c r="AT19" s="3" t="b">
        <v>1</v>
      </c>
      <c r="AU19" s="3" t="b">
        <v>1</v>
      </c>
      <c r="AV19" s="3" t="b">
        <v>1</v>
      </c>
      <c r="AW19" s="3" t="b">
        <f t="shared" si="6"/>
        <v>1</v>
      </c>
      <c r="AX19" s="3" t="b">
        <f t="shared" si="7"/>
        <v>0</v>
      </c>
      <c r="AY19" s="3" t="b">
        <f t="shared" si="8"/>
        <v>0</v>
      </c>
      <c r="AZ19" s="3" t="b">
        <f t="shared" si="9"/>
        <v>0</v>
      </c>
      <c r="BA19" s="3" t="b">
        <f t="shared" si="10"/>
        <v>0</v>
      </c>
      <c r="BB19" s="3" t="b">
        <f t="shared" si="11"/>
        <v>0</v>
      </c>
      <c r="BC19" s="3"/>
      <c r="BD19" s="3" t="s">
        <v>28</v>
      </c>
      <c r="BE19" s="3" t="b">
        <v>1</v>
      </c>
      <c r="BF19" s="3" t="b">
        <v>1</v>
      </c>
      <c r="BG19" s="3" t="b">
        <v>1</v>
      </c>
      <c r="BH19" s="3" t="b">
        <v>1</v>
      </c>
      <c r="BI19" s="3" t="b">
        <v>1</v>
      </c>
      <c r="BJ19" s="3"/>
      <c r="BK19" s="3"/>
      <c r="BL19" s="3"/>
      <c r="BM19" s="3"/>
      <c r="BN19" s="3"/>
      <c r="BO19" s="3" t="s">
        <v>28</v>
      </c>
      <c r="BP19" s="3" t="b">
        <v>1</v>
      </c>
      <c r="BQ19" s="3" t="b">
        <v>1</v>
      </c>
      <c r="BR19" s="3" t="b">
        <v>1</v>
      </c>
      <c r="BS19" s="3" t="b">
        <v>1</v>
      </c>
      <c r="BT19" s="3" t="b">
        <v>1</v>
      </c>
      <c r="BU19" s="3"/>
      <c r="BV19" s="3"/>
      <c r="BW19" s="3"/>
      <c r="BX19" s="3"/>
    </row>
    <row r="20" spans="1:76" x14ac:dyDescent="0.35">
      <c r="A20" s="3"/>
      <c r="B20" s="3"/>
      <c r="C20" s="3" t="s">
        <v>29</v>
      </c>
      <c r="D20" s="3"/>
      <c r="E20" s="3"/>
      <c r="F20" s="3"/>
      <c r="G20" s="3" t="s">
        <v>3549</v>
      </c>
      <c r="H20" s="3" t="s">
        <v>31</v>
      </c>
      <c r="I20" s="3" t="b">
        <v>1</v>
      </c>
      <c r="J20" s="3" t="b">
        <v>1</v>
      </c>
      <c r="K20" s="3" t="b">
        <v>1</v>
      </c>
      <c r="L20" s="3" t="b">
        <v>1</v>
      </c>
      <c r="M20" s="3" t="b">
        <v>1</v>
      </c>
      <c r="N20" s="3" t="b">
        <f t="shared" si="0"/>
        <v>1</v>
      </c>
      <c r="O20" s="3" t="b">
        <f t="shared" si="1"/>
        <v>0</v>
      </c>
      <c r="P20" s="3" t="b">
        <f t="shared" si="2"/>
        <v>0</v>
      </c>
      <c r="Q20" s="3" t="b">
        <f t="shared" si="3"/>
        <v>0</v>
      </c>
      <c r="R20" s="3" t="b">
        <f t="shared" si="4"/>
        <v>0</v>
      </c>
      <c r="S20" s="3" t="b">
        <f t="shared" si="5"/>
        <v>0</v>
      </c>
      <c r="U20" s="3" t="s">
        <v>31</v>
      </c>
      <c r="V20" s="3" t="b">
        <v>1</v>
      </c>
      <c r="W20" s="3" t="b">
        <v>1</v>
      </c>
      <c r="X20" s="3" t="b">
        <v>1</v>
      </c>
      <c r="Y20" s="3" t="b">
        <v>1</v>
      </c>
      <c r="Z20" s="3" t="b">
        <v>1</v>
      </c>
      <c r="AA20" s="3"/>
      <c r="AB20" s="3"/>
      <c r="AC20" s="3"/>
      <c r="AD20" s="3"/>
      <c r="AE20" s="3"/>
      <c r="AF20" s="3" t="s">
        <v>31</v>
      </c>
      <c r="AG20" s="3" t="b">
        <v>1</v>
      </c>
      <c r="AH20" s="3" t="b">
        <v>1</v>
      </c>
      <c r="AI20" s="3" t="b">
        <v>1</v>
      </c>
      <c r="AJ20" s="3" t="b">
        <v>1</v>
      </c>
      <c r="AK20" s="3" t="b">
        <v>1</v>
      </c>
      <c r="AL20" s="3"/>
      <c r="AM20" s="3"/>
      <c r="AN20" s="3"/>
      <c r="AO20" s="3"/>
      <c r="AP20" s="3"/>
      <c r="AQ20" s="3" t="s">
        <v>31</v>
      </c>
      <c r="AR20" s="3" t="b">
        <v>1</v>
      </c>
      <c r="AS20" s="3" t="b">
        <v>1</v>
      </c>
      <c r="AT20" s="3" t="b">
        <v>1</v>
      </c>
      <c r="AU20" s="3" t="b">
        <v>1</v>
      </c>
      <c r="AV20" s="3" t="b">
        <v>1</v>
      </c>
      <c r="AW20" s="3" t="b">
        <f t="shared" si="6"/>
        <v>1</v>
      </c>
      <c r="AX20" s="3" t="b">
        <f t="shared" si="7"/>
        <v>0</v>
      </c>
      <c r="AY20" s="3" t="b">
        <f t="shared" si="8"/>
        <v>0</v>
      </c>
      <c r="AZ20" s="3" t="b">
        <f t="shared" si="9"/>
        <v>0</v>
      </c>
      <c r="BA20" s="3" t="b">
        <f t="shared" si="10"/>
        <v>0</v>
      </c>
      <c r="BB20" s="3" t="b">
        <f t="shared" si="11"/>
        <v>0</v>
      </c>
      <c r="BC20" s="3"/>
      <c r="BD20" s="3" t="s">
        <v>31</v>
      </c>
      <c r="BE20" s="3" t="b">
        <v>1</v>
      </c>
      <c r="BF20" s="3" t="b">
        <v>1</v>
      </c>
      <c r="BG20" s="3" t="b">
        <v>1</v>
      </c>
      <c r="BH20" s="3" t="b">
        <v>1</v>
      </c>
      <c r="BI20" s="3" t="b">
        <v>1</v>
      </c>
      <c r="BJ20" s="3"/>
      <c r="BK20" s="3"/>
      <c r="BL20" s="3"/>
      <c r="BM20" s="3"/>
      <c r="BN20" s="3"/>
      <c r="BO20" s="3" t="s">
        <v>31</v>
      </c>
      <c r="BP20" s="3" t="b">
        <v>1</v>
      </c>
      <c r="BQ20" s="3" t="b">
        <v>1</v>
      </c>
      <c r="BR20" s="3" t="b">
        <v>1</v>
      </c>
      <c r="BS20" s="3" t="b">
        <v>1</v>
      </c>
      <c r="BT20" s="3" t="b">
        <v>1</v>
      </c>
      <c r="BU20" s="3"/>
      <c r="BV20" s="3"/>
      <c r="BW20" s="3"/>
      <c r="BX20" s="3"/>
    </row>
    <row r="21" spans="1:76" x14ac:dyDescent="0.35">
      <c r="A21" s="3"/>
      <c r="B21" s="3" t="s">
        <v>108</v>
      </c>
      <c r="C21" s="3" t="s">
        <v>109</v>
      </c>
      <c r="D21" s="3"/>
      <c r="E21" s="3"/>
      <c r="F21" s="3"/>
      <c r="G21" s="3" t="s">
        <v>3550</v>
      </c>
      <c r="H21" s="3" t="s">
        <v>111</v>
      </c>
      <c r="I21" s="3" t="b">
        <v>1</v>
      </c>
      <c r="J21" s="3" t="b">
        <v>1</v>
      </c>
      <c r="K21" s="3" t="b">
        <v>1</v>
      </c>
      <c r="L21" s="3" t="b">
        <v>1</v>
      </c>
      <c r="M21" s="3" t="b">
        <v>1</v>
      </c>
      <c r="N21" s="3" t="b">
        <f t="shared" si="0"/>
        <v>1</v>
      </c>
      <c r="O21" s="3" t="b">
        <f t="shared" si="1"/>
        <v>0</v>
      </c>
      <c r="P21" s="3" t="b">
        <f t="shared" si="2"/>
        <v>0</v>
      </c>
      <c r="Q21" s="3" t="b">
        <f t="shared" si="3"/>
        <v>0</v>
      </c>
      <c r="R21" s="3" t="b">
        <f t="shared" si="4"/>
        <v>0</v>
      </c>
      <c r="S21" s="3" t="b">
        <f t="shared" si="5"/>
        <v>0</v>
      </c>
      <c r="U21" s="3" t="s">
        <v>111</v>
      </c>
      <c r="V21" s="3" t="b">
        <v>1</v>
      </c>
      <c r="W21" s="3" t="b">
        <v>1</v>
      </c>
      <c r="X21" s="3" t="b">
        <v>1</v>
      </c>
      <c r="Y21" s="3" t="b">
        <v>1</v>
      </c>
      <c r="Z21" s="3" t="b">
        <v>1</v>
      </c>
      <c r="AA21" s="3"/>
      <c r="AB21" s="3"/>
      <c r="AC21" s="3"/>
      <c r="AD21" s="3"/>
      <c r="AE21" s="3"/>
      <c r="AF21" s="3" t="s">
        <v>111</v>
      </c>
      <c r="AG21" s="3" t="b">
        <v>1</v>
      </c>
      <c r="AH21" s="3" t="b">
        <v>1</v>
      </c>
      <c r="AI21" s="3" t="b">
        <v>1</v>
      </c>
      <c r="AJ21" s="3" t="b">
        <v>1</v>
      </c>
      <c r="AK21" s="3" t="b">
        <v>1</v>
      </c>
      <c r="AL21" s="3"/>
      <c r="AM21" s="3"/>
      <c r="AN21" s="3"/>
      <c r="AO21" s="3"/>
      <c r="AP21" s="3"/>
      <c r="AQ21" s="3" t="s">
        <v>112</v>
      </c>
      <c r="AR21" s="3" t="b">
        <v>1</v>
      </c>
      <c r="AS21" s="3" t="b">
        <v>1</v>
      </c>
      <c r="AT21" s="3" t="b">
        <v>1</v>
      </c>
      <c r="AU21" s="3" t="b">
        <v>1</v>
      </c>
      <c r="AV21" s="3" t="b">
        <v>1</v>
      </c>
      <c r="AW21" s="3" t="b">
        <f t="shared" si="6"/>
        <v>1</v>
      </c>
      <c r="AX21" s="3" t="b">
        <f t="shared" si="7"/>
        <v>0</v>
      </c>
      <c r="AY21" s="3" t="b">
        <f t="shared" si="8"/>
        <v>0</v>
      </c>
      <c r="AZ21" s="3" t="b">
        <f t="shared" si="9"/>
        <v>0</v>
      </c>
      <c r="BA21" s="3" t="b">
        <f t="shared" si="10"/>
        <v>0</v>
      </c>
      <c r="BB21" s="3" t="b">
        <f t="shared" si="11"/>
        <v>0</v>
      </c>
      <c r="BC21" s="3"/>
      <c r="BD21" s="3" t="s">
        <v>112</v>
      </c>
      <c r="BE21" s="3" t="b">
        <v>1</v>
      </c>
      <c r="BF21" s="3" t="b">
        <v>1</v>
      </c>
      <c r="BG21" s="3" t="b">
        <v>1</v>
      </c>
      <c r="BH21" s="3" t="b">
        <v>1</v>
      </c>
      <c r="BI21" s="3" t="b">
        <v>1</v>
      </c>
      <c r="BJ21" s="3"/>
      <c r="BK21" s="3"/>
      <c r="BL21" s="3"/>
      <c r="BM21" s="3"/>
      <c r="BN21" s="3"/>
      <c r="BO21" s="3" t="s">
        <v>112</v>
      </c>
      <c r="BP21" s="3" t="b">
        <v>1</v>
      </c>
      <c r="BQ21" s="3" t="b">
        <v>1</v>
      </c>
      <c r="BR21" s="3" t="b">
        <v>1</v>
      </c>
      <c r="BS21" s="3" t="b">
        <v>1</v>
      </c>
      <c r="BT21" s="3" t="b">
        <v>1</v>
      </c>
      <c r="BU21" s="3"/>
      <c r="BV21" s="3"/>
      <c r="BW21" s="3"/>
      <c r="BX21" s="3"/>
    </row>
    <row r="22" spans="1:76" x14ac:dyDescent="0.35">
      <c r="A22" s="3"/>
      <c r="B22" s="3"/>
      <c r="C22" s="3" t="s">
        <v>113</v>
      </c>
      <c r="D22" s="3"/>
      <c r="E22" s="3"/>
      <c r="F22" s="3"/>
      <c r="G22" s="3" t="s">
        <v>3551</v>
      </c>
      <c r="H22" s="3" t="s">
        <v>115</v>
      </c>
      <c r="I22" s="3" t="b">
        <v>1</v>
      </c>
      <c r="J22" s="3" t="b">
        <v>1</v>
      </c>
      <c r="K22" s="3" t="b">
        <v>1</v>
      </c>
      <c r="L22" s="3" t="b">
        <v>1</v>
      </c>
      <c r="M22" s="3" t="b">
        <v>1</v>
      </c>
      <c r="N22" s="3" t="b">
        <f t="shared" si="0"/>
        <v>1</v>
      </c>
      <c r="O22" s="3" t="b">
        <f t="shared" si="1"/>
        <v>0</v>
      </c>
      <c r="P22" s="3" t="b">
        <f t="shared" si="2"/>
        <v>0</v>
      </c>
      <c r="Q22" s="3" t="b">
        <f t="shared" si="3"/>
        <v>0</v>
      </c>
      <c r="R22" s="3" t="b">
        <f t="shared" si="4"/>
        <v>0</v>
      </c>
      <c r="S22" s="3" t="b">
        <f t="shared" si="5"/>
        <v>0</v>
      </c>
      <c r="U22" s="3" t="s">
        <v>116</v>
      </c>
      <c r="V22" s="3" t="b">
        <v>1</v>
      </c>
      <c r="W22" s="3" t="b">
        <v>1</v>
      </c>
      <c r="X22" s="3" t="b">
        <v>1</v>
      </c>
      <c r="Y22" s="3" t="b">
        <v>1</v>
      </c>
      <c r="Z22" s="3" t="b">
        <v>1</v>
      </c>
      <c r="AA22" s="3"/>
      <c r="AB22" s="3"/>
      <c r="AC22" s="3"/>
      <c r="AD22" s="3"/>
      <c r="AE22" s="3"/>
      <c r="AF22" s="3" t="s">
        <v>117</v>
      </c>
      <c r="AG22" s="3" t="b">
        <v>1</v>
      </c>
      <c r="AH22" s="3" t="b">
        <v>1</v>
      </c>
      <c r="AI22" s="3" t="b">
        <v>1</v>
      </c>
      <c r="AJ22" s="3" t="b">
        <v>1</v>
      </c>
      <c r="AK22" s="3" t="b">
        <v>1</v>
      </c>
      <c r="AL22" s="3"/>
      <c r="AM22" s="3"/>
      <c r="AN22" s="3"/>
      <c r="AO22" s="3"/>
      <c r="AP22" s="3"/>
      <c r="AQ22" s="3" t="s">
        <v>118</v>
      </c>
      <c r="AR22" s="3" t="b">
        <v>1</v>
      </c>
      <c r="AS22" s="3" t="b">
        <v>1</v>
      </c>
      <c r="AT22" s="3" t="b">
        <v>1</v>
      </c>
      <c r="AU22" s="3" t="b">
        <v>1</v>
      </c>
      <c r="AV22" s="3" t="b">
        <v>1</v>
      </c>
      <c r="AW22" s="3" t="b">
        <f t="shared" si="6"/>
        <v>1</v>
      </c>
      <c r="AX22" s="3" t="b">
        <f t="shared" si="7"/>
        <v>0</v>
      </c>
      <c r="AY22" s="3" t="b">
        <f t="shared" si="8"/>
        <v>0</v>
      </c>
      <c r="AZ22" s="3" t="b">
        <f t="shared" si="9"/>
        <v>0</v>
      </c>
      <c r="BA22" s="3" t="b">
        <f t="shared" si="10"/>
        <v>0</v>
      </c>
      <c r="BB22" s="3" t="b">
        <f t="shared" si="11"/>
        <v>0</v>
      </c>
      <c r="BC22" s="3"/>
      <c r="BD22" s="3" t="s">
        <v>118</v>
      </c>
      <c r="BE22" s="3" t="b">
        <v>1</v>
      </c>
      <c r="BF22" s="3" t="b">
        <v>1</v>
      </c>
      <c r="BG22" s="3" t="b">
        <v>1</v>
      </c>
      <c r="BH22" s="3" t="b">
        <v>1</v>
      </c>
      <c r="BI22" s="3" t="b">
        <v>1</v>
      </c>
      <c r="BJ22" s="3"/>
      <c r="BK22" s="3"/>
      <c r="BL22" s="3"/>
      <c r="BM22" s="3"/>
      <c r="BN22" s="3"/>
      <c r="BO22" s="3" t="s">
        <v>118</v>
      </c>
      <c r="BP22" s="3" t="b">
        <v>1</v>
      </c>
      <c r="BQ22" s="3" t="b">
        <v>1</v>
      </c>
      <c r="BR22" s="3" t="b">
        <v>1</v>
      </c>
      <c r="BS22" s="3" t="b">
        <v>1</v>
      </c>
      <c r="BT22" s="3" t="b">
        <v>1</v>
      </c>
      <c r="BU22" s="3"/>
      <c r="BV22" s="3"/>
      <c r="BW22" s="3"/>
      <c r="BX22" s="3"/>
    </row>
    <row r="23" spans="1:76" x14ac:dyDescent="0.35">
      <c r="A23" s="3"/>
      <c r="B23" s="3"/>
      <c r="C23" s="3" t="s">
        <v>119</v>
      </c>
      <c r="D23" s="3"/>
      <c r="E23" s="3"/>
      <c r="F23" s="3"/>
      <c r="G23" s="3" t="s">
        <v>3552</v>
      </c>
      <c r="H23" s="3" t="s">
        <v>121</v>
      </c>
      <c r="I23" s="3" t="b">
        <v>1</v>
      </c>
      <c r="J23" s="3" t="b">
        <v>1</v>
      </c>
      <c r="K23" s="3" t="b">
        <v>1</v>
      </c>
      <c r="L23" s="3" t="b">
        <v>1</v>
      </c>
      <c r="M23" s="3" t="b">
        <v>1</v>
      </c>
      <c r="N23" s="3" t="b">
        <f t="shared" si="0"/>
        <v>1</v>
      </c>
      <c r="O23" s="3" t="b">
        <f t="shared" si="1"/>
        <v>0</v>
      </c>
      <c r="P23" s="3" t="b">
        <f t="shared" si="2"/>
        <v>0</v>
      </c>
      <c r="Q23" s="3" t="b">
        <f t="shared" si="3"/>
        <v>0</v>
      </c>
      <c r="R23" s="3" t="b">
        <f t="shared" si="4"/>
        <v>0</v>
      </c>
      <c r="S23" s="3" t="b">
        <f t="shared" si="5"/>
        <v>0</v>
      </c>
      <c r="U23" s="3" t="s">
        <v>121</v>
      </c>
      <c r="V23" s="3" t="b">
        <v>1</v>
      </c>
      <c r="W23" s="3" t="b">
        <v>1</v>
      </c>
      <c r="X23" s="3" t="b">
        <v>1</v>
      </c>
      <c r="Y23" s="3" t="b">
        <v>1</v>
      </c>
      <c r="Z23" s="3" t="b">
        <v>1</v>
      </c>
      <c r="AA23" s="3"/>
      <c r="AB23" s="3"/>
      <c r="AC23" s="3"/>
      <c r="AD23" s="3"/>
      <c r="AE23" s="3"/>
      <c r="AF23" s="3" t="s">
        <v>121</v>
      </c>
      <c r="AG23" s="3" t="b">
        <v>1</v>
      </c>
      <c r="AH23" s="3" t="b">
        <v>1</v>
      </c>
      <c r="AI23" s="3" t="b">
        <v>1</v>
      </c>
      <c r="AJ23" s="3" t="b">
        <v>1</v>
      </c>
      <c r="AK23" s="3" t="b">
        <v>1</v>
      </c>
      <c r="AL23" s="3"/>
      <c r="AM23" s="3"/>
      <c r="AN23" s="3"/>
      <c r="AO23" s="3"/>
      <c r="AP23" s="3"/>
      <c r="AQ23" s="3" t="s">
        <v>122</v>
      </c>
      <c r="AR23" s="3" t="b">
        <v>1</v>
      </c>
      <c r="AS23" s="3" t="b">
        <v>0</v>
      </c>
      <c r="AT23" s="3" t="b">
        <v>0</v>
      </c>
      <c r="AU23" s="3" t="b">
        <v>1</v>
      </c>
      <c r="AV23" s="3" t="b">
        <v>0</v>
      </c>
      <c r="AW23" s="3" t="b">
        <f t="shared" si="6"/>
        <v>0</v>
      </c>
      <c r="AX23" s="3" t="b">
        <f t="shared" si="7"/>
        <v>0</v>
      </c>
      <c r="AY23" s="3" t="b">
        <f t="shared" si="8"/>
        <v>1</v>
      </c>
      <c r="AZ23" s="3" t="b">
        <f t="shared" si="9"/>
        <v>0</v>
      </c>
      <c r="BA23" s="3" t="b">
        <f t="shared" si="10"/>
        <v>0</v>
      </c>
      <c r="BB23" s="3" t="b">
        <f t="shared" si="11"/>
        <v>0</v>
      </c>
      <c r="BC23" s="3"/>
      <c r="BD23" s="3" t="s">
        <v>123</v>
      </c>
      <c r="BE23" s="3" t="b">
        <v>1</v>
      </c>
      <c r="BF23" s="3" t="b">
        <v>0</v>
      </c>
      <c r="BG23" s="3" t="b">
        <v>0</v>
      </c>
      <c r="BH23" s="3" t="b">
        <v>1</v>
      </c>
      <c r="BI23" s="3" t="b">
        <v>0</v>
      </c>
      <c r="BJ23" s="3"/>
      <c r="BK23" s="3"/>
      <c r="BL23" s="3"/>
      <c r="BM23" s="3"/>
      <c r="BN23" s="3"/>
      <c r="BO23" s="3" t="s">
        <v>124</v>
      </c>
      <c r="BP23" s="3" t="b">
        <v>1</v>
      </c>
      <c r="BQ23" s="3" t="b">
        <v>1</v>
      </c>
      <c r="BR23" s="3" t="b">
        <v>1</v>
      </c>
      <c r="BS23" s="3" t="b">
        <v>1</v>
      </c>
      <c r="BT23" s="3" t="b">
        <v>1</v>
      </c>
      <c r="BU23" s="3"/>
      <c r="BV23" s="3"/>
      <c r="BW23" s="3"/>
      <c r="BX23" s="3"/>
    </row>
    <row r="24" spans="1:76" x14ac:dyDescent="0.35">
      <c r="A24" s="3"/>
      <c r="B24" s="3"/>
      <c r="C24" s="3" t="s">
        <v>125</v>
      </c>
      <c r="D24" s="3"/>
      <c r="E24" s="3"/>
      <c r="F24" s="3"/>
      <c r="G24" s="3" t="s">
        <v>3553</v>
      </c>
      <c r="H24" s="3" t="s">
        <v>127</v>
      </c>
      <c r="I24" s="3" t="b">
        <v>1</v>
      </c>
      <c r="J24" s="3" t="b">
        <v>1</v>
      </c>
      <c r="K24" s="3" t="b">
        <v>1</v>
      </c>
      <c r="L24" s="3" t="b">
        <v>1</v>
      </c>
      <c r="M24" s="3" t="b">
        <v>1</v>
      </c>
      <c r="N24" s="3" t="b">
        <f t="shared" si="0"/>
        <v>1</v>
      </c>
      <c r="O24" s="3" t="b">
        <f t="shared" si="1"/>
        <v>0</v>
      </c>
      <c r="P24" s="3" t="b">
        <f t="shared" si="2"/>
        <v>0</v>
      </c>
      <c r="Q24" s="3" t="b">
        <f t="shared" si="3"/>
        <v>0</v>
      </c>
      <c r="R24" s="3" t="b">
        <f t="shared" si="4"/>
        <v>0</v>
      </c>
      <c r="S24" s="3" t="b">
        <f t="shared" si="5"/>
        <v>0</v>
      </c>
      <c r="U24" s="3" t="s">
        <v>128</v>
      </c>
      <c r="V24" s="3" t="b">
        <v>1</v>
      </c>
      <c r="W24" s="3" t="b">
        <v>1</v>
      </c>
      <c r="X24" s="3" t="b">
        <v>1</v>
      </c>
      <c r="Y24" s="3" t="b">
        <v>1</v>
      </c>
      <c r="Z24" s="3" t="b">
        <v>1</v>
      </c>
      <c r="AA24" s="3"/>
      <c r="AB24" s="3"/>
      <c r="AC24" s="3"/>
      <c r="AD24" s="3"/>
      <c r="AE24" s="3"/>
      <c r="AF24" s="3" t="s">
        <v>127</v>
      </c>
      <c r="AG24" s="3" t="b">
        <v>1</v>
      </c>
      <c r="AH24" s="3" t="b">
        <v>1</v>
      </c>
      <c r="AI24" s="3" t="b">
        <v>1</v>
      </c>
      <c r="AJ24" s="3" t="b">
        <v>1</v>
      </c>
      <c r="AK24" s="3" t="b">
        <v>1</v>
      </c>
      <c r="AL24" s="3"/>
      <c r="AM24" s="3"/>
      <c r="AN24" s="3"/>
      <c r="AO24" s="3"/>
      <c r="AP24" s="3"/>
      <c r="AQ24" s="3" t="s">
        <v>129</v>
      </c>
      <c r="AR24" s="3" t="b">
        <v>1</v>
      </c>
      <c r="AS24" s="3" t="b">
        <v>0</v>
      </c>
      <c r="AT24" s="3" t="b">
        <v>0</v>
      </c>
      <c r="AU24" s="3" t="b">
        <v>1</v>
      </c>
      <c r="AV24" s="3" t="b">
        <v>0</v>
      </c>
      <c r="AW24" s="3" t="b">
        <f t="shared" si="6"/>
        <v>0</v>
      </c>
      <c r="AX24" s="3" t="b">
        <f t="shared" si="7"/>
        <v>0</v>
      </c>
      <c r="AY24" s="3" t="b">
        <f t="shared" si="8"/>
        <v>1</v>
      </c>
      <c r="AZ24" s="3" t="b">
        <f t="shared" si="9"/>
        <v>0</v>
      </c>
      <c r="BA24" s="3" t="b">
        <f t="shared" si="10"/>
        <v>0</v>
      </c>
      <c r="BB24" s="3" t="b">
        <f t="shared" si="11"/>
        <v>0</v>
      </c>
      <c r="BC24" s="3"/>
      <c r="BD24" s="3" t="s">
        <v>130</v>
      </c>
      <c r="BE24" s="3" t="b">
        <v>1</v>
      </c>
      <c r="BF24" s="3" t="b">
        <v>1</v>
      </c>
      <c r="BG24" s="3" t="b">
        <v>1</v>
      </c>
      <c r="BH24" s="3" t="b">
        <v>1</v>
      </c>
      <c r="BI24" s="3" t="b">
        <v>1</v>
      </c>
      <c r="BJ24" s="3"/>
      <c r="BK24" s="3"/>
      <c r="BL24" s="3"/>
      <c r="BM24" s="3"/>
      <c r="BN24" s="3"/>
      <c r="BO24" s="3" t="s">
        <v>130</v>
      </c>
      <c r="BP24" s="3" t="b">
        <v>1</v>
      </c>
      <c r="BQ24" s="3" t="b">
        <v>1</v>
      </c>
      <c r="BR24" s="3" t="b">
        <v>1</v>
      </c>
      <c r="BS24" s="3" t="b">
        <v>1</v>
      </c>
      <c r="BT24" s="3" t="b">
        <v>1</v>
      </c>
      <c r="BU24" s="3"/>
      <c r="BV24" s="3"/>
      <c r="BW24" s="3"/>
      <c r="BX24" s="3"/>
    </row>
    <row r="25" spans="1:76" x14ac:dyDescent="0.35">
      <c r="A25" s="3"/>
      <c r="B25" s="3"/>
      <c r="C25" s="3" t="s">
        <v>131</v>
      </c>
      <c r="D25" s="3"/>
      <c r="E25" s="3"/>
      <c r="F25" s="3"/>
      <c r="G25" s="3" t="s">
        <v>132</v>
      </c>
      <c r="H25" s="3" t="s">
        <v>133</v>
      </c>
      <c r="I25" s="3" t="b">
        <v>1</v>
      </c>
      <c r="J25" s="3" t="b">
        <v>1</v>
      </c>
      <c r="K25" s="3" t="b">
        <v>1</v>
      </c>
      <c r="L25" s="3" t="b">
        <v>1</v>
      </c>
      <c r="M25" s="3" t="b">
        <v>1</v>
      </c>
      <c r="N25" s="3" t="b">
        <f t="shared" si="0"/>
        <v>1</v>
      </c>
      <c r="O25" s="3" t="b">
        <f t="shared" si="1"/>
        <v>0</v>
      </c>
      <c r="P25" s="3" t="b">
        <f t="shared" si="2"/>
        <v>0</v>
      </c>
      <c r="Q25" s="3" t="b">
        <f t="shared" si="3"/>
        <v>0</v>
      </c>
      <c r="R25" s="3" t="b">
        <f t="shared" si="4"/>
        <v>0</v>
      </c>
      <c r="S25" s="3" t="b">
        <f t="shared" si="5"/>
        <v>0</v>
      </c>
      <c r="U25" s="3" t="s">
        <v>133</v>
      </c>
      <c r="V25" s="3" t="b">
        <v>1</v>
      </c>
      <c r="W25" s="3" t="b">
        <v>1</v>
      </c>
      <c r="X25" s="3" t="b">
        <v>1</v>
      </c>
      <c r="Y25" s="3" t="b">
        <v>1</v>
      </c>
      <c r="Z25" s="3" t="b">
        <v>1</v>
      </c>
      <c r="AA25" s="3"/>
      <c r="AB25" s="3"/>
      <c r="AC25" s="3"/>
      <c r="AD25" s="3"/>
      <c r="AE25" s="3"/>
      <c r="AF25" s="3" t="s">
        <v>133</v>
      </c>
      <c r="AG25" s="3" t="b">
        <v>1</v>
      </c>
      <c r="AH25" s="3" t="b">
        <v>1</v>
      </c>
      <c r="AI25" s="3" t="b">
        <v>1</v>
      </c>
      <c r="AJ25" s="3" t="b">
        <v>1</v>
      </c>
      <c r="AK25" s="3" t="b">
        <v>1</v>
      </c>
      <c r="AL25" s="3"/>
      <c r="AM25" s="3"/>
      <c r="AN25" s="3"/>
      <c r="AO25" s="3"/>
      <c r="AP25" s="3"/>
      <c r="AQ25" s="3" t="s">
        <v>133</v>
      </c>
      <c r="AR25" s="3" t="b">
        <v>1</v>
      </c>
      <c r="AS25" s="3" t="b">
        <v>1</v>
      </c>
      <c r="AT25" s="3" t="b">
        <v>1</v>
      </c>
      <c r="AU25" s="3" t="b">
        <v>1</v>
      </c>
      <c r="AV25" s="3" t="b">
        <v>1</v>
      </c>
      <c r="AW25" s="3" t="b">
        <f t="shared" si="6"/>
        <v>1</v>
      </c>
      <c r="AX25" s="3" t="b">
        <f t="shared" si="7"/>
        <v>0</v>
      </c>
      <c r="AY25" s="3" t="b">
        <f t="shared" si="8"/>
        <v>0</v>
      </c>
      <c r="AZ25" s="3" t="b">
        <f t="shared" si="9"/>
        <v>0</v>
      </c>
      <c r="BA25" s="3" t="b">
        <f t="shared" si="10"/>
        <v>0</v>
      </c>
      <c r="BB25" s="3" t="b">
        <f t="shared" si="11"/>
        <v>0</v>
      </c>
      <c r="BC25" s="3"/>
      <c r="BD25" s="3" t="s">
        <v>133</v>
      </c>
      <c r="BE25" s="3" t="b">
        <v>1</v>
      </c>
      <c r="BF25" s="3" t="b">
        <v>1</v>
      </c>
      <c r="BG25" s="3" t="b">
        <v>1</v>
      </c>
      <c r="BH25" s="3" t="b">
        <v>1</v>
      </c>
      <c r="BI25" s="3" t="b">
        <v>1</v>
      </c>
      <c r="BJ25" s="3"/>
      <c r="BK25" s="3"/>
      <c r="BL25" s="3"/>
      <c r="BM25" s="3"/>
      <c r="BN25" s="3"/>
      <c r="BO25" s="3" t="s">
        <v>133</v>
      </c>
      <c r="BP25" s="3" t="b">
        <v>1</v>
      </c>
      <c r="BQ25" s="3" t="b">
        <v>1</v>
      </c>
      <c r="BR25" s="3" t="b">
        <v>1</v>
      </c>
      <c r="BS25" s="3" t="b">
        <v>1</v>
      </c>
      <c r="BT25" s="3" t="b">
        <v>1</v>
      </c>
      <c r="BU25" s="3"/>
      <c r="BV25" s="3"/>
      <c r="BW25" s="3"/>
      <c r="BX25" s="3"/>
    </row>
    <row r="26" spans="1:76" x14ac:dyDescent="0.35">
      <c r="A26" s="3"/>
      <c r="B26" s="3" t="s">
        <v>134</v>
      </c>
      <c r="C26" s="3"/>
      <c r="D26" s="3"/>
      <c r="E26" s="3"/>
      <c r="F26" s="3"/>
      <c r="G26" s="3"/>
      <c r="H26" s="3"/>
      <c r="I26" s="3"/>
      <c r="J26" s="3"/>
      <c r="K26" s="3"/>
      <c r="L26" s="3"/>
      <c r="M26" s="3"/>
      <c r="N26" s="3">
        <f t="shared" si="0"/>
        <v>0</v>
      </c>
      <c r="O26" s="3">
        <f t="shared" si="1"/>
        <v>0</v>
      </c>
      <c r="P26" s="3">
        <f t="shared" si="2"/>
        <v>0</v>
      </c>
      <c r="Q26" s="3">
        <f t="shared" si="3"/>
        <v>0</v>
      </c>
      <c r="R26" s="3">
        <f t="shared" si="4"/>
        <v>0</v>
      </c>
      <c r="S26" s="3">
        <f t="shared" si="5"/>
        <v>0</v>
      </c>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f t="shared" si="6"/>
        <v>0</v>
      </c>
      <c r="AX26" s="3">
        <f t="shared" si="7"/>
        <v>0</v>
      </c>
      <c r="AY26" s="3">
        <f t="shared" si="8"/>
        <v>0</v>
      </c>
      <c r="AZ26" s="3">
        <f t="shared" si="9"/>
        <v>0</v>
      </c>
      <c r="BA26" s="3">
        <f t="shared" si="10"/>
        <v>0</v>
      </c>
      <c r="BB26" s="3">
        <f t="shared" si="11"/>
        <v>0</v>
      </c>
      <c r="BC26" s="3"/>
      <c r="BD26" s="3"/>
      <c r="BE26" s="3"/>
      <c r="BF26" s="3"/>
      <c r="BG26" s="3"/>
      <c r="BH26" s="3"/>
      <c r="BI26" s="3"/>
      <c r="BJ26" s="3"/>
      <c r="BK26" s="3"/>
      <c r="BL26" s="3"/>
      <c r="BM26" s="3"/>
      <c r="BN26" s="3"/>
      <c r="BO26" s="3"/>
      <c r="BP26" s="3"/>
      <c r="BQ26" s="3"/>
      <c r="BR26" s="3"/>
      <c r="BS26" s="3"/>
      <c r="BT26" s="3"/>
      <c r="BU26" s="3"/>
      <c r="BV26" s="3"/>
      <c r="BW26" s="3"/>
      <c r="BX26" s="3"/>
    </row>
    <row r="27" spans="1:76" x14ac:dyDescent="0.35">
      <c r="A27" s="3"/>
      <c r="B27" s="3" t="s">
        <v>135</v>
      </c>
      <c r="C27" s="3"/>
      <c r="D27" s="3"/>
      <c r="E27" s="3"/>
      <c r="F27" s="3"/>
      <c r="G27" s="3"/>
      <c r="H27" s="3"/>
      <c r="I27" s="3"/>
      <c r="J27" s="3"/>
      <c r="K27" s="3"/>
      <c r="L27" s="3"/>
      <c r="M27" s="3"/>
      <c r="N27" s="3">
        <f t="shared" si="0"/>
        <v>0</v>
      </c>
      <c r="O27" s="3">
        <f t="shared" si="1"/>
        <v>0</v>
      </c>
      <c r="P27" s="3">
        <f t="shared" si="2"/>
        <v>0</v>
      </c>
      <c r="Q27" s="3">
        <f t="shared" si="3"/>
        <v>0</v>
      </c>
      <c r="R27" s="3">
        <f t="shared" si="4"/>
        <v>0</v>
      </c>
      <c r="S27" s="3">
        <f t="shared" si="5"/>
        <v>0</v>
      </c>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f t="shared" si="6"/>
        <v>0</v>
      </c>
      <c r="AX27" s="3">
        <f t="shared" si="7"/>
        <v>0</v>
      </c>
      <c r="AY27" s="3">
        <f t="shared" si="8"/>
        <v>0</v>
      </c>
      <c r="AZ27" s="3">
        <f t="shared" si="9"/>
        <v>0</v>
      </c>
      <c r="BA27" s="3">
        <f t="shared" si="10"/>
        <v>0</v>
      </c>
      <c r="BB27" s="3">
        <f t="shared" si="11"/>
        <v>0</v>
      </c>
      <c r="BC27" s="3"/>
      <c r="BD27" s="3"/>
      <c r="BE27" s="3"/>
      <c r="BF27" s="3"/>
      <c r="BG27" s="3"/>
      <c r="BH27" s="3"/>
      <c r="BI27" s="3"/>
      <c r="BJ27" s="3"/>
      <c r="BK27" s="3"/>
      <c r="BL27" s="3"/>
      <c r="BM27" s="3"/>
      <c r="BN27" s="3"/>
      <c r="BO27" s="3"/>
      <c r="BP27" s="3"/>
      <c r="BQ27" s="3"/>
      <c r="BR27" s="3"/>
      <c r="BS27" s="3"/>
      <c r="BT27" s="3"/>
      <c r="BU27" s="3"/>
      <c r="BV27" s="3"/>
      <c r="BW27" s="3"/>
      <c r="BX27" s="3"/>
    </row>
    <row r="28" spans="1:76" x14ac:dyDescent="0.35">
      <c r="A28" s="3"/>
      <c r="B28" s="3" t="s">
        <v>136</v>
      </c>
      <c r="C28" s="3"/>
      <c r="D28" s="3"/>
      <c r="E28" s="3"/>
      <c r="F28" s="3"/>
      <c r="G28" s="3"/>
      <c r="H28" s="3"/>
      <c r="I28" s="3"/>
      <c r="J28" s="3"/>
      <c r="K28" s="3"/>
      <c r="L28" s="3"/>
      <c r="M28" s="3"/>
      <c r="N28" s="3">
        <f t="shared" si="0"/>
        <v>0</v>
      </c>
      <c r="O28" s="3">
        <f t="shared" si="1"/>
        <v>0</v>
      </c>
      <c r="P28" s="3">
        <f t="shared" si="2"/>
        <v>0</v>
      </c>
      <c r="Q28" s="3">
        <f t="shared" si="3"/>
        <v>0</v>
      </c>
      <c r="R28" s="3">
        <f t="shared" si="4"/>
        <v>0</v>
      </c>
      <c r="S28" s="3">
        <f t="shared" si="5"/>
        <v>0</v>
      </c>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f t="shared" si="6"/>
        <v>0</v>
      </c>
      <c r="AX28" s="3">
        <f t="shared" si="7"/>
        <v>0</v>
      </c>
      <c r="AY28" s="3">
        <f t="shared" si="8"/>
        <v>0</v>
      </c>
      <c r="AZ28" s="3">
        <f t="shared" si="9"/>
        <v>0</v>
      </c>
      <c r="BA28" s="3">
        <f t="shared" si="10"/>
        <v>0</v>
      </c>
      <c r="BB28" s="3">
        <f t="shared" si="11"/>
        <v>0</v>
      </c>
      <c r="BC28" s="3"/>
      <c r="BD28" s="3"/>
      <c r="BE28" s="3"/>
      <c r="BF28" s="3"/>
      <c r="BG28" s="3"/>
      <c r="BH28" s="3"/>
      <c r="BI28" s="3"/>
      <c r="BJ28" s="3"/>
      <c r="BK28" s="3"/>
      <c r="BL28" s="3"/>
      <c r="BM28" s="3"/>
      <c r="BN28" s="3"/>
      <c r="BO28" s="3"/>
      <c r="BP28" s="3"/>
      <c r="BQ28" s="3"/>
      <c r="BR28" s="3"/>
      <c r="BS28" s="3"/>
      <c r="BT28" s="3"/>
      <c r="BU28" s="3"/>
      <c r="BV28" s="3"/>
      <c r="BW28" s="3"/>
      <c r="BX28" s="3"/>
    </row>
    <row r="29" spans="1:76" x14ac:dyDescent="0.35">
      <c r="A29" s="5"/>
      <c r="B29" s="5" t="s">
        <v>137</v>
      </c>
      <c r="C29" s="5" t="s">
        <v>131</v>
      </c>
      <c r="D29" s="5"/>
      <c r="E29" s="5"/>
      <c r="F29" s="5"/>
      <c r="G29" s="5"/>
      <c r="H29" s="5"/>
      <c r="I29" s="5"/>
      <c r="J29" s="5"/>
      <c r="K29" s="5"/>
      <c r="L29" s="5"/>
      <c r="M29" s="5"/>
      <c r="N29" s="3">
        <f t="shared" si="0"/>
        <v>0</v>
      </c>
      <c r="O29" s="3">
        <f t="shared" si="1"/>
        <v>0</v>
      </c>
      <c r="P29" s="3">
        <f t="shared" si="2"/>
        <v>0</v>
      </c>
      <c r="Q29" s="3">
        <f t="shared" si="3"/>
        <v>0</v>
      </c>
      <c r="R29" s="3">
        <f t="shared" si="4"/>
        <v>0</v>
      </c>
      <c r="S29" s="3">
        <f t="shared" si="5"/>
        <v>0</v>
      </c>
      <c r="U29" s="5"/>
      <c r="V29" s="5"/>
      <c r="W29" s="5"/>
      <c r="X29" s="5"/>
      <c r="Y29" s="5"/>
      <c r="Z29" s="5"/>
      <c r="AA29" s="3"/>
      <c r="AB29" s="3"/>
      <c r="AC29" s="3"/>
      <c r="AD29" s="3"/>
      <c r="AE29" s="5"/>
      <c r="AF29" s="5"/>
      <c r="AG29" s="5"/>
      <c r="AH29" s="5"/>
      <c r="AI29" s="5"/>
      <c r="AJ29" s="5"/>
      <c r="AK29" s="5"/>
      <c r="AL29" s="3"/>
      <c r="AM29" s="3"/>
      <c r="AN29" s="3"/>
      <c r="AO29" s="3"/>
      <c r="AP29" s="5"/>
      <c r="AQ29" s="5"/>
      <c r="AR29" s="5"/>
      <c r="AS29" s="5"/>
      <c r="AT29" s="5"/>
      <c r="AU29" s="5"/>
      <c r="AV29" s="5"/>
      <c r="AW29" s="3">
        <f t="shared" si="6"/>
        <v>0</v>
      </c>
      <c r="AX29" s="3">
        <f t="shared" si="7"/>
        <v>0</v>
      </c>
      <c r="AY29" s="3">
        <f t="shared" si="8"/>
        <v>0</v>
      </c>
      <c r="AZ29" s="3">
        <f t="shared" si="9"/>
        <v>0</v>
      </c>
      <c r="BA29" s="3">
        <f t="shared" si="10"/>
        <v>0</v>
      </c>
      <c r="BB29" s="3">
        <f t="shared" si="11"/>
        <v>0</v>
      </c>
      <c r="BC29" s="5"/>
      <c r="BD29" s="5"/>
      <c r="BE29" s="5"/>
      <c r="BF29" s="5"/>
      <c r="BG29" s="5"/>
      <c r="BH29" s="5"/>
      <c r="BI29" s="5"/>
      <c r="BJ29" s="5"/>
      <c r="BK29" s="5"/>
      <c r="BL29" s="5"/>
      <c r="BM29" s="5"/>
      <c r="BN29" s="5"/>
      <c r="BO29" s="5"/>
      <c r="BP29" s="5"/>
      <c r="BQ29" s="5"/>
      <c r="BR29" s="5"/>
      <c r="BS29" s="5"/>
      <c r="BT29" s="5"/>
      <c r="BU29" s="5"/>
      <c r="BV29" s="5"/>
      <c r="BW29" s="5"/>
      <c r="BX29" s="5"/>
    </row>
    <row r="30" spans="1:76" x14ac:dyDescent="0.35">
      <c r="A30" s="3"/>
      <c r="B30" s="3" t="s">
        <v>138</v>
      </c>
      <c r="C30" s="3"/>
      <c r="D30" s="3"/>
      <c r="E30" s="3"/>
      <c r="F30" s="3"/>
      <c r="G30" s="3"/>
      <c r="H30" s="3"/>
      <c r="I30" s="3"/>
      <c r="J30" s="3"/>
      <c r="K30" s="3"/>
      <c r="L30" s="3"/>
      <c r="M30" s="3"/>
      <c r="N30" s="3">
        <f t="shared" si="0"/>
        <v>0</v>
      </c>
      <c r="O30" s="3">
        <f t="shared" si="1"/>
        <v>0</v>
      </c>
      <c r="P30" s="3">
        <f t="shared" si="2"/>
        <v>0</v>
      </c>
      <c r="Q30" s="3">
        <f t="shared" si="3"/>
        <v>0</v>
      </c>
      <c r="R30" s="3">
        <f t="shared" si="4"/>
        <v>0</v>
      </c>
      <c r="S30" s="3">
        <f t="shared" si="5"/>
        <v>0</v>
      </c>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f t="shared" si="6"/>
        <v>0</v>
      </c>
      <c r="AX30" s="3">
        <f t="shared" si="7"/>
        <v>0</v>
      </c>
      <c r="AY30" s="3">
        <f t="shared" si="8"/>
        <v>0</v>
      </c>
      <c r="AZ30" s="3">
        <f t="shared" si="9"/>
        <v>0</v>
      </c>
      <c r="BA30" s="3">
        <f t="shared" si="10"/>
        <v>0</v>
      </c>
      <c r="BB30" s="3">
        <f t="shared" si="11"/>
        <v>0</v>
      </c>
      <c r="BC30" s="3"/>
      <c r="BD30" s="3"/>
      <c r="BE30" s="3"/>
      <c r="BF30" s="3"/>
      <c r="BG30" s="3"/>
      <c r="BH30" s="3"/>
      <c r="BI30" s="3"/>
      <c r="BJ30" s="3"/>
      <c r="BK30" s="3"/>
      <c r="BL30" s="3"/>
      <c r="BM30" s="3"/>
      <c r="BN30" s="3"/>
      <c r="BO30" s="3"/>
      <c r="BP30" s="3"/>
      <c r="BQ30" s="3"/>
      <c r="BR30" s="3"/>
      <c r="BS30" s="3"/>
      <c r="BT30" s="3"/>
      <c r="BU30" s="3"/>
      <c r="BV30" s="3"/>
      <c r="BW30" s="3"/>
      <c r="BX30" s="3"/>
    </row>
    <row r="31" spans="1:76" x14ac:dyDescent="0.35">
      <c r="A31" s="5"/>
      <c r="B31" s="5" t="s">
        <v>139</v>
      </c>
      <c r="C31" s="5" t="s">
        <v>131</v>
      </c>
      <c r="D31" s="5"/>
      <c r="E31" s="5"/>
      <c r="F31" s="5"/>
      <c r="G31" s="5"/>
      <c r="H31" s="5"/>
      <c r="I31" s="5"/>
      <c r="J31" s="5"/>
      <c r="K31" s="5"/>
      <c r="L31" s="5"/>
      <c r="M31" s="5"/>
      <c r="N31" s="3">
        <f t="shared" si="0"/>
        <v>0</v>
      </c>
      <c r="O31" s="3">
        <f t="shared" si="1"/>
        <v>0</v>
      </c>
      <c r="P31" s="3">
        <f t="shared" si="2"/>
        <v>0</v>
      </c>
      <c r="Q31" s="3">
        <f t="shared" si="3"/>
        <v>0</v>
      </c>
      <c r="R31" s="3">
        <f t="shared" si="4"/>
        <v>0</v>
      </c>
      <c r="S31" s="3">
        <f t="shared" si="5"/>
        <v>0</v>
      </c>
      <c r="U31" s="5"/>
      <c r="V31" s="5"/>
      <c r="W31" s="5"/>
      <c r="X31" s="5"/>
      <c r="Y31" s="5"/>
      <c r="Z31" s="5"/>
      <c r="AA31" s="3"/>
      <c r="AB31" s="3"/>
      <c r="AC31" s="3"/>
      <c r="AD31" s="3"/>
      <c r="AE31" s="5"/>
      <c r="AF31" s="5"/>
      <c r="AG31" s="5"/>
      <c r="AH31" s="5"/>
      <c r="AI31" s="5"/>
      <c r="AJ31" s="5"/>
      <c r="AK31" s="5"/>
      <c r="AL31" s="3"/>
      <c r="AM31" s="3"/>
      <c r="AN31" s="3"/>
      <c r="AO31" s="3"/>
      <c r="AP31" s="5"/>
      <c r="AQ31" s="5"/>
      <c r="AR31" s="5"/>
      <c r="AS31" s="5"/>
      <c r="AT31" s="5"/>
      <c r="AU31" s="5"/>
      <c r="AV31" s="5"/>
      <c r="AW31" s="3">
        <f t="shared" si="6"/>
        <v>0</v>
      </c>
      <c r="AX31" s="3">
        <f t="shared" si="7"/>
        <v>0</v>
      </c>
      <c r="AY31" s="3">
        <f t="shared" si="8"/>
        <v>0</v>
      </c>
      <c r="AZ31" s="3">
        <f t="shared" si="9"/>
        <v>0</v>
      </c>
      <c r="BA31" s="3">
        <f t="shared" si="10"/>
        <v>0</v>
      </c>
      <c r="BB31" s="3">
        <f t="shared" si="11"/>
        <v>0</v>
      </c>
      <c r="BC31" s="5"/>
      <c r="BD31" s="5"/>
      <c r="BE31" s="5"/>
      <c r="BF31" s="5"/>
      <c r="BG31" s="5"/>
      <c r="BH31" s="5"/>
      <c r="BI31" s="5"/>
      <c r="BJ31" s="5"/>
      <c r="BK31" s="5"/>
      <c r="BL31" s="5"/>
      <c r="BM31" s="5"/>
      <c r="BN31" s="5"/>
      <c r="BO31" s="5"/>
      <c r="BP31" s="5"/>
      <c r="BQ31" s="5"/>
      <c r="BR31" s="5"/>
      <c r="BS31" s="5"/>
      <c r="BT31" s="5"/>
      <c r="BU31" s="5"/>
      <c r="BV31" s="5"/>
      <c r="BW31" s="5"/>
      <c r="BX31" s="5"/>
    </row>
    <row r="32" spans="1:76" x14ac:dyDescent="0.35">
      <c r="A32" s="5"/>
      <c r="B32" s="5" t="s">
        <v>140</v>
      </c>
      <c r="C32" s="5" t="s">
        <v>131</v>
      </c>
      <c r="D32" s="5" t="s">
        <v>76</v>
      </c>
      <c r="E32" s="5" t="s">
        <v>77</v>
      </c>
      <c r="F32" s="5"/>
      <c r="G32" s="5"/>
      <c r="H32" s="5"/>
      <c r="I32" s="5"/>
      <c r="J32" s="5"/>
      <c r="K32" s="5"/>
      <c r="L32" s="5"/>
      <c r="M32" s="5"/>
      <c r="N32" s="3">
        <f t="shared" si="0"/>
        <v>0</v>
      </c>
      <c r="O32" s="3">
        <f t="shared" si="1"/>
        <v>0</v>
      </c>
      <c r="P32" s="3">
        <f t="shared" si="2"/>
        <v>0</v>
      </c>
      <c r="Q32" s="3">
        <f t="shared" si="3"/>
        <v>0</v>
      </c>
      <c r="R32" s="3">
        <f t="shared" si="4"/>
        <v>0</v>
      </c>
      <c r="S32" s="3">
        <f t="shared" si="5"/>
        <v>0</v>
      </c>
      <c r="U32" s="5"/>
      <c r="V32" s="5"/>
      <c r="W32" s="5"/>
      <c r="X32" s="5"/>
      <c r="Y32" s="5"/>
      <c r="Z32" s="5"/>
      <c r="AA32" s="3"/>
      <c r="AB32" s="3"/>
      <c r="AC32" s="3"/>
      <c r="AD32" s="3"/>
      <c r="AE32" s="5"/>
      <c r="AF32" s="5"/>
      <c r="AG32" s="5"/>
      <c r="AH32" s="5"/>
      <c r="AI32" s="5"/>
      <c r="AJ32" s="5"/>
      <c r="AK32" s="5"/>
      <c r="AL32" s="3"/>
      <c r="AM32" s="3"/>
      <c r="AN32" s="3"/>
      <c r="AO32" s="3"/>
      <c r="AP32" s="5"/>
      <c r="AQ32" s="5"/>
      <c r="AR32" s="5"/>
      <c r="AS32" s="5"/>
      <c r="AT32" s="5"/>
      <c r="AU32" s="5"/>
      <c r="AV32" s="5"/>
      <c r="AW32" s="3">
        <f t="shared" si="6"/>
        <v>0</v>
      </c>
      <c r="AX32" s="3">
        <f t="shared" si="7"/>
        <v>0</v>
      </c>
      <c r="AY32" s="3">
        <f t="shared" si="8"/>
        <v>0</v>
      </c>
      <c r="AZ32" s="3">
        <f t="shared" si="9"/>
        <v>0</v>
      </c>
      <c r="BA32" s="3">
        <f t="shared" si="10"/>
        <v>0</v>
      </c>
      <c r="BB32" s="3">
        <f t="shared" si="11"/>
        <v>0</v>
      </c>
      <c r="BC32" s="5"/>
      <c r="BD32" s="5"/>
      <c r="BE32" s="5"/>
      <c r="BF32" s="5"/>
      <c r="BG32" s="5"/>
      <c r="BH32" s="5"/>
      <c r="BI32" s="5"/>
      <c r="BJ32" s="5"/>
      <c r="BK32" s="5"/>
      <c r="BL32" s="5"/>
      <c r="BM32" s="5"/>
      <c r="BN32" s="5"/>
      <c r="BO32" s="5"/>
      <c r="BP32" s="5"/>
      <c r="BQ32" s="5"/>
      <c r="BR32" s="5"/>
      <c r="BS32" s="5"/>
      <c r="BT32" s="5"/>
      <c r="BU32" s="5"/>
      <c r="BV32" s="5"/>
      <c r="BW32" s="5"/>
      <c r="BX32" s="5"/>
    </row>
    <row r="33" spans="1:76" x14ac:dyDescent="0.35">
      <c r="A33" s="3"/>
      <c r="B33" s="3" t="s">
        <v>141</v>
      </c>
      <c r="C33" s="3" t="s">
        <v>142</v>
      </c>
      <c r="D33" s="3" t="s">
        <v>143</v>
      </c>
      <c r="E33" s="3" t="s">
        <v>144</v>
      </c>
      <c r="F33" s="3"/>
      <c r="G33" s="3" t="s">
        <v>3554</v>
      </c>
      <c r="H33" s="3" t="s">
        <v>146</v>
      </c>
      <c r="I33" s="3" t="b">
        <v>1</v>
      </c>
      <c r="J33" s="3" t="b">
        <v>1</v>
      </c>
      <c r="K33" s="3" t="b">
        <v>1</v>
      </c>
      <c r="L33" s="3" t="b">
        <v>1</v>
      </c>
      <c r="M33" s="3" t="b">
        <v>1</v>
      </c>
      <c r="N33" s="3" t="b">
        <f t="shared" si="0"/>
        <v>1</v>
      </c>
      <c r="O33" s="3" t="b">
        <f t="shared" si="1"/>
        <v>0</v>
      </c>
      <c r="P33" s="3" t="b">
        <f t="shared" si="2"/>
        <v>0</v>
      </c>
      <c r="Q33" s="3" t="b">
        <f t="shared" si="3"/>
        <v>0</v>
      </c>
      <c r="R33" s="3" t="b">
        <f t="shared" si="4"/>
        <v>0</v>
      </c>
      <c r="S33" s="3" t="b">
        <f t="shared" si="5"/>
        <v>0</v>
      </c>
      <c r="U33" s="3" t="s">
        <v>146</v>
      </c>
      <c r="V33" s="3" t="b">
        <v>1</v>
      </c>
      <c r="W33" s="3" t="b">
        <v>1</v>
      </c>
      <c r="X33" s="3" t="b">
        <v>1</v>
      </c>
      <c r="Y33" s="3" t="b">
        <v>1</v>
      </c>
      <c r="Z33" s="3" t="b">
        <v>1</v>
      </c>
      <c r="AA33" s="3"/>
      <c r="AB33" s="3"/>
      <c r="AC33" s="3"/>
      <c r="AD33" s="3"/>
      <c r="AE33" s="3"/>
      <c r="AF33" s="3" t="s">
        <v>146</v>
      </c>
      <c r="AG33" s="3" t="b">
        <v>1</v>
      </c>
      <c r="AH33" s="3" t="b">
        <v>1</v>
      </c>
      <c r="AI33" s="3" t="b">
        <v>1</v>
      </c>
      <c r="AJ33" s="3" t="b">
        <v>1</v>
      </c>
      <c r="AK33" s="3" t="b">
        <v>1</v>
      </c>
      <c r="AL33" s="3"/>
      <c r="AM33" s="3"/>
      <c r="AN33" s="3"/>
      <c r="AO33" s="3"/>
      <c r="AP33" s="3"/>
      <c r="AQ33" s="3" t="s">
        <v>147</v>
      </c>
      <c r="AR33" s="3" t="b">
        <v>1</v>
      </c>
      <c r="AS33" s="3" t="b">
        <v>1</v>
      </c>
      <c r="AT33" s="3" t="b">
        <v>1</v>
      </c>
      <c r="AU33" s="3" t="b">
        <v>1</v>
      </c>
      <c r="AV33" s="3" t="b">
        <v>1</v>
      </c>
      <c r="AW33" s="3" t="b">
        <f t="shared" si="6"/>
        <v>1</v>
      </c>
      <c r="AX33" s="3" t="b">
        <f t="shared" si="7"/>
        <v>0</v>
      </c>
      <c r="AY33" s="3" t="b">
        <f t="shared" si="8"/>
        <v>0</v>
      </c>
      <c r="AZ33" s="3" t="b">
        <f t="shared" si="9"/>
        <v>0</v>
      </c>
      <c r="BA33" s="3" t="b">
        <f t="shared" si="10"/>
        <v>0</v>
      </c>
      <c r="BB33" s="3" t="b">
        <f t="shared" si="11"/>
        <v>0</v>
      </c>
      <c r="BC33" s="3"/>
      <c r="BD33" s="3" t="s">
        <v>147</v>
      </c>
      <c r="BE33" s="3" t="b">
        <v>1</v>
      </c>
      <c r="BF33" s="3" t="b">
        <v>1</v>
      </c>
      <c r="BG33" s="3" t="b">
        <v>1</v>
      </c>
      <c r="BH33" s="3" t="b">
        <v>1</v>
      </c>
      <c r="BI33" s="3" t="b">
        <v>1</v>
      </c>
      <c r="BJ33" s="3"/>
      <c r="BK33" s="3"/>
      <c r="BL33" s="3"/>
      <c r="BM33" s="3"/>
      <c r="BN33" s="3"/>
      <c r="BO33" s="3" t="s">
        <v>147</v>
      </c>
      <c r="BP33" s="3" t="b">
        <v>1</v>
      </c>
      <c r="BQ33" s="3" t="b">
        <v>1</v>
      </c>
      <c r="BR33" s="3" t="b">
        <v>1</v>
      </c>
      <c r="BS33" s="3" t="b">
        <v>1</v>
      </c>
      <c r="BT33" s="3" t="b">
        <v>1</v>
      </c>
      <c r="BU33" s="3"/>
      <c r="BV33" s="3"/>
      <c r="BW33" s="3"/>
      <c r="BX33" s="3"/>
    </row>
    <row r="34" spans="1:76" x14ac:dyDescent="0.35">
      <c r="A34" s="3"/>
      <c r="B34" s="3"/>
      <c r="C34" s="3" t="s">
        <v>148</v>
      </c>
      <c r="D34" s="3"/>
      <c r="E34" s="3"/>
      <c r="F34" s="3"/>
      <c r="G34" s="3" t="s">
        <v>3555</v>
      </c>
      <c r="H34" s="3" t="s">
        <v>150</v>
      </c>
      <c r="I34" s="3" t="b">
        <v>1</v>
      </c>
      <c r="J34" s="3" t="b">
        <v>0</v>
      </c>
      <c r="K34" s="3" t="b">
        <v>0</v>
      </c>
      <c r="L34" s="3" t="b">
        <v>1</v>
      </c>
      <c r="M34" s="3" t="b">
        <v>0</v>
      </c>
      <c r="N34" s="3" t="b">
        <f t="shared" si="0"/>
        <v>0</v>
      </c>
      <c r="O34" s="3" t="b">
        <f t="shared" si="1"/>
        <v>0</v>
      </c>
      <c r="P34" s="3" t="b">
        <f t="shared" si="2"/>
        <v>1</v>
      </c>
      <c r="Q34" s="3" t="b">
        <f t="shared" si="3"/>
        <v>0</v>
      </c>
      <c r="R34" s="3" t="b">
        <f t="shared" si="4"/>
        <v>0</v>
      </c>
      <c r="S34" s="3" t="b">
        <f t="shared" si="5"/>
        <v>0</v>
      </c>
      <c r="U34" s="3" t="s">
        <v>151</v>
      </c>
      <c r="V34" s="3" t="b">
        <v>1</v>
      </c>
      <c r="W34" s="3" t="b">
        <v>0</v>
      </c>
      <c r="X34" s="3" t="b">
        <v>0</v>
      </c>
      <c r="Y34" s="3" t="b">
        <v>1</v>
      </c>
      <c r="Z34" s="3" t="b">
        <v>0</v>
      </c>
      <c r="AA34" s="3"/>
      <c r="AB34" s="3"/>
      <c r="AC34" s="3"/>
      <c r="AD34" s="3"/>
      <c r="AE34" s="3"/>
      <c r="AF34" s="3" t="s">
        <v>152</v>
      </c>
      <c r="AG34" s="3" t="b">
        <v>1</v>
      </c>
      <c r="AH34" s="3" t="b">
        <v>1</v>
      </c>
      <c r="AI34" s="3" t="b">
        <v>1</v>
      </c>
      <c r="AJ34" s="3" t="b">
        <v>1</v>
      </c>
      <c r="AK34" s="3" t="b">
        <v>1</v>
      </c>
      <c r="AL34" s="3"/>
      <c r="AM34" s="3"/>
      <c r="AN34" s="3"/>
      <c r="AO34" s="3"/>
      <c r="AP34" s="3"/>
      <c r="AQ34" s="3" t="s">
        <v>153</v>
      </c>
      <c r="AR34" s="3" t="b">
        <v>1</v>
      </c>
      <c r="AS34" s="3" t="b">
        <v>1</v>
      </c>
      <c r="AT34" s="3" t="b">
        <v>1</v>
      </c>
      <c r="AU34" s="3" t="b">
        <v>1</v>
      </c>
      <c r="AV34" s="3" t="b">
        <v>1</v>
      </c>
      <c r="AW34" s="3" t="b">
        <f t="shared" si="6"/>
        <v>1</v>
      </c>
      <c r="AX34" s="3" t="b">
        <f t="shared" si="7"/>
        <v>0</v>
      </c>
      <c r="AY34" s="3" t="b">
        <f t="shared" si="8"/>
        <v>0</v>
      </c>
      <c r="AZ34" s="3" t="b">
        <f t="shared" si="9"/>
        <v>0</v>
      </c>
      <c r="BA34" s="3" t="b">
        <f t="shared" si="10"/>
        <v>0</v>
      </c>
      <c r="BB34" s="3" t="b">
        <f t="shared" si="11"/>
        <v>0</v>
      </c>
      <c r="BC34" s="3"/>
      <c r="BD34" s="3" t="s">
        <v>154</v>
      </c>
      <c r="BE34" s="3" t="b">
        <v>1</v>
      </c>
      <c r="BF34" s="3" t="b">
        <v>1</v>
      </c>
      <c r="BG34" s="3" t="b">
        <v>1</v>
      </c>
      <c r="BH34" s="3" t="b">
        <v>1</v>
      </c>
      <c r="BI34" s="3" t="b">
        <v>1</v>
      </c>
      <c r="BJ34" s="3"/>
      <c r="BK34" s="3"/>
      <c r="BL34" s="3"/>
      <c r="BM34" s="3"/>
      <c r="BN34" s="3"/>
      <c r="BO34" s="3" t="s">
        <v>154</v>
      </c>
      <c r="BP34" s="3" t="b">
        <v>1</v>
      </c>
      <c r="BQ34" s="3" t="b">
        <v>1</v>
      </c>
      <c r="BR34" s="3" t="b">
        <v>1</v>
      </c>
      <c r="BS34" s="3" t="b">
        <v>1</v>
      </c>
      <c r="BT34" s="3" t="b">
        <v>1</v>
      </c>
      <c r="BU34" s="3"/>
      <c r="BV34" s="3"/>
      <c r="BW34" s="3"/>
      <c r="BX34" s="3"/>
    </row>
    <row r="35" spans="1:76" x14ac:dyDescent="0.35">
      <c r="A35" s="3"/>
      <c r="B35" s="3"/>
      <c r="C35" s="3" t="s">
        <v>155</v>
      </c>
      <c r="D35" s="3"/>
      <c r="E35" s="3"/>
      <c r="F35" s="3"/>
      <c r="G35" s="3" t="s">
        <v>3556</v>
      </c>
      <c r="H35" s="3" t="s">
        <v>157</v>
      </c>
      <c r="I35" s="3" t="b">
        <v>1</v>
      </c>
      <c r="J35" s="3" t="b">
        <v>1</v>
      </c>
      <c r="K35" s="3" t="b">
        <v>0</v>
      </c>
      <c r="L35" s="3" t="b">
        <v>0</v>
      </c>
      <c r="M35" s="3" t="b">
        <v>1</v>
      </c>
      <c r="N35" s="3" t="b">
        <f t="shared" si="0"/>
        <v>0</v>
      </c>
      <c r="O35" s="3" t="b">
        <f t="shared" si="1"/>
        <v>0</v>
      </c>
      <c r="P35" s="3" t="b">
        <f t="shared" si="2"/>
        <v>0</v>
      </c>
      <c r="Q35" s="3" t="b">
        <f t="shared" si="3"/>
        <v>1</v>
      </c>
      <c r="R35" s="3" t="b">
        <f t="shared" si="4"/>
        <v>0</v>
      </c>
      <c r="S35" s="3" t="b">
        <f t="shared" si="5"/>
        <v>1</v>
      </c>
      <c r="U35" s="3" t="s">
        <v>158</v>
      </c>
      <c r="V35" s="3" t="b">
        <v>1</v>
      </c>
      <c r="W35" s="3" t="b">
        <v>1</v>
      </c>
      <c r="X35" s="3" t="b">
        <v>0</v>
      </c>
      <c r="Y35" s="3" t="b">
        <v>0</v>
      </c>
      <c r="Z35" s="3" t="b">
        <v>1</v>
      </c>
      <c r="AA35" s="3"/>
      <c r="AB35" s="3"/>
      <c r="AC35" s="3"/>
      <c r="AD35" s="3"/>
      <c r="AE35" s="3"/>
      <c r="AF35" s="3" t="s">
        <v>159</v>
      </c>
      <c r="AG35" s="3" t="b">
        <v>1</v>
      </c>
      <c r="AH35" s="3" t="b">
        <v>1</v>
      </c>
      <c r="AI35" s="3" t="b">
        <v>0</v>
      </c>
      <c r="AJ35" s="3" t="b">
        <v>0</v>
      </c>
      <c r="AK35" s="3" t="b">
        <v>1</v>
      </c>
      <c r="AL35" s="3"/>
      <c r="AM35" s="3"/>
      <c r="AN35" s="3"/>
      <c r="AO35" s="3"/>
      <c r="AP35" s="3"/>
      <c r="AQ35" s="3" t="s">
        <v>160</v>
      </c>
      <c r="AR35" s="3" t="b">
        <v>1</v>
      </c>
      <c r="AS35" s="3" t="b">
        <v>1</v>
      </c>
      <c r="AT35" s="3" t="b">
        <v>0</v>
      </c>
      <c r="AU35" s="3" t="b">
        <v>0</v>
      </c>
      <c r="AV35" s="3" t="b">
        <v>1</v>
      </c>
      <c r="AW35" s="3" t="b">
        <f t="shared" si="6"/>
        <v>0</v>
      </c>
      <c r="AX35" s="3" t="b">
        <f t="shared" si="7"/>
        <v>0</v>
      </c>
      <c r="AY35" s="3" t="b">
        <f t="shared" si="8"/>
        <v>0</v>
      </c>
      <c r="AZ35" s="3" t="b">
        <f t="shared" si="9"/>
        <v>1</v>
      </c>
      <c r="BA35" s="3" t="b">
        <f t="shared" si="10"/>
        <v>0</v>
      </c>
      <c r="BB35" s="3" t="b">
        <f t="shared" si="11"/>
        <v>1</v>
      </c>
      <c r="BC35" s="3"/>
      <c r="BD35" s="3" t="s">
        <v>161</v>
      </c>
      <c r="BE35" s="3" t="b">
        <v>1</v>
      </c>
      <c r="BF35" s="3" t="b">
        <v>1</v>
      </c>
      <c r="BG35" s="3" t="b">
        <v>0</v>
      </c>
      <c r="BH35" s="3" t="b">
        <v>0</v>
      </c>
      <c r="BI35" s="3" t="b">
        <v>1</v>
      </c>
      <c r="BJ35" s="3"/>
      <c r="BK35" s="3"/>
      <c r="BL35" s="3"/>
      <c r="BM35" s="3"/>
      <c r="BN35" s="3"/>
      <c r="BO35" s="3" t="s">
        <v>160</v>
      </c>
      <c r="BP35" s="3" t="b">
        <v>1</v>
      </c>
      <c r="BQ35" s="3" t="b">
        <v>1</v>
      </c>
      <c r="BR35" s="3" t="b">
        <v>0</v>
      </c>
      <c r="BS35" s="3" t="b">
        <v>0</v>
      </c>
      <c r="BT35" s="3" t="b">
        <v>1</v>
      </c>
      <c r="BU35" s="3"/>
      <c r="BV35" s="3"/>
      <c r="BW35" s="3"/>
      <c r="BX35" s="3"/>
    </row>
    <row r="36" spans="1:76" x14ac:dyDescent="0.35">
      <c r="A36" s="3"/>
      <c r="B36" s="3" t="s">
        <v>162</v>
      </c>
      <c r="C36" s="3" t="s">
        <v>163</v>
      </c>
      <c r="D36" s="3"/>
      <c r="E36" s="3"/>
      <c r="F36" s="3"/>
      <c r="G36" s="3" t="s">
        <v>3557</v>
      </c>
      <c r="H36" s="3" t="s">
        <v>165</v>
      </c>
      <c r="I36" s="3" t="b">
        <v>1</v>
      </c>
      <c r="J36" s="3" t="b">
        <v>1</v>
      </c>
      <c r="K36" s="3" t="b">
        <v>1</v>
      </c>
      <c r="L36" s="3" t="b">
        <v>1</v>
      </c>
      <c r="M36" s="3" t="b">
        <v>1</v>
      </c>
      <c r="N36" s="3" t="b">
        <f t="shared" si="0"/>
        <v>1</v>
      </c>
      <c r="O36" s="3" t="b">
        <f t="shared" si="1"/>
        <v>0</v>
      </c>
      <c r="P36" s="3" t="b">
        <f t="shared" si="2"/>
        <v>0</v>
      </c>
      <c r="Q36" s="3" t="b">
        <f t="shared" si="3"/>
        <v>0</v>
      </c>
      <c r="R36" s="3" t="b">
        <f t="shared" si="4"/>
        <v>0</v>
      </c>
      <c r="S36" s="3" t="b">
        <f t="shared" si="5"/>
        <v>0</v>
      </c>
      <c r="U36" s="3" t="s">
        <v>165</v>
      </c>
      <c r="V36" s="3" t="b">
        <v>1</v>
      </c>
      <c r="W36" s="3" t="b">
        <v>1</v>
      </c>
      <c r="X36" s="3" t="b">
        <v>1</v>
      </c>
      <c r="Y36" s="3" t="b">
        <v>1</v>
      </c>
      <c r="Z36" s="3" t="b">
        <v>1</v>
      </c>
      <c r="AA36" s="3"/>
      <c r="AB36" s="3"/>
      <c r="AC36" s="3"/>
      <c r="AD36" s="3"/>
      <c r="AE36" s="3"/>
      <c r="AF36" s="3" t="s">
        <v>166</v>
      </c>
      <c r="AG36" s="3" t="b">
        <v>1</v>
      </c>
      <c r="AH36" s="3" t="b">
        <v>1</v>
      </c>
      <c r="AI36" s="3" t="b">
        <v>1</v>
      </c>
      <c r="AJ36" s="3" t="b">
        <v>1</v>
      </c>
      <c r="AK36" s="3" t="b">
        <v>1</v>
      </c>
      <c r="AL36" s="3"/>
      <c r="AM36" s="3"/>
      <c r="AN36" s="3"/>
      <c r="AO36" s="3"/>
      <c r="AP36" s="3"/>
      <c r="AQ36" s="3" t="s">
        <v>167</v>
      </c>
      <c r="AR36" s="3" t="b">
        <v>1</v>
      </c>
      <c r="AS36" s="3" t="b">
        <v>1</v>
      </c>
      <c r="AT36" s="3" t="b">
        <v>1</v>
      </c>
      <c r="AU36" s="3" t="b">
        <v>1</v>
      </c>
      <c r="AV36" s="3" t="b">
        <v>1</v>
      </c>
      <c r="AW36" s="3" t="b">
        <f t="shared" si="6"/>
        <v>1</v>
      </c>
      <c r="AX36" s="3" t="b">
        <f t="shared" si="7"/>
        <v>0</v>
      </c>
      <c r="AY36" s="3" t="b">
        <f t="shared" si="8"/>
        <v>0</v>
      </c>
      <c r="AZ36" s="3" t="b">
        <f t="shared" si="9"/>
        <v>0</v>
      </c>
      <c r="BA36" s="3" t="b">
        <f t="shared" si="10"/>
        <v>0</v>
      </c>
      <c r="BB36" s="3" t="b">
        <f t="shared" si="11"/>
        <v>0</v>
      </c>
      <c r="BC36" s="3"/>
      <c r="BD36" s="3" t="s">
        <v>167</v>
      </c>
      <c r="BE36" s="3" t="b">
        <v>1</v>
      </c>
      <c r="BF36" s="3" t="b">
        <v>1</v>
      </c>
      <c r="BG36" s="3" t="b">
        <v>1</v>
      </c>
      <c r="BH36" s="3" t="b">
        <v>1</v>
      </c>
      <c r="BI36" s="3" t="b">
        <v>1</v>
      </c>
      <c r="BJ36" s="3"/>
      <c r="BK36" s="3"/>
      <c r="BL36" s="3"/>
      <c r="BM36" s="3"/>
      <c r="BN36" s="3"/>
      <c r="BO36" s="3" t="s">
        <v>167</v>
      </c>
      <c r="BP36" s="3" t="b">
        <v>1</v>
      </c>
      <c r="BQ36" s="3" t="b">
        <v>1</v>
      </c>
      <c r="BR36" s="3" t="b">
        <v>1</v>
      </c>
      <c r="BS36" s="3" t="b">
        <v>1</v>
      </c>
      <c r="BT36" s="3" t="b">
        <v>1</v>
      </c>
      <c r="BU36" s="3"/>
      <c r="BV36" s="3"/>
      <c r="BW36" s="3"/>
      <c r="BX36" s="3"/>
    </row>
    <row r="37" spans="1:76" x14ac:dyDescent="0.35">
      <c r="A37" s="3"/>
      <c r="B37" s="3" t="s">
        <v>168</v>
      </c>
      <c r="C37" s="3"/>
      <c r="D37" s="3" t="s">
        <v>34</v>
      </c>
      <c r="E37" s="3" t="s">
        <v>35</v>
      </c>
      <c r="F37" s="3"/>
      <c r="G37" s="3"/>
      <c r="H37" s="3"/>
      <c r="I37" s="3"/>
      <c r="J37" s="3"/>
      <c r="K37" s="3"/>
      <c r="L37" s="3"/>
      <c r="M37" s="3"/>
      <c r="N37" s="3">
        <f t="shared" si="0"/>
        <v>0</v>
      </c>
      <c r="O37" s="3">
        <f t="shared" si="1"/>
        <v>0</v>
      </c>
      <c r="P37" s="3">
        <f t="shared" si="2"/>
        <v>0</v>
      </c>
      <c r="Q37" s="3">
        <f t="shared" si="3"/>
        <v>0</v>
      </c>
      <c r="R37" s="3">
        <f t="shared" si="4"/>
        <v>0</v>
      </c>
      <c r="S37" s="3">
        <f t="shared" si="5"/>
        <v>0</v>
      </c>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f t="shared" si="6"/>
        <v>0</v>
      </c>
      <c r="AX37" s="3">
        <f t="shared" si="7"/>
        <v>0</v>
      </c>
      <c r="AY37" s="3">
        <f t="shared" si="8"/>
        <v>0</v>
      </c>
      <c r="AZ37" s="3">
        <f t="shared" si="9"/>
        <v>0</v>
      </c>
      <c r="BA37" s="3">
        <f t="shared" si="10"/>
        <v>0</v>
      </c>
      <c r="BB37" s="3">
        <f t="shared" si="11"/>
        <v>0</v>
      </c>
      <c r="BC37" s="3"/>
      <c r="BD37" s="3"/>
      <c r="BE37" s="3"/>
      <c r="BF37" s="3"/>
      <c r="BG37" s="3"/>
      <c r="BH37" s="3"/>
      <c r="BI37" s="3"/>
      <c r="BJ37" s="3"/>
      <c r="BK37" s="3"/>
      <c r="BL37" s="3"/>
      <c r="BM37" s="3"/>
      <c r="BN37" s="3"/>
      <c r="BO37" s="3"/>
      <c r="BP37" s="3"/>
      <c r="BQ37" s="3"/>
      <c r="BR37" s="3"/>
      <c r="BS37" s="3"/>
      <c r="BT37" s="3"/>
      <c r="BU37" s="3"/>
      <c r="BV37" s="3"/>
      <c r="BW37" s="3"/>
      <c r="BX37" s="3"/>
    </row>
    <row r="38" spans="1:76" x14ac:dyDescent="0.35">
      <c r="A38" s="3"/>
      <c r="B38" s="3" t="s">
        <v>169</v>
      </c>
      <c r="C38" s="3"/>
      <c r="D38" s="3" t="s">
        <v>170</v>
      </c>
      <c r="E38" s="3" t="s">
        <v>171</v>
      </c>
      <c r="F38" s="3"/>
      <c r="G38" s="3"/>
      <c r="H38" s="3"/>
      <c r="I38" s="3"/>
      <c r="J38" s="3"/>
      <c r="K38" s="3"/>
      <c r="L38" s="3"/>
      <c r="M38" s="3"/>
      <c r="N38" s="3">
        <f t="shared" si="0"/>
        <v>0</v>
      </c>
      <c r="O38" s="3">
        <f t="shared" si="1"/>
        <v>0</v>
      </c>
      <c r="P38" s="3">
        <f t="shared" si="2"/>
        <v>0</v>
      </c>
      <c r="Q38" s="3">
        <f t="shared" si="3"/>
        <v>0</v>
      </c>
      <c r="R38" s="3">
        <f t="shared" si="4"/>
        <v>0</v>
      </c>
      <c r="S38" s="3">
        <f t="shared" si="5"/>
        <v>0</v>
      </c>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f t="shared" si="6"/>
        <v>0</v>
      </c>
      <c r="AX38" s="3">
        <f t="shared" si="7"/>
        <v>0</v>
      </c>
      <c r="AY38" s="3">
        <f t="shared" si="8"/>
        <v>0</v>
      </c>
      <c r="AZ38" s="3">
        <f t="shared" si="9"/>
        <v>0</v>
      </c>
      <c r="BA38" s="3">
        <f t="shared" si="10"/>
        <v>0</v>
      </c>
      <c r="BB38" s="3">
        <f t="shared" si="11"/>
        <v>0</v>
      </c>
      <c r="BC38" s="3"/>
      <c r="BD38" s="3"/>
      <c r="BE38" s="3"/>
      <c r="BF38" s="3"/>
      <c r="BG38" s="3"/>
      <c r="BH38" s="3"/>
      <c r="BI38" s="3"/>
      <c r="BJ38" s="3"/>
      <c r="BK38" s="3"/>
      <c r="BL38" s="3"/>
      <c r="BM38" s="3"/>
      <c r="BN38" s="3"/>
      <c r="BO38" s="3"/>
      <c r="BP38" s="3"/>
      <c r="BQ38" s="3"/>
      <c r="BR38" s="3"/>
      <c r="BS38" s="3"/>
      <c r="BT38" s="3"/>
      <c r="BU38" s="3"/>
      <c r="BV38" s="3"/>
      <c r="BW38" s="3"/>
      <c r="BX38" s="3"/>
    </row>
    <row r="39" spans="1:76" x14ac:dyDescent="0.35">
      <c r="A39" s="3"/>
      <c r="B39" s="3" t="s">
        <v>172</v>
      </c>
      <c r="C39" s="3"/>
      <c r="D39" s="3" t="s">
        <v>34</v>
      </c>
      <c r="E39" s="3" t="s">
        <v>35</v>
      </c>
      <c r="F39" s="3"/>
      <c r="G39" s="3"/>
      <c r="H39" s="3"/>
      <c r="I39" s="3"/>
      <c r="J39" s="3"/>
      <c r="K39" s="3"/>
      <c r="L39" s="3"/>
      <c r="M39" s="3"/>
      <c r="N39" s="3">
        <f t="shared" si="0"/>
        <v>0</v>
      </c>
      <c r="O39" s="3">
        <f t="shared" si="1"/>
        <v>0</v>
      </c>
      <c r="P39" s="3">
        <f t="shared" si="2"/>
        <v>0</v>
      </c>
      <c r="Q39" s="3">
        <f t="shared" si="3"/>
        <v>0</v>
      </c>
      <c r="R39" s="3">
        <f t="shared" si="4"/>
        <v>0</v>
      </c>
      <c r="S39" s="3">
        <f t="shared" si="5"/>
        <v>0</v>
      </c>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f t="shared" si="6"/>
        <v>0</v>
      </c>
      <c r="AX39" s="3">
        <f t="shared" si="7"/>
        <v>0</v>
      </c>
      <c r="AY39" s="3">
        <f t="shared" si="8"/>
        <v>0</v>
      </c>
      <c r="AZ39" s="3">
        <f t="shared" si="9"/>
        <v>0</v>
      </c>
      <c r="BA39" s="3">
        <f t="shared" si="10"/>
        <v>0</v>
      </c>
      <c r="BB39" s="3">
        <f t="shared" si="11"/>
        <v>0</v>
      </c>
      <c r="BC39" s="3"/>
      <c r="BD39" s="3"/>
      <c r="BE39" s="3"/>
      <c r="BF39" s="3"/>
      <c r="BG39" s="3"/>
      <c r="BH39" s="3"/>
      <c r="BI39" s="3"/>
      <c r="BJ39" s="3"/>
      <c r="BK39" s="3"/>
      <c r="BL39" s="3"/>
      <c r="BM39" s="3"/>
      <c r="BN39" s="3"/>
      <c r="BO39" s="3"/>
      <c r="BP39" s="3"/>
      <c r="BQ39" s="3"/>
      <c r="BR39" s="3"/>
      <c r="BS39" s="3"/>
      <c r="BT39" s="3"/>
      <c r="BU39" s="3"/>
      <c r="BV39" s="3"/>
      <c r="BW39" s="3"/>
      <c r="BX39" s="3"/>
    </row>
    <row r="40" spans="1:76" x14ac:dyDescent="0.35">
      <c r="A40" s="3"/>
      <c r="B40" s="3" t="s">
        <v>173</v>
      </c>
      <c r="C40" s="3" t="s">
        <v>142</v>
      </c>
      <c r="D40" s="3" t="s">
        <v>174</v>
      </c>
      <c r="E40" s="3" t="s">
        <v>175</v>
      </c>
      <c r="F40" s="3"/>
      <c r="G40" s="3" t="s">
        <v>3558</v>
      </c>
      <c r="H40" s="3" t="s">
        <v>146</v>
      </c>
      <c r="I40" s="3" t="b">
        <v>1</v>
      </c>
      <c r="J40" s="3" t="b">
        <v>1</v>
      </c>
      <c r="K40" s="3" t="b">
        <v>1</v>
      </c>
      <c r="L40" s="3" t="b">
        <v>1</v>
      </c>
      <c r="M40" s="3" t="b">
        <v>1</v>
      </c>
      <c r="N40" s="3" t="b">
        <f t="shared" si="0"/>
        <v>1</v>
      </c>
      <c r="O40" s="3" t="b">
        <f t="shared" si="1"/>
        <v>0</v>
      </c>
      <c r="P40" s="3" t="b">
        <f t="shared" si="2"/>
        <v>0</v>
      </c>
      <c r="Q40" s="3" t="b">
        <f t="shared" si="3"/>
        <v>0</v>
      </c>
      <c r="R40" s="3" t="b">
        <f t="shared" si="4"/>
        <v>0</v>
      </c>
      <c r="S40" s="3" t="b">
        <f t="shared" si="5"/>
        <v>0</v>
      </c>
      <c r="U40" s="3" t="s">
        <v>146</v>
      </c>
      <c r="V40" s="3" t="b">
        <v>1</v>
      </c>
      <c r="W40" s="3" t="b">
        <v>1</v>
      </c>
      <c r="X40" s="3" t="b">
        <v>1</v>
      </c>
      <c r="Y40" s="3" t="b">
        <v>1</v>
      </c>
      <c r="Z40" s="3" t="b">
        <v>1</v>
      </c>
      <c r="AA40" s="3"/>
      <c r="AB40" s="3"/>
      <c r="AC40" s="3"/>
      <c r="AD40" s="3"/>
      <c r="AE40" s="3"/>
      <c r="AF40" s="3" t="s">
        <v>146</v>
      </c>
      <c r="AG40" s="3" t="b">
        <v>1</v>
      </c>
      <c r="AH40" s="3" t="b">
        <v>1</v>
      </c>
      <c r="AI40" s="3" t="b">
        <v>1</v>
      </c>
      <c r="AJ40" s="3" t="b">
        <v>1</v>
      </c>
      <c r="AK40" s="3" t="b">
        <v>1</v>
      </c>
      <c r="AL40" s="3"/>
      <c r="AM40" s="3"/>
      <c r="AN40" s="3"/>
      <c r="AO40" s="3"/>
      <c r="AP40" s="3"/>
      <c r="AQ40" s="3" t="s">
        <v>147</v>
      </c>
      <c r="AR40" s="3" t="b">
        <v>1</v>
      </c>
      <c r="AS40" s="3" t="b">
        <v>1</v>
      </c>
      <c r="AT40" s="3" t="b">
        <v>1</v>
      </c>
      <c r="AU40" s="3" t="b">
        <v>1</v>
      </c>
      <c r="AV40" s="3" t="b">
        <v>1</v>
      </c>
      <c r="AW40" s="3" t="b">
        <f t="shared" si="6"/>
        <v>1</v>
      </c>
      <c r="AX40" s="3" t="b">
        <f t="shared" si="7"/>
        <v>0</v>
      </c>
      <c r="AY40" s="3" t="b">
        <f t="shared" si="8"/>
        <v>0</v>
      </c>
      <c r="AZ40" s="3" t="b">
        <f t="shared" si="9"/>
        <v>0</v>
      </c>
      <c r="BA40" s="3" t="b">
        <f t="shared" si="10"/>
        <v>0</v>
      </c>
      <c r="BB40" s="3" t="b">
        <f t="shared" si="11"/>
        <v>0</v>
      </c>
      <c r="BC40" s="3"/>
      <c r="BD40" s="3" t="s">
        <v>147</v>
      </c>
      <c r="BE40" s="3" t="b">
        <v>1</v>
      </c>
      <c r="BF40" s="3" t="b">
        <v>1</v>
      </c>
      <c r="BG40" s="3" t="b">
        <v>1</v>
      </c>
      <c r="BH40" s="3" t="b">
        <v>1</v>
      </c>
      <c r="BI40" s="3" t="b">
        <v>1</v>
      </c>
      <c r="BJ40" s="3"/>
      <c r="BK40" s="3"/>
      <c r="BL40" s="3"/>
      <c r="BM40" s="3"/>
      <c r="BN40" s="3"/>
      <c r="BO40" s="3" t="s">
        <v>147</v>
      </c>
      <c r="BP40" s="3" t="b">
        <v>1</v>
      </c>
      <c r="BQ40" s="3" t="b">
        <v>1</v>
      </c>
      <c r="BR40" s="3" t="b">
        <v>1</v>
      </c>
      <c r="BS40" s="3" t="b">
        <v>1</v>
      </c>
      <c r="BT40" s="3" t="b">
        <v>1</v>
      </c>
      <c r="BU40" s="3"/>
      <c r="BV40" s="3"/>
      <c r="BW40" s="3"/>
      <c r="BX40" s="3"/>
    </row>
    <row r="41" spans="1:76" x14ac:dyDescent="0.35">
      <c r="A41" s="3"/>
      <c r="B41" s="3"/>
      <c r="C41" s="3" t="s">
        <v>148</v>
      </c>
      <c r="D41" s="3"/>
      <c r="E41" s="3"/>
      <c r="F41" s="3"/>
      <c r="G41" s="3" t="s">
        <v>3559</v>
      </c>
      <c r="H41" s="3" t="s">
        <v>178</v>
      </c>
      <c r="I41" s="3" t="b">
        <v>1</v>
      </c>
      <c r="J41" s="3" t="b">
        <v>0</v>
      </c>
      <c r="K41" s="3" t="b">
        <v>0</v>
      </c>
      <c r="L41" s="3" t="b">
        <v>1</v>
      </c>
      <c r="M41" s="3" t="b">
        <v>0</v>
      </c>
      <c r="N41" s="3" t="b">
        <f t="shared" si="0"/>
        <v>0</v>
      </c>
      <c r="O41" s="3" t="b">
        <f t="shared" si="1"/>
        <v>0</v>
      </c>
      <c r="P41" s="3" t="b">
        <f t="shared" si="2"/>
        <v>1</v>
      </c>
      <c r="Q41" s="3" t="b">
        <f t="shared" si="3"/>
        <v>0</v>
      </c>
      <c r="R41" s="3" t="b">
        <f t="shared" si="4"/>
        <v>0</v>
      </c>
      <c r="S41" s="3" t="b">
        <f t="shared" si="5"/>
        <v>0</v>
      </c>
      <c r="U41" s="3" t="s">
        <v>179</v>
      </c>
      <c r="V41" s="3" t="b">
        <v>1</v>
      </c>
      <c r="W41" s="3" t="b">
        <v>0</v>
      </c>
      <c r="X41" s="3" t="b">
        <v>0</v>
      </c>
      <c r="Y41" s="3" t="b">
        <v>1</v>
      </c>
      <c r="Z41" s="3" t="b">
        <v>0</v>
      </c>
      <c r="AA41" s="3"/>
      <c r="AB41" s="3"/>
      <c r="AC41" s="3"/>
      <c r="AD41" s="3"/>
      <c r="AE41" s="3"/>
      <c r="AF41" s="3" t="s">
        <v>180</v>
      </c>
      <c r="AG41" s="3" t="b">
        <v>1</v>
      </c>
      <c r="AH41" s="3" t="b">
        <v>1</v>
      </c>
      <c r="AI41" s="3" t="b">
        <v>1</v>
      </c>
      <c r="AJ41" s="3" t="b">
        <v>1</v>
      </c>
      <c r="AK41" s="3" t="b">
        <v>1</v>
      </c>
      <c r="AL41" s="3"/>
      <c r="AM41" s="3"/>
      <c r="AN41" s="3"/>
      <c r="AO41" s="3"/>
      <c r="AP41" s="3"/>
      <c r="AQ41" s="3" t="s">
        <v>154</v>
      </c>
      <c r="AR41" s="3" t="b">
        <v>1</v>
      </c>
      <c r="AS41" s="3" t="b">
        <v>1</v>
      </c>
      <c r="AT41" s="3" t="b">
        <v>1</v>
      </c>
      <c r="AU41" s="3" t="b">
        <v>1</v>
      </c>
      <c r="AV41" s="3" t="b">
        <v>1</v>
      </c>
      <c r="AW41" s="3" t="b">
        <f t="shared" si="6"/>
        <v>1</v>
      </c>
      <c r="AX41" s="3" t="b">
        <f t="shared" si="7"/>
        <v>0</v>
      </c>
      <c r="AY41" s="3" t="b">
        <f t="shared" si="8"/>
        <v>0</v>
      </c>
      <c r="AZ41" s="3" t="b">
        <f t="shared" si="9"/>
        <v>0</v>
      </c>
      <c r="BA41" s="3" t="b">
        <f t="shared" si="10"/>
        <v>0</v>
      </c>
      <c r="BB41" s="3" t="b">
        <f t="shared" si="11"/>
        <v>0</v>
      </c>
      <c r="BC41" s="3"/>
      <c r="BD41" s="3" t="s">
        <v>154</v>
      </c>
      <c r="BE41" s="3" t="b">
        <v>1</v>
      </c>
      <c r="BF41" s="3" t="b">
        <v>1</v>
      </c>
      <c r="BG41" s="3" t="b">
        <v>1</v>
      </c>
      <c r="BH41" s="3" t="b">
        <v>1</v>
      </c>
      <c r="BI41" s="3" t="b">
        <v>1</v>
      </c>
      <c r="BJ41" s="3"/>
      <c r="BK41" s="3"/>
      <c r="BL41" s="3"/>
      <c r="BM41" s="3"/>
      <c r="BN41" s="3"/>
      <c r="BO41" s="3" t="s">
        <v>181</v>
      </c>
      <c r="BP41" s="3" t="b">
        <v>1</v>
      </c>
      <c r="BQ41" s="3" t="b">
        <v>1</v>
      </c>
      <c r="BR41" s="3" t="b">
        <v>1</v>
      </c>
      <c r="BS41" s="3" t="b">
        <v>0</v>
      </c>
      <c r="BT41" s="3" t="b">
        <v>0</v>
      </c>
      <c r="BU41" s="3"/>
      <c r="BV41" s="3"/>
      <c r="BW41" s="3"/>
      <c r="BX41" s="3"/>
    </row>
    <row r="42" spans="1:76" x14ac:dyDescent="0.35">
      <c r="A42" s="3"/>
      <c r="B42" s="3"/>
      <c r="C42" s="3" t="s">
        <v>182</v>
      </c>
      <c r="D42" s="3"/>
      <c r="E42" s="3"/>
      <c r="F42" s="3"/>
      <c r="G42" s="3" t="s">
        <v>3560</v>
      </c>
      <c r="H42" s="3" t="s">
        <v>184</v>
      </c>
      <c r="I42" s="3" t="b">
        <v>1</v>
      </c>
      <c r="J42" s="3" t="b">
        <v>0</v>
      </c>
      <c r="K42" s="3" t="b">
        <v>0</v>
      </c>
      <c r="L42" s="3" t="b">
        <v>1</v>
      </c>
      <c r="M42" s="3" t="b">
        <v>0</v>
      </c>
      <c r="N42" s="3" t="b">
        <f t="shared" si="0"/>
        <v>0</v>
      </c>
      <c r="O42" s="3" t="b">
        <f t="shared" si="1"/>
        <v>0</v>
      </c>
      <c r="P42" s="3" t="b">
        <f t="shared" si="2"/>
        <v>1</v>
      </c>
      <c r="Q42" s="3" t="b">
        <f t="shared" si="3"/>
        <v>0</v>
      </c>
      <c r="R42" s="3" t="b">
        <f t="shared" si="4"/>
        <v>0</v>
      </c>
      <c r="S42" s="3" t="b">
        <f t="shared" si="5"/>
        <v>0</v>
      </c>
      <c r="U42" s="3" t="s">
        <v>184</v>
      </c>
      <c r="V42" s="3" t="b">
        <v>1</v>
      </c>
      <c r="W42" s="3" t="b">
        <v>0</v>
      </c>
      <c r="X42" s="3" t="b">
        <v>0</v>
      </c>
      <c r="Y42" s="3" t="b">
        <v>1</v>
      </c>
      <c r="Z42" s="3" t="b">
        <v>0</v>
      </c>
      <c r="AA42" s="3"/>
      <c r="AB42" s="3"/>
      <c r="AC42" s="3"/>
      <c r="AD42" s="3"/>
      <c r="AE42" s="3"/>
      <c r="AF42" s="3" t="s">
        <v>185</v>
      </c>
      <c r="AG42" s="3" t="b">
        <v>1</v>
      </c>
      <c r="AH42" s="3" t="b">
        <v>0</v>
      </c>
      <c r="AI42" s="3" t="b">
        <v>0</v>
      </c>
      <c r="AJ42" s="3" t="b">
        <v>1</v>
      </c>
      <c r="AK42" s="3" t="b">
        <v>0</v>
      </c>
      <c r="AL42" s="3"/>
      <c r="AM42" s="3"/>
      <c r="AN42" s="3"/>
      <c r="AO42" s="3"/>
      <c r="AP42" s="3"/>
      <c r="AQ42" s="3" t="s">
        <v>186</v>
      </c>
      <c r="AR42" s="3" t="b">
        <v>1</v>
      </c>
      <c r="AS42" s="3" t="b">
        <v>0</v>
      </c>
      <c r="AT42" s="3" t="b">
        <v>0</v>
      </c>
      <c r="AU42" s="3" t="b">
        <v>0</v>
      </c>
      <c r="AV42" s="3" t="b">
        <v>0</v>
      </c>
      <c r="AW42" s="3" t="b">
        <f t="shared" si="6"/>
        <v>0</v>
      </c>
      <c r="AX42" s="3" t="b">
        <f t="shared" si="7"/>
        <v>0</v>
      </c>
      <c r="AY42" s="3" t="b">
        <f t="shared" si="8"/>
        <v>1</v>
      </c>
      <c r="AZ42" s="3" t="b">
        <f t="shared" si="9"/>
        <v>0</v>
      </c>
      <c r="BA42" s="3" t="b">
        <f t="shared" si="10"/>
        <v>0</v>
      </c>
      <c r="BB42" s="3" t="b">
        <f t="shared" si="11"/>
        <v>0</v>
      </c>
      <c r="BC42" s="3"/>
      <c r="BD42" s="3" t="s">
        <v>186</v>
      </c>
      <c r="BE42" s="3" t="b">
        <v>1</v>
      </c>
      <c r="BF42" s="3" t="b">
        <v>0</v>
      </c>
      <c r="BG42" s="3" t="b">
        <v>0</v>
      </c>
      <c r="BH42" s="3" t="b">
        <v>0</v>
      </c>
      <c r="BI42" s="3" t="b">
        <v>0</v>
      </c>
      <c r="BJ42" s="3"/>
      <c r="BK42" s="3"/>
      <c r="BL42" s="3"/>
      <c r="BM42" s="3"/>
      <c r="BN42" s="3"/>
      <c r="BO42" s="3" t="s">
        <v>187</v>
      </c>
      <c r="BP42" s="3" t="b">
        <v>1</v>
      </c>
      <c r="BQ42" s="3" t="b">
        <v>0</v>
      </c>
      <c r="BR42" s="3" t="b">
        <v>0</v>
      </c>
      <c r="BS42" s="3" t="b">
        <v>0</v>
      </c>
      <c r="BT42" s="3" t="b">
        <v>0</v>
      </c>
      <c r="BU42" s="3"/>
      <c r="BV42" s="3"/>
      <c r="BW42" s="3"/>
      <c r="BX42" s="3"/>
    </row>
    <row r="43" spans="1:76" x14ac:dyDescent="0.35">
      <c r="A43" s="3"/>
      <c r="B43" s="3" t="s">
        <v>188</v>
      </c>
      <c r="C43" s="3"/>
      <c r="D43" s="3"/>
      <c r="E43" s="3"/>
      <c r="F43" s="3"/>
      <c r="G43" s="3"/>
      <c r="H43" s="3"/>
      <c r="I43" s="3"/>
      <c r="J43" s="3"/>
      <c r="K43" s="3"/>
      <c r="L43" s="3"/>
      <c r="M43" s="3"/>
      <c r="N43" s="3">
        <f t="shared" si="0"/>
        <v>0</v>
      </c>
      <c r="O43" s="3">
        <f t="shared" si="1"/>
        <v>0</v>
      </c>
      <c r="P43" s="3">
        <f t="shared" si="2"/>
        <v>0</v>
      </c>
      <c r="Q43" s="3">
        <f t="shared" si="3"/>
        <v>0</v>
      </c>
      <c r="R43" s="3">
        <f t="shared" si="4"/>
        <v>0</v>
      </c>
      <c r="S43" s="3">
        <f t="shared" si="5"/>
        <v>0</v>
      </c>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f t="shared" si="6"/>
        <v>0</v>
      </c>
      <c r="AX43" s="3">
        <f t="shared" si="7"/>
        <v>0</v>
      </c>
      <c r="AY43" s="3">
        <f t="shared" si="8"/>
        <v>0</v>
      </c>
      <c r="AZ43" s="3">
        <f t="shared" si="9"/>
        <v>0</v>
      </c>
      <c r="BA43" s="3">
        <f t="shared" si="10"/>
        <v>0</v>
      </c>
      <c r="BB43" s="3">
        <f t="shared" si="11"/>
        <v>0</v>
      </c>
      <c r="BC43" s="3"/>
      <c r="BD43" s="3"/>
      <c r="BE43" s="3"/>
      <c r="BF43" s="3"/>
      <c r="BG43" s="3"/>
      <c r="BH43" s="3"/>
      <c r="BI43" s="3"/>
      <c r="BJ43" s="3"/>
      <c r="BK43" s="3"/>
      <c r="BL43" s="3"/>
      <c r="BM43" s="3"/>
      <c r="BN43" s="3"/>
      <c r="BO43" s="3"/>
      <c r="BP43" s="3"/>
      <c r="BQ43" s="3"/>
      <c r="BR43" s="3"/>
      <c r="BS43" s="3"/>
      <c r="BT43" s="3"/>
      <c r="BU43" s="3"/>
      <c r="BV43" s="3"/>
      <c r="BW43" s="3"/>
      <c r="BX43" s="3"/>
    </row>
    <row r="44" spans="1:76" x14ac:dyDescent="0.35">
      <c r="A44" s="5"/>
      <c r="B44" s="5" t="s">
        <v>189</v>
      </c>
      <c r="C44" s="5" t="s">
        <v>131</v>
      </c>
      <c r="D44" s="5"/>
      <c r="E44" s="5"/>
      <c r="F44" s="5"/>
      <c r="G44" s="5"/>
      <c r="H44" s="5"/>
      <c r="I44" s="5"/>
      <c r="J44" s="5"/>
      <c r="K44" s="5"/>
      <c r="L44" s="5"/>
      <c r="M44" s="5"/>
      <c r="N44" s="3">
        <f t="shared" si="0"/>
        <v>0</v>
      </c>
      <c r="O44" s="3">
        <f t="shared" si="1"/>
        <v>0</v>
      </c>
      <c r="P44" s="3">
        <f t="shared" si="2"/>
        <v>0</v>
      </c>
      <c r="Q44" s="3">
        <f t="shared" si="3"/>
        <v>0</v>
      </c>
      <c r="R44" s="3">
        <f t="shared" si="4"/>
        <v>0</v>
      </c>
      <c r="S44" s="3">
        <f t="shared" si="5"/>
        <v>0</v>
      </c>
      <c r="U44" s="5"/>
      <c r="V44" s="5"/>
      <c r="W44" s="5"/>
      <c r="X44" s="5"/>
      <c r="Y44" s="5"/>
      <c r="Z44" s="5"/>
      <c r="AA44" s="3"/>
      <c r="AB44" s="3"/>
      <c r="AC44" s="3"/>
      <c r="AD44" s="3"/>
      <c r="AE44" s="5"/>
      <c r="AF44" s="5"/>
      <c r="AG44" s="5"/>
      <c r="AH44" s="5"/>
      <c r="AI44" s="5"/>
      <c r="AJ44" s="5"/>
      <c r="AK44" s="5"/>
      <c r="AL44" s="3"/>
      <c r="AM44" s="3"/>
      <c r="AN44" s="3"/>
      <c r="AO44" s="3"/>
      <c r="AP44" s="5"/>
      <c r="AQ44" s="5"/>
      <c r="AR44" s="5"/>
      <c r="AS44" s="5"/>
      <c r="AT44" s="5"/>
      <c r="AU44" s="5"/>
      <c r="AV44" s="5"/>
      <c r="AW44" s="3">
        <f t="shared" si="6"/>
        <v>0</v>
      </c>
      <c r="AX44" s="3">
        <f t="shared" si="7"/>
        <v>0</v>
      </c>
      <c r="AY44" s="3">
        <f t="shared" si="8"/>
        <v>0</v>
      </c>
      <c r="AZ44" s="3">
        <f t="shared" si="9"/>
        <v>0</v>
      </c>
      <c r="BA44" s="3">
        <f t="shared" si="10"/>
        <v>0</v>
      </c>
      <c r="BB44" s="3">
        <f t="shared" si="11"/>
        <v>0</v>
      </c>
      <c r="BC44" s="5"/>
      <c r="BD44" s="5"/>
      <c r="BE44" s="5"/>
      <c r="BF44" s="5"/>
      <c r="BG44" s="5"/>
      <c r="BH44" s="5"/>
      <c r="BI44" s="5"/>
      <c r="BJ44" s="5"/>
      <c r="BK44" s="5"/>
      <c r="BL44" s="5"/>
      <c r="BM44" s="5"/>
      <c r="BN44" s="5"/>
      <c r="BO44" s="5"/>
      <c r="BP44" s="5"/>
      <c r="BQ44" s="5"/>
      <c r="BR44" s="5"/>
      <c r="BS44" s="5"/>
      <c r="BT44" s="5"/>
      <c r="BU44" s="5"/>
      <c r="BV44" s="5"/>
      <c r="BW44" s="5"/>
      <c r="BX44" s="5"/>
    </row>
    <row r="45" spans="1:76" x14ac:dyDescent="0.35">
      <c r="A45" s="5"/>
      <c r="B45" s="5" t="s">
        <v>190</v>
      </c>
      <c r="C45" s="5" t="s">
        <v>131</v>
      </c>
      <c r="D45" s="5" t="s">
        <v>191</v>
      </c>
      <c r="E45" s="5" t="s">
        <v>192</v>
      </c>
      <c r="F45" s="5"/>
      <c r="G45" s="5"/>
      <c r="H45" s="5"/>
      <c r="I45" s="5"/>
      <c r="J45" s="5"/>
      <c r="K45" s="5"/>
      <c r="L45" s="5"/>
      <c r="M45" s="5"/>
      <c r="N45" s="3">
        <f t="shared" si="0"/>
        <v>0</v>
      </c>
      <c r="O45" s="3">
        <f t="shared" si="1"/>
        <v>0</v>
      </c>
      <c r="P45" s="3">
        <f t="shared" si="2"/>
        <v>0</v>
      </c>
      <c r="Q45" s="3">
        <f t="shared" si="3"/>
        <v>0</v>
      </c>
      <c r="R45" s="3">
        <f t="shared" si="4"/>
        <v>0</v>
      </c>
      <c r="S45" s="3">
        <f t="shared" si="5"/>
        <v>0</v>
      </c>
      <c r="U45" s="5"/>
      <c r="V45" s="5"/>
      <c r="W45" s="5"/>
      <c r="X45" s="5"/>
      <c r="Y45" s="5"/>
      <c r="Z45" s="5"/>
      <c r="AA45" s="3"/>
      <c r="AB45" s="3"/>
      <c r="AC45" s="3"/>
      <c r="AD45" s="3"/>
      <c r="AE45" s="5"/>
      <c r="AF45" s="5"/>
      <c r="AG45" s="5"/>
      <c r="AH45" s="5"/>
      <c r="AI45" s="5"/>
      <c r="AJ45" s="5"/>
      <c r="AK45" s="5"/>
      <c r="AL45" s="3"/>
      <c r="AM45" s="3"/>
      <c r="AN45" s="3"/>
      <c r="AO45" s="3"/>
      <c r="AP45" s="5"/>
      <c r="AQ45" s="5"/>
      <c r="AR45" s="5"/>
      <c r="AS45" s="5"/>
      <c r="AT45" s="5"/>
      <c r="AU45" s="5"/>
      <c r="AV45" s="5"/>
      <c r="AW45" s="3">
        <f t="shared" si="6"/>
        <v>0</v>
      </c>
      <c r="AX45" s="3">
        <f t="shared" si="7"/>
        <v>0</v>
      </c>
      <c r="AY45" s="3">
        <f t="shared" si="8"/>
        <v>0</v>
      </c>
      <c r="AZ45" s="3">
        <f t="shared" si="9"/>
        <v>0</v>
      </c>
      <c r="BA45" s="3">
        <f t="shared" si="10"/>
        <v>0</v>
      </c>
      <c r="BB45" s="3">
        <f t="shared" si="11"/>
        <v>0</v>
      </c>
      <c r="BC45" s="5"/>
      <c r="BD45" s="5"/>
      <c r="BE45" s="5"/>
      <c r="BF45" s="5"/>
      <c r="BG45" s="5"/>
      <c r="BH45" s="5"/>
      <c r="BI45" s="5"/>
      <c r="BJ45" s="5"/>
      <c r="BK45" s="5"/>
      <c r="BL45" s="5"/>
      <c r="BM45" s="5"/>
      <c r="BN45" s="5"/>
      <c r="BO45" s="5"/>
      <c r="BP45" s="5"/>
      <c r="BQ45" s="5"/>
      <c r="BR45" s="5"/>
      <c r="BS45" s="5"/>
      <c r="BT45" s="5"/>
      <c r="BU45" s="5"/>
      <c r="BV45" s="5"/>
      <c r="BW45" s="5"/>
      <c r="BX45" s="5"/>
    </row>
    <row r="46" spans="1:76" x14ac:dyDescent="0.35">
      <c r="A46" s="3"/>
      <c r="B46" s="3"/>
      <c r="C46" s="3"/>
      <c r="D46" s="5" t="s">
        <v>193</v>
      </c>
      <c r="E46" s="5" t="s">
        <v>194</v>
      </c>
      <c r="F46" s="3"/>
      <c r="G46" s="3"/>
      <c r="H46" s="3"/>
      <c r="I46" s="3"/>
      <c r="J46" s="3"/>
      <c r="K46" s="3"/>
      <c r="L46" s="3"/>
      <c r="M46" s="3"/>
      <c r="N46" s="3">
        <f t="shared" si="0"/>
        <v>0</v>
      </c>
      <c r="O46" s="3">
        <f t="shared" si="1"/>
        <v>0</v>
      </c>
      <c r="P46" s="3">
        <f t="shared" si="2"/>
        <v>0</v>
      </c>
      <c r="Q46" s="3">
        <f t="shared" si="3"/>
        <v>0</v>
      </c>
      <c r="R46" s="3">
        <f t="shared" si="4"/>
        <v>0</v>
      </c>
      <c r="S46" s="3">
        <f t="shared" si="5"/>
        <v>0</v>
      </c>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f t="shared" si="6"/>
        <v>0</v>
      </c>
      <c r="AX46" s="3">
        <f t="shared" si="7"/>
        <v>0</v>
      </c>
      <c r="AY46" s="3">
        <f t="shared" si="8"/>
        <v>0</v>
      </c>
      <c r="AZ46" s="3">
        <f t="shared" si="9"/>
        <v>0</v>
      </c>
      <c r="BA46" s="3">
        <f t="shared" si="10"/>
        <v>0</v>
      </c>
      <c r="BB46" s="3">
        <f t="shared" si="11"/>
        <v>0</v>
      </c>
      <c r="BC46" s="3"/>
      <c r="BD46" s="3"/>
      <c r="BE46" s="3"/>
      <c r="BF46" s="3"/>
      <c r="BG46" s="3"/>
      <c r="BH46" s="3"/>
      <c r="BI46" s="3"/>
      <c r="BJ46" s="3"/>
      <c r="BK46" s="3"/>
      <c r="BL46" s="3"/>
      <c r="BM46" s="3"/>
      <c r="BN46" s="3"/>
      <c r="BO46" s="3"/>
      <c r="BP46" s="3"/>
      <c r="BQ46" s="3"/>
      <c r="BR46" s="3"/>
      <c r="BS46" s="3"/>
      <c r="BT46" s="3"/>
      <c r="BU46" s="3"/>
      <c r="BV46" s="3"/>
      <c r="BW46" s="3"/>
      <c r="BX46" s="3"/>
    </row>
    <row r="47" spans="1:76" x14ac:dyDescent="0.35">
      <c r="A47" s="3"/>
      <c r="B47" s="3" t="s">
        <v>195</v>
      </c>
      <c r="C47" s="3" t="s">
        <v>131</v>
      </c>
      <c r="D47" s="3"/>
      <c r="E47" s="3"/>
      <c r="F47" s="3"/>
      <c r="G47" s="3" t="s">
        <v>3561</v>
      </c>
      <c r="H47" s="3" t="s">
        <v>133</v>
      </c>
      <c r="I47" s="3" t="b">
        <v>1</v>
      </c>
      <c r="J47" s="3" t="b">
        <v>1</v>
      </c>
      <c r="K47" s="3" t="b">
        <v>1</v>
      </c>
      <c r="L47" s="3" t="b">
        <v>1</v>
      </c>
      <c r="M47" s="3" t="b">
        <v>1</v>
      </c>
      <c r="N47" s="3" t="b">
        <f t="shared" si="0"/>
        <v>1</v>
      </c>
      <c r="O47" s="3" t="b">
        <f t="shared" si="1"/>
        <v>0</v>
      </c>
      <c r="P47" s="3" t="b">
        <f t="shared" si="2"/>
        <v>0</v>
      </c>
      <c r="Q47" s="3" t="b">
        <f t="shared" si="3"/>
        <v>0</v>
      </c>
      <c r="R47" s="3" t="b">
        <f t="shared" si="4"/>
        <v>0</v>
      </c>
      <c r="S47" s="3" t="b">
        <f t="shared" si="5"/>
        <v>0</v>
      </c>
      <c r="U47" s="3" t="s">
        <v>133</v>
      </c>
      <c r="V47" s="3" t="b">
        <v>1</v>
      </c>
      <c r="W47" s="3" t="b">
        <v>1</v>
      </c>
      <c r="X47" s="3" t="b">
        <v>1</v>
      </c>
      <c r="Y47" s="3" t="b">
        <v>1</v>
      </c>
      <c r="Z47" s="3" t="b">
        <v>1</v>
      </c>
      <c r="AA47" s="3"/>
      <c r="AB47" s="3"/>
      <c r="AC47" s="3"/>
      <c r="AD47" s="3"/>
      <c r="AE47" s="3"/>
      <c r="AF47" s="3" t="s">
        <v>133</v>
      </c>
      <c r="AG47" s="3" t="b">
        <v>1</v>
      </c>
      <c r="AH47" s="3" t="b">
        <v>1</v>
      </c>
      <c r="AI47" s="3" t="b">
        <v>1</v>
      </c>
      <c r="AJ47" s="3" t="b">
        <v>1</v>
      </c>
      <c r="AK47" s="3" t="b">
        <v>1</v>
      </c>
      <c r="AL47" s="3"/>
      <c r="AM47" s="3"/>
      <c r="AN47" s="3"/>
      <c r="AO47" s="3"/>
      <c r="AP47" s="3"/>
      <c r="AQ47" s="3" t="s">
        <v>133</v>
      </c>
      <c r="AR47" s="3" t="b">
        <v>1</v>
      </c>
      <c r="AS47" s="3" t="b">
        <v>1</v>
      </c>
      <c r="AT47" s="3" t="b">
        <v>1</v>
      </c>
      <c r="AU47" s="3" t="b">
        <v>1</v>
      </c>
      <c r="AV47" s="3" t="b">
        <v>1</v>
      </c>
      <c r="AW47" s="3" t="b">
        <f t="shared" si="6"/>
        <v>1</v>
      </c>
      <c r="AX47" s="3" t="b">
        <f t="shared" si="7"/>
        <v>0</v>
      </c>
      <c r="AY47" s="3" t="b">
        <f t="shared" si="8"/>
        <v>0</v>
      </c>
      <c r="AZ47" s="3" t="b">
        <f t="shared" si="9"/>
        <v>0</v>
      </c>
      <c r="BA47" s="3" t="b">
        <f t="shared" si="10"/>
        <v>0</v>
      </c>
      <c r="BB47" s="3" t="b">
        <f t="shared" si="11"/>
        <v>0</v>
      </c>
      <c r="BC47" s="3"/>
      <c r="BD47" s="3" t="s">
        <v>133</v>
      </c>
      <c r="BE47" s="3" t="b">
        <v>1</v>
      </c>
      <c r="BF47" s="3" t="b">
        <v>1</v>
      </c>
      <c r="BG47" s="3" t="b">
        <v>1</v>
      </c>
      <c r="BH47" s="3" t="b">
        <v>1</v>
      </c>
      <c r="BI47" s="3" t="b">
        <v>1</v>
      </c>
      <c r="BJ47" s="3"/>
      <c r="BK47" s="3"/>
      <c r="BL47" s="3"/>
      <c r="BM47" s="3"/>
      <c r="BN47" s="3"/>
      <c r="BO47" s="3" t="s">
        <v>133</v>
      </c>
      <c r="BP47" s="3" t="b">
        <v>1</v>
      </c>
      <c r="BQ47" s="3" t="b">
        <v>1</v>
      </c>
      <c r="BR47" s="3" t="b">
        <v>1</v>
      </c>
      <c r="BS47" s="3" t="b">
        <v>1</v>
      </c>
      <c r="BT47" s="3" t="b">
        <v>1</v>
      </c>
      <c r="BU47" s="3"/>
      <c r="BV47" s="3"/>
      <c r="BW47" s="3"/>
      <c r="BX47" s="3"/>
    </row>
    <row r="48" spans="1:76" x14ac:dyDescent="0.35">
      <c r="A48" s="3"/>
      <c r="B48" s="3"/>
      <c r="C48" s="3" t="s">
        <v>197</v>
      </c>
      <c r="D48" s="3"/>
      <c r="E48" s="3"/>
      <c r="F48" s="3"/>
      <c r="G48" s="3" t="s">
        <v>3562</v>
      </c>
      <c r="H48" s="3" t="s">
        <v>199</v>
      </c>
      <c r="I48" s="3" t="b">
        <v>1</v>
      </c>
      <c r="J48" s="3" t="b">
        <v>1</v>
      </c>
      <c r="K48" s="3" t="b">
        <v>1</v>
      </c>
      <c r="L48" s="3" t="b">
        <v>1</v>
      </c>
      <c r="M48" s="3" t="b">
        <v>1</v>
      </c>
      <c r="N48" s="3" t="b">
        <f t="shared" si="0"/>
        <v>1</v>
      </c>
      <c r="O48" s="3" t="b">
        <f t="shared" si="1"/>
        <v>0</v>
      </c>
      <c r="P48" s="3" t="b">
        <f t="shared" si="2"/>
        <v>0</v>
      </c>
      <c r="Q48" s="3" t="b">
        <f t="shared" si="3"/>
        <v>0</v>
      </c>
      <c r="R48" s="3" t="b">
        <f t="shared" si="4"/>
        <v>0</v>
      </c>
      <c r="S48" s="3" t="b">
        <f t="shared" si="5"/>
        <v>0</v>
      </c>
      <c r="U48" s="3" t="s">
        <v>199</v>
      </c>
      <c r="V48" s="3" t="b">
        <v>1</v>
      </c>
      <c r="W48" s="3" t="b">
        <v>1</v>
      </c>
      <c r="X48" s="3" t="b">
        <v>1</v>
      </c>
      <c r="Y48" s="3" t="b">
        <v>1</v>
      </c>
      <c r="Z48" s="3" t="b">
        <v>1</v>
      </c>
      <c r="AA48" s="3"/>
      <c r="AB48" s="3"/>
      <c r="AC48" s="3"/>
      <c r="AD48" s="3"/>
      <c r="AE48" s="3"/>
      <c r="AF48" s="3" t="s">
        <v>199</v>
      </c>
      <c r="AG48" s="3" t="b">
        <v>1</v>
      </c>
      <c r="AH48" s="3" t="b">
        <v>1</v>
      </c>
      <c r="AI48" s="3" t="b">
        <v>1</v>
      </c>
      <c r="AJ48" s="3" t="b">
        <v>1</v>
      </c>
      <c r="AK48" s="3" t="b">
        <v>1</v>
      </c>
      <c r="AL48" s="3"/>
      <c r="AM48" s="3"/>
      <c r="AN48" s="3"/>
      <c r="AO48" s="3"/>
      <c r="AP48" s="3"/>
      <c r="AQ48" s="3" t="s">
        <v>199</v>
      </c>
      <c r="AR48" s="3" t="b">
        <v>1</v>
      </c>
      <c r="AS48" s="3" t="b">
        <v>1</v>
      </c>
      <c r="AT48" s="3" t="b">
        <v>1</v>
      </c>
      <c r="AU48" s="3" t="b">
        <v>1</v>
      </c>
      <c r="AV48" s="3" t="b">
        <v>1</v>
      </c>
      <c r="AW48" s="3" t="b">
        <f t="shared" si="6"/>
        <v>1</v>
      </c>
      <c r="AX48" s="3" t="b">
        <f t="shared" si="7"/>
        <v>0</v>
      </c>
      <c r="AY48" s="3" t="b">
        <f t="shared" si="8"/>
        <v>0</v>
      </c>
      <c r="AZ48" s="3" t="b">
        <f t="shared" si="9"/>
        <v>0</v>
      </c>
      <c r="BA48" s="3" t="b">
        <f t="shared" si="10"/>
        <v>0</v>
      </c>
      <c r="BB48" s="3" t="b">
        <f t="shared" si="11"/>
        <v>0</v>
      </c>
      <c r="BC48" s="3"/>
      <c r="BD48" s="3" t="s">
        <v>199</v>
      </c>
      <c r="BE48" s="3" t="b">
        <v>1</v>
      </c>
      <c r="BF48" s="3" t="b">
        <v>1</v>
      </c>
      <c r="BG48" s="3" t="b">
        <v>1</v>
      </c>
      <c r="BH48" s="3" t="b">
        <v>1</v>
      </c>
      <c r="BI48" s="3" t="b">
        <v>1</v>
      </c>
      <c r="BJ48" s="3"/>
      <c r="BK48" s="3"/>
      <c r="BL48" s="3"/>
      <c r="BM48" s="3"/>
      <c r="BN48" s="3"/>
      <c r="BO48" s="3" t="s">
        <v>199</v>
      </c>
      <c r="BP48" s="3" t="b">
        <v>1</v>
      </c>
      <c r="BQ48" s="3" t="b">
        <v>1</v>
      </c>
      <c r="BR48" s="3" t="b">
        <v>1</v>
      </c>
      <c r="BS48" s="3" t="b">
        <v>1</v>
      </c>
      <c r="BT48" s="3" t="b">
        <v>1</v>
      </c>
      <c r="BU48" s="3"/>
      <c r="BV48" s="3"/>
      <c r="BW48" s="3"/>
      <c r="BX48" s="3"/>
    </row>
    <row r="49" spans="1:76" x14ac:dyDescent="0.35">
      <c r="A49" s="3"/>
      <c r="B49" s="3"/>
      <c r="C49" s="3" t="s">
        <v>200</v>
      </c>
      <c r="D49" s="3"/>
      <c r="E49" s="3"/>
      <c r="F49" s="3"/>
      <c r="G49" s="3" t="s">
        <v>3563</v>
      </c>
      <c r="H49" s="3"/>
      <c r="I49" s="3" t="b">
        <v>1</v>
      </c>
      <c r="J49" s="3" t="b">
        <v>0</v>
      </c>
      <c r="K49" s="3" t="b">
        <v>0</v>
      </c>
      <c r="L49" s="3" t="b">
        <v>0</v>
      </c>
      <c r="M49" s="3" t="b">
        <v>0</v>
      </c>
      <c r="N49" s="3" t="b">
        <f t="shared" si="0"/>
        <v>0</v>
      </c>
      <c r="O49" s="3" t="b">
        <f t="shared" si="1"/>
        <v>0</v>
      </c>
      <c r="P49" s="3" t="b">
        <f t="shared" si="2"/>
        <v>1</v>
      </c>
      <c r="Q49" s="3" t="b">
        <f t="shared" si="3"/>
        <v>0</v>
      </c>
      <c r="R49" s="3" t="b">
        <f t="shared" si="4"/>
        <v>0</v>
      </c>
      <c r="S49" s="3" t="b">
        <f t="shared" si="5"/>
        <v>0</v>
      </c>
      <c r="U49" s="3"/>
      <c r="V49" s="3" t="b">
        <v>1</v>
      </c>
      <c r="W49" s="3" t="b">
        <v>0</v>
      </c>
      <c r="X49" s="3" t="b">
        <v>0</v>
      </c>
      <c r="Y49" s="3" t="b">
        <v>0</v>
      </c>
      <c r="Z49" s="3" t="b">
        <v>0</v>
      </c>
      <c r="AA49" s="3"/>
      <c r="AB49" s="3"/>
      <c r="AC49" s="3"/>
      <c r="AD49" s="3"/>
      <c r="AE49" s="3"/>
      <c r="AF49" s="3" t="s">
        <v>202</v>
      </c>
      <c r="AG49" s="3" t="b">
        <v>1</v>
      </c>
      <c r="AH49" s="3" t="b">
        <v>1</v>
      </c>
      <c r="AI49" s="3" t="b">
        <v>1</v>
      </c>
      <c r="AJ49" s="3" t="b">
        <v>1</v>
      </c>
      <c r="AK49" s="3" t="b">
        <v>1</v>
      </c>
      <c r="AL49" s="3"/>
      <c r="AM49" s="3"/>
      <c r="AN49" s="3"/>
      <c r="AO49" s="3"/>
      <c r="AP49" s="3"/>
      <c r="AQ49" s="3" t="s">
        <v>203</v>
      </c>
      <c r="AR49" s="3" t="b">
        <v>1</v>
      </c>
      <c r="AS49" s="3" t="b">
        <v>0</v>
      </c>
      <c r="AT49" s="3" t="b">
        <v>0</v>
      </c>
      <c r="AU49" s="3" t="b">
        <v>1</v>
      </c>
      <c r="AV49" s="3" t="b">
        <v>0</v>
      </c>
      <c r="AW49" s="3" t="b">
        <f t="shared" si="6"/>
        <v>0</v>
      </c>
      <c r="AX49" s="3" t="b">
        <f t="shared" si="7"/>
        <v>0</v>
      </c>
      <c r="AY49" s="3" t="b">
        <f t="shared" si="8"/>
        <v>1</v>
      </c>
      <c r="AZ49" s="3" t="b">
        <f t="shared" si="9"/>
        <v>0</v>
      </c>
      <c r="BA49" s="3" t="b">
        <f t="shared" si="10"/>
        <v>0</v>
      </c>
      <c r="BB49" s="3" t="b">
        <f t="shared" si="11"/>
        <v>0</v>
      </c>
      <c r="BC49" s="3"/>
      <c r="BD49" s="3" t="s">
        <v>204</v>
      </c>
      <c r="BE49" s="3" t="b">
        <v>1</v>
      </c>
      <c r="BF49" s="3" t="b">
        <v>0</v>
      </c>
      <c r="BG49" s="3" t="b">
        <v>0</v>
      </c>
      <c r="BH49" s="3" t="b">
        <v>1</v>
      </c>
      <c r="BI49" s="3" t="b">
        <v>0</v>
      </c>
      <c r="BJ49" s="3"/>
      <c r="BK49" s="3"/>
      <c r="BL49" s="3"/>
      <c r="BM49" s="3"/>
      <c r="BN49" s="3"/>
      <c r="BO49" s="3" t="s">
        <v>205</v>
      </c>
      <c r="BP49" s="3" t="b">
        <v>1</v>
      </c>
      <c r="BQ49" s="3" t="b">
        <v>1</v>
      </c>
      <c r="BR49" s="3" t="b">
        <v>1</v>
      </c>
      <c r="BS49" s="3" t="b">
        <v>1</v>
      </c>
      <c r="BT49" s="3" t="b">
        <v>0</v>
      </c>
      <c r="BU49" s="3"/>
      <c r="BV49" s="3"/>
      <c r="BW49" s="3"/>
      <c r="BX49" s="3"/>
    </row>
    <row r="50" spans="1:76" x14ac:dyDescent="0.35">
      <c r="A50" s="3"/>
      <c r="B50" s="3" t="s">
        <v>206</v>
      </c>
      <c r="C50" s="3" t="s">
        <v>207</v>
      </c>
      <c r="D50" s="3" t="s">
        <v>208</v>
      </c>
      <c r="E50" s="3" t="s">
        <v>209</v>
      </c>
      <c r="F50" s="3"/>
      <c r="G50" s="3" t="s">
        <v>3564</v>
      </c>
      <c r="H50" s="3" t="s">
        <v>210</v>
      </c>
      <c r="I50" s="3" t="b">
        <v>1</v>
      </c>
      <c r="J50" s="3" t="b">
        <v>1</v>
      </c>
      <c r="K50" s="3" t="b">
        <v>0</v>
      </c>
      <c r="L50" s="3" t="b">
        <v>1</v>
      </c>
      <c r="M50" s="3" t="b">
        <v>1</v>
      </c>
      <c r="N50" s="3" t="b">
        <f t="shared" si="0"/>
        <v>0</v>
      </c>
      <c r="O50" s="3" t="b">
        <f t="shared" si="1"/>
        <v>0</v>
      </c>
      <c r="P50" s="3" t="b">
        <f t="shared" si="2"/>
        <v>0</v>
      </c>
      <c r="Q50" s="3" t="b">
        <f t="shared" si="3"/>
        <v>1</v>
      </c>
      <c r="R50" s="3" t="b">
        <f t="shared" si="4"/>
        <v>0</v>
      </c>
      <c r="S50" s="3" t="b">
        <f t="shared" si="5"/>
        <v>1</v>
      </c>
      <c r="U50" s="3" t="s">
        <v>210</v>
      </c>
      <c r="V50" s="3" t="b">
        <v>1</v>
      </c>
      <c r="W50" s="3" t="b">
        <v>1</v>
      </c>
      <c r="X50" s="3" t="b">
        <v>0</v>
      </c>
      <c r="Y50" s="3" t="b">
        <v>1</v>
      </c>
      <c r="Z50" s="3" t="b">
        <v>1</v>
      </c>
      <c r="AA50" s="3"/>
      <c r="AB50" s="3"/>
      <c r="AC50" s="3"/>
      <c r="AD50" s="3"/>
      <c r="AE50" s="3"/>
      <c r="AF50" s="3"/>
      <c r="AG50" s="3" t="b">
        <v>1</v>
      </c>
      <c r="AH50" s="3" t="b">
        <v>0</v>
      </c>
      <c r="AI50" s="3" t="b">
        <v>0</v>
      </c>
      <c r="AJ50" s="3" t="b">
        <v>0</v>
      </c>
      <c r="AK50" s="3" t="b">
        <v>0</v>
      </c>
      <c r="AL50" s="3"/>
      <c r="AM50" s="3"/>
      <c r="AN50" s="3"/>
      <c r="AO50" s="3"/>
      <c r="AP50" s="3"/>
      <c r="AQ50" s="3" t="s">
        <v>210</v>
      </c>
      <c r="AR50" s="3" t="b">
        <v>1</v>
      </c>
      <c r="AS50" s="3" t="b">
        <v>1</v>
      </c>
      <c r="AT50" s="3" t="b">
        <v>0</v>
      </c>
      <c r="AU50" s="3" t="b">
        <v>1</v>
      </c>
      <c r="AV50" s="3" t="b">
        <v>1</v>
      </c>
      <c r="AW50" s="3" t="b">
        <f t="shared" si="6"/>
        <v>0</v>
      </c>
      <c r="AX50" s="3" t="b">
        <f t="shared" si="7"/>
        <v>0</v>
      </c>
      <c r="AY50" s="3" t="b">
        <f t="shared" si="8"/>
        <v>0</v>
      </c>
      <c r="AZ50" s="3" t="b">
        <f t="shared" si="9"/>
        <v>1</v>
      </c>
      <c r="BA50" s="3" t="b">
        <f t="shared" si="10"/>
        <v>0</v>
      </c>
      <c r="BB50" s="3" t="b">
        <f t="shared" si="11"/>
        <v>1</v>
      </c>
      <c r="BC50" s="3"/>
      <c r="BD50" s="3" t="s">
        <v>210</v>
      </c>
      <c r="BE50" s="3" t="b">
        <v>1</v>
      </c>
      <c r="BF50" s="3" t="b">
        <v>1</v>
      </c>
      <c r="BG50" s="3" t="b">
        <v>0</v>
      </c>
      <c r="BH50" s="3" t="b">
        <v>1</v>
      </c>
      <c r="BI50" s="3" t="b">
        <v>1</v>
      </c>
      <c r="BJ50" s="3"/>
      <c r="BK50" s="3"/>
      <c r="BL50" s="3"/>
      <c r="BM50" s="3"/>
      <c r="BN50" s="3"/>
      <c r="BO50" s="3" t="s">
        <v>210</v>
      </c>
      <c r="BP50" s="3" t="b">
        <v>1</v>
      </c>
      <c r="BQ50" s="3" t="b">
        <v>1</v>
      </c>
      <c r="BR50" s="3" t="b">
        <v>0</v>
      </c>
      <c r="BS50" s="3" t="b">
        <v>1</v>
      </c>
      <c r="BT50" s="3" t="b">
        <v>1</v>
      </c>
      <c r="BU50" s="3"/>
      <c r="BV50" s="3"/>
      <c r="BW50" s="3"/>
      <c r="BX50" s="3"/>
    </row>
    <row r="51" spans="1:76" x14ac:dyDescent="0.35">
      <c r="A51" s="3"/>
      <c r="B51" s="3"/>
      <c r="D51" s="3"/>
      <c r="E51" s="3"/>
      <c r="F51" s="3"/>
      <c r="G51" s="3"/>
      <c r="H51" s="3"/>
      <c r="I51" s="3"/>
      <c r="J51" s="3"/>
      <c r="K51" s="3"/>
      <c r="L51" s="3"/>
      <c r="M51" s="3"/>
      <c r="N51" s="3">
        <f t="shared" si="0"/>
        <v>0</v>
      </c>
      <c r="O51" s="3">
        <f t="shared" si="1"/>
        <v>0</v>
      </c>
      <c r="P51" s="3">
        <f t="shared" si="2"/>
        <v>0</v>
      </c>
      <c r="Q51" s="3">
        <f t="shared" si="3"/>
        <v>0</v>
      </c>
      <c r="R51" s="3">
        <f t="shared" si="4"/>
        <v>0</v>
      </c>
      <c r="S51" s="3">
        <f t="shared" si="5"/>
        <v>0</v>
      </c>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f t="shared" si="6"/>
        <v>0</v>
      </c>
      <c r="AX51" s="3">
        <f t="shared" si="7"/>
        <v>0</v>
      </c>
      <c r="AY51" s="3">
        <f t="shared" si="8"/>
        <v>0</v>
      </c>
      <c r="AZ51" s="3">
        <f t="shared" si="9"/>
        <v>0</v>
      </c>
      <c r="BA51" s="3">
        <f t="shared" si="10"/>
        <v>0</v>
      </c>
      <c r="BB51" s="3">
        <f t="shared" si="11"/>
        <v>0</v>
      </c>
      <c r="BC51" s="3"/>
      <c r="BD51" s="3"/>
      <c r="BE51" s="3"/>
      <c r="BF51" s="3"/>
      <c r="BG51" s="3"/>
      <c r="BH51" s="3"/>
      <c r="BI51" s="3"/>
      <c r="BJ51" s="3"/>
      <c r="BK51" s="3"/>
      <c r="BL51" s="3"/>
      <c r="BM51" s="3"/>
      <c r="BN51" s="3"/>
      <c r="BO51" s="3"/>
      <c r="BP51" s="3"/>
      <c r="BQ51" s="3"/>
      <c r="BR51" s="3"/>
      <c r="BS51" s="3"/>
      <c r="BT51" s="3"/>
      <c r="BU51" s="3"/>
      <c r="BV51" s="3"/>
      <c r="BW51" s="3"/>
      <c r="BX51" s="3"/>
    </row>
    <row r="52" spans="1:76" x14ac:dyDescent="0.35">
      <c r="A52" s="3" t="s">
        <v>211</v>
      </c>
      <c r="B52" s="3" t="s">
        <v>212</v>
      </c>
      <c r="C52" s="3" t="s">
        <v>25</v>
      </c>
      <c r="D52" s="3"/>
      <c r="E52" s="3"/>
      <c r="F52" s="3"/>
      <c r="G52" s="3" t="s">
        <v>3565</v>
      </c>
      <c r="H52" s="3" t="s">
        <v>28</v>
      </c>
      <c r="I52" s="3" t="b">
        <v>1</v>
      </c>
      <c r="J52" s="3" t="b">
        <v>1</v>
      </c>
      <c r="K52" s="3" t="b">
        <v>1</v>
      </c>
      <c r="L52" s="3" t="b">
        <v>1</v>
      </c>
      <c r="M52" s="3" t="b">
        <v>1</v>
      </c>
      <c r="N52" s="3" t="b">
        <f t="shared" si="0"/>
        <v>1</v>
      </c>
      <c r="O52" s="3" t="b">
        <f t="shared" si="1"/>
        <v>0</v>
      </c>
      <c r="P52" s="3" t="b">
        <f t="shared" si="2"/>
        <v>0</v>
      </c>
      <c r="Q52" s="3" t="b">
        <f t="shared" si="3"/>
        <v>0</v>
      </c>
      <c r="R52" s="3" t="b">
        <f t="shared" si="4"/>
        <v>0</v>
      </c>
      <c r="S52" s="3" t="b">
        <f t="shared" si="5"/>
        <v>0</v>
      </c>
      <c r="U52" s="3" t="s">
        <v>27</v>
      </c>
      <c r="V52" s="3" t="b">
        <v>1</v>
      </c>
      <c r="W52" s="3" t="b">
        <v>1</v>
      </c>
      <c r="X52" s="3" t="b">
        <v>1</v>
      </c>
      <c r="Y52" s="3" t="b">
        <v>1</v>
      </c>
      <c r="Z52" s="3" t="b">
        <v>1</v>
      </c>
      <c r="AA52" s="3"/>
      <c r="AB52" s="3"/>
      <c r="AC52" s="3"/>
      <c r="AD52" s="3"/>
      <c r="AE52" s="3"/>
      <c r="AF52" s="3" t="s">
        <v>28</v>
      </c>
      <c r="AG52" s="3" t="b">
        <v>1</v>
      </c>
      <c r="AH52" s="3" t="b">
        <v>1</v>
      </c>
      <c r="AI52" s="3" t="b">
        <v>1</v>
      </c>
      <c r="AJ52" s="3" t="b">
        <v>1</v>
      </c>
      <c r="AK52" s="3" t="b">
        <v>1</v>
      </c>
      <c r="AL52" s="3"/>
      <c r="AM52" s="3"/>
      <c r="AN52" s="3"/>
      <c r="AO52" s="3"/>
      <c r="AP52" s="3"/>
      <c r="AQ52" s="3" t="s">
        <v>28</v>
      </c>
      <c r="AR52" s="3" t="b">
        <v>1</v>
      </c>
      <c r="AS52" s="3" t="b">
        <v>1</v>
      </c>
      <c r="AT52" s="3" t="b">
        <v>1</v>
      </c>
      <c r="AU52" s="3" t="b">
        <v>1</v>
      </c>
      <c r="AV52" s="3" t="b">
        <v>1</v>
      </c>
      <c r="AW52" s="3" t="b">
        <f t="shared" si="6"/>
        <v>1</v>
      </c>
      <c r="AX52" s="3" t="b">
        <f t="shared" si="7"/>
        <v>0</v>
      </c>
      <c r="AY52" s="3" t="b">
        <f t="shared" si="8"/>
        <v>0</v>
      </c>
      <c r="AZ52" s="3" t="b">
        <f t="shared" si="9"/>
        <v>0</v>
      </c>
      <c r="BA52" s="3" t="b">
        <f t="shared" si="10"/>
        <v>0</v>
      </c>
      <c r="BB52" s="3" t="b">
        <f t="shared" si="11"/>
        <v>0</v>
      </c>
      <c r="BC52" s="3"/>
      <c r="BD52" s="3" t="s">
        <v>28</v>
      </c>
      <c r="BE52" s="3" t="b">
        <v>1</v>
      </c>
      <c r="BF52" s="3" t="b">
        <v>1</v>
      </c>
      <c r="BG52" s="3" t="b">
        <v>1</v>
      </c>
      <c r="BH52" s="3" t="b">
        <v>1</v>
      </c>
      <c r="BI52" s="3" t="b">
        <v>1</v>
      </c>
      <c r="BJ52" s="3"/>
      <c r="BK52" s="3"/>
      <c r="BL52" s="3"/>
      <c r="BM52" s="3"/>
      <c r="BN52" s="3"/>
      <c r="BO52" s="3" t="s">
        <v>28</v>
      </c>
      <c r="BP52" s="3" t="b">
        <v>1</v>
      </c>
      <c r="BQ52" s="3" t="b">
        <v>1</v>
      </c>
      <c r="BR52" s="3" t="b">
        <v>1</v>
      </c>
      <c r="BS52" s="3" t="b">
        <v>1</v>
      </c>
      <c r="BT52" s="3" t="b">
        <v>1</v>
      </c>
      <c r="BU52" s="3"/>
      <c r="BV52" s="3"/>
      <c r="BW52" s="3"/>
      <c r="BX52" s="3"/>
    </row>
    <row r="53" spans="1:76" x14ac:dyDescent="0.35">
      <c r="A53" s="3"/>
      <c r="B53" s="3"/>
      <c r="C53" s="3" t="s">
        <v>29</v>
      </c>
      <c r="D53" s="3"/>
      <c r="E53" s="3"/>
      <c r="F53" s="3"/>
      <c r="G53" s="3" t="s">
        <v>3566</v>
      </c>
      <c r="H53" s="3" t="s">
        <v>31</v>
      </c>
      <c r="I53" s="3" t="b">
        <v>1</v>
      </c>
      <c r="J53" s="3" t="b">
        <v>1</v>
      </c>
      <c r="K53" s="3" t="b">
        <v>1</v>
      </c>
      <c r="L53" s="3" t="b">
        <v>1</v>
      </c>
      <c r="M53" s="3" t="b">
        <v>1</v>
      </c>
      <c r="N53" s="3" t="b">
        <f t="shared" si="0"/>
        <v>1</v>
      </c>
      <c r="O53" s="3" t="b">
        <f t="shared" si="1"/>
        <v>0</v>
      </c>
      <c r="P53" s="3" t="b">
        <f t="shared" si="2"/>
        <v>0</v>
      </c>
      <c r="Q53" s="3" t="b">
        <f t="shared" si="3"/>
        <v>0</v>
      </c>
      <c r="R53" s="3" t="b">
        <f t="shared" si="4"/>
        <v>0</v>
      </c>
      <c r="S53" s="3" t="b">
        <f t="shared" si="5"/>
        <v>0</v>
      </c>
      <c r="U53" s="3" t="s">
        <v>31</v>
      </c>
      <c r="V53" s="3" t="b">
        <v>1</v>
      </c>
      <c r="W53" s="3" t="b">
        <v>1</v>
      </c>
      <c r="X53" s="3" t="b">
        <v>1</v>
      </c>
      <c r="Y53" s="3" t="b">
        <v>1</v>
      </c>
      <c r="Z53" s="3" t="b">
        <v>1</v>
      </c>
      <c r="AA53" s="3"/>
      <c r="AB53" s="3"/>
      <c r="AC53" s="3"/>
      <c r="AD53" s="3"/>
      <c r="AE53" s="3"/>
      <c r="AF53" s="3" t="s">
        <v>31</v>
      </c>
      <c r="AG53" s="3" t="b">
        <v>1</v>
      </c>
      <c r="AH53" s="3" t="b">
        <v>1</v>
      </c>
      <c r="AI53" s="3" t="b">
        <v>1</v>
      </c>
      <c r="AJ53" s="3" t="b">
        <v>1</v>
      </c>
      <c r="AK53" s="3" t="b">
        <v>1</v>
      </c>
      <c r="AL53" s="3"/>
      <c r="AM53" s="3"/>
      <c r="AN53" s="3"/>
      <c r="AO53" s="3"/>
      <c r="AP53" s="3"/>
      <c r="AQ53" s="3" t="s">
        <v>31</v>
      </c>
      <c r="AR53" s="3" t="b">
        <v>1</v>
      </c>
      <c r="AS53" s="3" t="b">
        <v>1</v>
      </c>
      <c r="AT53" s="3" t="b">
        <v>1</v>
      </c>
      <c r="AU53" s="3" t="b">
        <v>1</v>
      </c>
      <c r="AV53" s="3" t="b">
        <v>1</v>
      </c>
      <c r="AW53" s="3" t="b">
        <f t="shared" si="6"/>
        <v>1</v>
      </c>
      <c r="AX53" s="3" t="b">
        <f t="shared" si="7"/>
        <v>0</v>
      </c>
      <c r="AY53" s="3" t="b">
        <f t="shared" si="8"/>
        <v>0</v>
      </c>
      <c r="AZ53" s="3" t="b">
        <f t="shared" si="9"/>
        <v>0</v>
      </c>
      <c r="BA53" s="3" t="b">
        <f t="shared" si="10"/>
        <v>0</v>
      </c>
      <c r="BB53" s="3" t="b">
        <f t="shared" si="11"/>
        <v>0</v>
      </c>
      <c r="BC53" s="3"/>
      <c r="BD53" s="3" t="s">
        <v>31</v>
      </c>
      <c r="BE53" s="3" t="b">
        <v>1</v>
      </c>
      <c r="BF53" s="3" t="b">
        <v>1</v>
      </c>
      <c r="BG53" s="3" t="b">
        <v>1</v>
      </c>
      <c r="BH53" s="3" t="b">
        <v>1</v>
      </c>
      <c r="BI53" s="3" t="b">
        <v>1</v>
      </c>
      <c r="BJ53" s="3"/>
      <c r="BK53" s="3"/>
      <c r="BL53" s="3"/>
      <c r="BM53" s="3"/>
      <c r="BN53" s="3"/>
      <c r="BO53" s="3" t="s">
        <v>31</v>
      </c>
      <c r="BP53" s="3" t="b">
        <v>1</v>
      </c>
      <c r="BQ53" s="3" t="b">
        <v>1</v>
      </c>
      <c r="BR53" s="3" t="b">
        <v>1</v>
      </c>
      <c r="BS53" s="3" t="b">
        <v>1</v>
      </c>
      <c r="BT53" s="3" t="b">
        <v>1</v>
      </c>
      <c r="BU53" s="3"/>
      <c r="BV53" s="3"/>
      <c r="BW53" s="3"/>
      <c r="BX53" s="3"/>
    </row>
    <row r="54" spans="1:76" x14ac:dyDescent="0.35">
      <c r="A54" s="3"/>
      <c r="B54" s="3" t="s">
        <v>215</v>
      </c>
      <c r="C54" s="3" t="s">
        <v>33</v>
      </c>
      <c r="D54" s="3" t="s">
        <v>34</v>
      </c>
      <c r="E54" s="3" t="s">
        <v>35</v>
      </c>
      <c r="F54" s="3"/>
      <c r="G54" s="3" t="s">
        <v>3567</v>
      </c>
      <c r="H54" s="3" t="s">
        <v>217</v>
      </c>
      <c r="I54" s="3" t="b">
        <v>1</v>
      </c>
      <c r="J54" s="3" t="b">
        <v>1</v>
      </c>
      <c r="K54" s="3" t="b">
        <v>1</v>
      </c>
      <c r="L54" s="3" t="b">
        <v>1</v>
      </c>
      <c r="M54" s="3" t="b">
        <v>1</v>
      </c>
      <c r="N54" s="3" t="b">
        <f t="shared" si="0"/>
        <v>1</v>
      </c>
      <c r="O54" s="3" t="b">
        <f t="shared" si="1"/>
        <v>0</v>
      </c>
      <c r="P54" s="3" t="b">
        <f t="shared" si="2"/>
        <v>0</v>
      </c>
      <c r="Q54" s="3" t="b">
        <f t="shared" si="3"/>
        <v>0</v>
      </c>
      <c r="R54" s="3" t="b">
        <f t="shared" si="4"/>
        <v>0</v>
      </c>
      <c r="S54" s="3" t="b">
        <f t="shared" si="5"/>
        <v>0</v>
      </c>
      <c r="U54" s="3" t="s">
        <v>37</v>
      </c>
      <c r="V54" s="3" t="b">
        <v>1</v>
      </c>
      <c r="W54" s="3" t="b">
        <v>1</v>
      </c>
      <c r="X54" s="3" t="b">
        <v>1</v>
      </c>
      <c r="Y54" s="3" t="b">
        <v>1</v>
      </c>
      <c r="Z54" s="3" t="b">
        <v>1</v>
      </c>
      <c r="AA54" s="3"/>
      <c r="AB54" s="3"/>
      <c r="AC54" s="3"/>
      <c r="AD54" s="3"/>
      <c r="AE54" s="3"/>
      <c r="AF54" s="3" t="s">
        <v>37</v>
      </c>
      <c r="AG54" s="3" t="b">
        <v>1</v>
      </c>
      <c r="AH54" s="3" t="b">
        <v>1</v>
      </c>
      <c r="AI54" s="3" t="b">
        <v>1</v>
      </c>
      <c r="AJ54" s="3" t="b">
        <v>1</v>
      </c>
      <c r="AK54" s="3" t="b">
        <v>1</v>
      </c>
      <c r="AL54" s="3"/>
      <c r="AM54" s="3"/>
      <c r="AN54" s="3"/>
      <c r="AO54" s="3"/>
      <c r="AP54" s="3"/>
      <c r="AQ54" s="3" t="s">
        <v>37</v>
      </c>
      <c r="AR54" s="3" t="b">
        <v>1</v>
      </c>
      <c r="AS54" s="3" t="b">
        <v>1</v>
      </c>
      <c r="AT54" s="3" t="b">
        <v>1</v>
      </c>
      <c r="AU54" s="3" t="b">
        <v>1</v>
      </c>
      <c r="AV54" s="3" t="b">
        <v>1</v>
      </c>
      <c r="AW54" s="3" t="b">
        <f t="shared" si="6"/>
        <v>1</v>
      </c>
      <c r="AX54" s="3" t="b">
        <f t="shared" si="7"/>
        <v>0</v>
      </c>
      <c r="AY54" s="3" t="b">
        <f t="shared" si="8"/>
        <v>0</v>
      </c>
      <c r="AZ54" s="3" t="b">
        <f t="shared" si="9"/>
        <v>0</v>
      </c>
      <c r="BA54" s="3" t="b">
        <f t="shared" si="10"/>
        <v>0</v>
      </c>
      <c r="BB54" s="3" t="b">
        <f t="shared" si="11"/>
        <v>0</v>
      </c>
      <c r="BC54" s="3"/>
      <c r="BD54" s="3" t="s">
        <v>37</v>
      </c>
      <c r="BE54" s="3" t="b">
        <v>1</v>
      </c>
      <c r="BF54" s="3" t="b">
        <v>1</v>
      </c>
      <c r="BG54" s="3" t="b">
        <v>1</v>
      </c>
      <c r="BH54" s="3" t="b">
        <v>1</v>
      </c>
      <c r="BI54" s="3" t="b">
        <v>1</v>
      </c>
      <c r="BJ54" s="3"/>
      <c r="BK54" s="3"/>
      <c r="BL54" s="3"/>
      <c r="BM54" s="3"/>
      <c r="BN54" s="3"/>
      <c r="BO54" s="3" t="s">
        <v>37</v>
      </c>
      <c r="BP54" s="3" t="b">
        <v>1</v>
      </c>
      <c r="BQ54" s="3" t="b">
        <v>1</v>
      </c>
      <c r="BR54" s="3" t="b">
        <v>1</v>
      </c>
      <c r="BS54" s="3" t="b">
        <v>1</v>
      </c>
      <c r="BT54" s="3" t="b">
        <v>1</v>
      </c>
      <c r="BU54" s="3"/>
      <c r="BV54" s="3"/>
      <c r="BW54" s="3"/>
      <c r="BX54" s="3"/>
    </row>
    <row r="55" spans="1:76" x14ac:dyDescent="0.35">
      <c r="A55" s="3"/>
      <c r="B55" s="3" t="s">
        <v>218</v>
      </c>
      <c r="C55" s="3" t="s">
        <v>25</v>
      </c>
      <c r="D55" s="3"/>
      <c r="E55" s="3"/>
      <c r="F55" s="3"/>
      <c r="G55" s="3" t="s">
        <v>3568</v>
      </c>
      <c r="H55" s="3" t="s">
        <v>28</v>
      </c>
      <c r="I55" s="3" t="b">
        <v>1</v>
      </c>
      <c r="J55" s="3" t="b">
        <v>1</v>
      </c>
      <c r="K55" s="3" t="b">
        <v>1</v>
      </c>
      <c r="L55" s="3" t="b">
        <v>1</v>
      </c>
      <c r="M55" s="3" t="b">
        <v>1</v>
      </c>
      <c r="N55" s="3" t="b">
        <f t="shared" si="0"/>
        <v>1</v>
      </c>
      <c r="O55" s="3" t="b">
        <f t="shared" si="1"/>
        <v>0</v>
      </c>
      <c r="P55" s="3" t="b">
        <f t="shared" si="2"/>
        <v>0</v>
      </c>
      <c r="Q55" s="3" t="b">
        <f t="shared" si="3"/>
        <v>0</v>
      </c>
      <c r="R55" s="3" t="b">
        <f t="shared" si="4"/>
        <v>0</v>
      </c>
      <c r="S55" s="3" t="b">
        <f t="shared" si="5"/>
        <v>0</v>
      </c>
      <c r="U55" s="3" t="s">
        <v>28</v>
      </c>
      <c r="V55" s="3" t="b">
        <v>1</v>
      </c>
      <c r="W55" s="3" t="b">
        <v>1</v>
      </c>
      <c r="X55" s="3" t="b">
        <v>1</v>
      </c>
      <c r="Y55" s="3" t="b">
        <v>1</v>
      </c>
      <c r="Z55" s="3" t="b">
        <v>1</v>
      </c>
      <c r="AA55" s="3"/>
      <c r="AB55" s="3"/>
      <c r="AC55" s="3"/>
      <c r="AD55" s="3"/>
      <c r="AE55" s="3"/>
      <c r="AF55" s="3" t="s">
        <v>28</v>
      </c>
      <c r="AG55" s="3" t="b">
        <v>1</v>
      </c>
      <c r="AH55" s="3" t="b">
        <v>1</v>
      </c>
      <c r="AI55" s="3" t="b">
        <v>1</v>
      </c>
      <c r="AJ55" s="3" t="b">
        <v>1</v>
      </c>
      <c r="AK55" s="3" t="b">
        <v>1</v>
      </c>
      <c r="AL55" s="3"/>
      <c r="AM55" s="3"/>
      <c r="AN55" s="3"/>
      <c r="AO55" s="3"/>
      <c r="AP55" s="3"/>
      <c r="AQ55" s="3" t="s">
        <v>28</v>
      </c>
      <c r="AR55" s="3" t="b">
        <v>1</v>
      </c>
      <c r="AS55" s="3" t="b">
        <v>1</v>
      </c>
      <c r="AT55" s="3" t="b">
        <v>1</v>
      </c>
      <c r="AU55" s="3" t="b">
        <v>1</v>
      </c>
      <c r="AV55" s="3" t="b">
        <v>1</v>
      </c>
      <c r="AW55" s="3" t="b">
        <f t="shared" si="6"/>
        <v>1</v>
      </c>
      <c r="AX55" s="3" t="b">
        <f t="shared" si="7"/>
        <v>0</v>
      </c>
      <c r="AY55" s="3" t="b">
        <f t="shared" si="8"/>
        <v>0</v>
      </c>
      <c r="AZ55" s="3" t="b">
        <f t="shared" si="9"/>
        <v>0</v>
      </c>
      <c r="BA55" s="3" t="b">
        <f t="shared" si="10"/>
        <v>0</v>
      </c>
      <c r="BB55" s="3" t="b">
        <f t="shared" si="11"/>
        <v>0</v>
      </c>
      <c r="BC55" s="3"/>
      <c r="BD55" s="3" t="s">
        <v>28</v>
      </c>
      <c r="BE55" s="3" t="b">
        <v>1</v>
      </c>
      <c r="BF55" s="3" t="b">
        <v>1</v>
      </c>
      <c r="BG55" s="3" t="b">
        <v>1</v>
      </c>
      <c r="BH55" s="3" t="b">
        <v>1</v>
      </c>
      <c r="BI55" s="3" t="b">
        <v>1</v>
      </c>
      <c r="BJ55" s="3"/>
      <c r="BK55" s="3"/>
      <c r="BL55" s="3"/>
      <c r="BM55" s="3"/>
      <c r="BN55" s="3"/>
      <c r="BO55" s="3" t="s">
        <v>28</v>
      </c>
      <c r="BP55" s="3" t="b">
        <v>1</v>
      </c>
      <c r="BQ55" s="3" t="b">
        <v>1</v>
      </c>
      <c r="BR55" s="3" t="b">
        <v>1</v>
      </c>
      <c r="BS55" s="3" t="b">
        <v>1</v>
      </c>
      <c r="BT55" s="3" t="b">
        <v>1</v>
      </c>
      <c r="BU55" s="3"/>
      <c r="BV55" s="3"/>
      <c r="BW55" s="3"/>
      <c r="BX55" s="3"/>
    </row>
    <row r="56" spans="1:76" x14ac:dyDescent="0.35">
      <c r="A56" s="3"/>
      <c r="B56" s="3"/>
      <c r="C56" s="3" t="s">
        <v>29</v>
      </c>
      <c r="D56" s="3"/>
      <c r="E56" s="3"/>
      <c r="F56" s="3"/>
      <c r="G56" s="3" t="s">
        <v>3569</v>
      </c>
      <c r="H56" s="3" t="s">
        <v>27</v>
      </c>
      <c r="I56" s="3" t="b">
        <v>1</v>
      </c>
      <c r="J56" s="3" t="b">
        <v>1</v>
      </c>
      <c r="K56" s="3" t="b">
        <v>1</v>
      </c>
      <c r="L56" s="3" t="b">
        <v>1</v>
      </c>
      <c r="M56" s="3" t="b">
        <v>1</v>
      </c>
      <c r="N56" s="3" t="b">
        <f t="shared" si="0"/>
        <v>1</v>
      </c>
      <c r="O56" s="3" t="b">
        <f t="shared" si="1"/>
        <v>0</v>
      </c>
      <c r="P56" s="3" t="b">
        <f t="shared" si="2"/>
        <v>0</v>
      </c>
      <c r="Q56" s="3" t="b">
        <f t="shared" si="3"/>
        <v>0</v>
      </c>
      <c r="R56" s="3" t="b">
        <f t="shared" si="4"/>
        <v>0</v>
      </c>
      <c r="S56" s="3" t="b">
        <f t="shared" si="5"/>
        <v>0</v>
      </c>
      <c r="U56" s="3" t="s">
        <v>28</v>
      </c>
      <c r="V56" s="3" t="b">
        <v>1</v>
      </c>
      <c r="W56" s="3" t="b">
        <v>1</v>
      </c>
      <c r="X56" s="3" t="b">
        <v>1</v>
      </c>
      <c r="Y56" s="3" t="b">
        <v>1</v>
      </c>
      <c r="Z56" s="3" t="b">
        <v>1</v>
      </c>
      <c r="AA56" s="3"/>
      <c r="AB56" s="3"/>
      <c r="AC56" s="3"/>
      <c r="AD56" s="3"/>
      <c r="AE56" s="3"/>
      <c r="AF56" s="3" t="s">
        <v>27</v>
      </c>
      <c r="AG56" s="3" t="b">
        <v>1</v>
      </c>
      <c r="AH56" s="3" t="b">
        <v>1</v>
      </c>
      <c r="AI56" s="3" t="b">
        <v>1</v>
      </c>
      <c r="AJ56" s="3" t="b">
        <v>1</v>
      </c>
      <c r="AK56" s="3" t="b">
        <v>1</v>
      </c>
      <c r="AL56" s="3"/>
      <c r="AM56" s="3"/>
      <c r="AN56" s="3"/>
      <c r="AO56" s="3"/>
      <c r="AP56" s="3"/>
      <c r="AQ56" s="3" t="s">
        <v>28</v>
      </c>
      <c r="AR56" s="3" t="b">
        <v>1</v>
      </c>
      <c r="AS56" s="3" t="b">
        <v>1</v>
      </c>
      <c r="AT56" s="3" t="b">
        <v>1</v>
      </c>
      <c r="AU56" s="3" t="b">
        <v>1</v>
      </c>
      <c r="AV56" s="3" t="b">
        <v>1</v>
      </c>
      <c r="AW56" s="3" t="b">
        <f t="shared" si="6"/>
        <v>1</v>
      </c>
      <c r="AX56" s="3" t="b">
        <f t="shared" si="7"/>
        <v>0</v>
      </c>
      <c r="AY56" s="3" t="b">
        <f t="shared" si="8"/>
        <v>0</v>
      </c>
      <c r="AZ56" s="3" t="b">
        <f t="shared" si="9"/>
        <v>0</v>
      </c>
      <c r="BA56" s="3" t="b">
        <f t="shared" si="10"/>
        <v>0</v>
      </c>
      <c r="BB56" s="3" t="b">
        <f t="shared" si="11"/>
        <v>0</v>
      </c>
      <c r="BC56" s="3"/>
      <c r="BD56" s="3" t="s">
        <v>28</v>
      </c>
      <c r="BE56" s="3" t="b">
        <v>1</v>
      </c>
      <c r="BF56" s="3" t="b">
        <v>1</v>
      </c>
      <c r="BG56" s="3" t="b">
        <v>1</v>
      </c>
      <c r="BH56" s="3" t="b">
        <v>1</v>
      </c>
      <c r="BI56" s="3" t="b">
        <v>1</v>
      </c>
      <c r="BJ56" s="3"/>
      <c r="BK56" s="3"/>
      <c r="BL56" s="3"/>
      <c r="BM56" s="3"/>
      <c r="BN56" s="3"/>
      <c r="BO56" s="3" t="s">
        <v>28</v>
      </c>
      <c r="BP56" s="3" t="b">
        <v>1</v>
      </c>
      <c r="BQ56" s="3" t="b">
        <v>1</v>
      </c>
      <c r="BR56" s="3" t="b">
        <v>1</v>
      </c>
      <c r="BS56" s="3" t="b">
        <v>1</v>
      </c>
      <c r="BT56" s="3" t="b">
        <v>1</v>
      </c>
      <c r="BU56" s="3"/>
      <c r="BV56" s="3"/>
      <c r="BW56" s="3"/>
      <c r="BX56" s="3"/>
    </row>
    <row r="57" spans="1:76" x14ac:dyDescent="0.35">
      <c r="A57" s="3"/>
      <c r="B57" s="3" t="s">
        <v>60</v>
      </c>
      <c r="C57" s="3" t="s">
        <v>221</v>
      </c>
      <c r="D57" s="3" t="s">
        <v>222</v>
      </c>
      <c r="E57" s="3" t="s">
        <v>223</v>
      </c>
      <c r="F57" s="3"/>
      <c r="G57" s="3" t="s">
        <v>3570</v>
      </c>
      <c r="H57" s="3" t="s">
        <v>225</v>
      </c>
      <c r="I57" s="3" t="b">
        <v>1</v>
      </c>
      <c r="J57" s="3" t="b">
        <v>1</v>
      </c>
      <c r="K57" s="3" t="b">
        <v>1</v>
      </c>
      <c r="L57" s="3" t="b">
        <v>1</v>
      </c>
      <c r="M57" s="3" t="b">
        <v>1</v>
      </c>
      <c r="N57" s="3" t="b">
        <f t="shared" si="0"/>
        <v>1</v>
      </c>
      <c r="O57" s="3" t="b">
        <f t="shared" si="1"/>
        <v>0</v>
      </c>
      <c r="P57" s="3" t="b">
        <f t="shared" si="2"/>
        <v>0</v>
      </c>
      <c r="Q57" s="3" t="b">
        <f t="shared" si="3"/>
        <v>0</v>
      </c>
      <c r="R57" s="3" t="b">
        <f t="shared" si="4"/>
        <v>0</v>
      </c>
      <c r="S57" s="3" t="b">
        <f t="shared" si="5"/>
        <v>0</v>
      </c>
      <c r="U57" s="3" t="s">
        <v>225</v>
      </c>
      <c r="V57" s="3" t="b">
        <v>1</v>
      </c>
      <c r="W57" s="3" t="b">
        <v>1</v>
      </c>
      <c r="X57" s="3" t="b">
        <v>1</v>
      </c>
      <c r="Y57" s="3" t="b">
        <v>1</v>
      </c>
      <c r="Z57" s="3" t="b">
        <v>1</v>
      </c>
      <c r="AA57" s="3"/>
      <c r="AB57" s="3"/>
      <c r="AC57" s="3"/>
      <c r="AD57" s="3"/>
      <c r="AE57" s="3"/>
      <c r="AF57" s="3" t="s">
        <v>225</v>
      </c>
      <c r="AG57" s="3" t="b">
        <v>1</v>
      </c>
      <c r="AH57" s="3" t="b">
        <v>1</v>
      </c>
      <c r="AI57" s="3" t="b">
        <v>1</v>
      </c>
      <c r="AJ57" s="3" t="b">
        <v>1</v>
      </c>
      <c r="AK57" s="3" t="b">
        <v>1</v>
      </c>
      <c r="AL57" s="3"/>
      <c r="AM57" s="3"/>
      <c r="AN57" s="3"/>
      <c r="AO57" s="3"/>
      <c r="AP57" s="3"/>
      <c r="AQ57" s="3" t="s">
        <v>225</v>
      </c>
      <c r="AR57" s="3" t="b">
        <v>1</v>
      </c>
      <c r="AS57" s="3" t="b">
        <v>1</v>
      </c>
      <c r="AT57" s="3" t="b">
        <v>1</v>
      </c>
      <c r="AU57" s="3" t="b">
        <v>1</v>
      </c>
      <c r="AV57" s="3" t="b">
        <v>1</v>
      </c>
      <c r="AW57" s="3" t="b">
        <f t="shared" si="6"/>
        <v>1</v>
      </c>
      <c r="AX57" s="3" t="b">
        <f t="shared" si="7"/>
        <v>0</v>
      </c>
      <c r="AY57" s="3" t="b">
        <f t="shared" si="8"/>
        <v>0</v>
      </c>
      <c r="AZ57" s="3" t="b">
        <f t="shared" si="9"/>
        <v>0</v>
      </c>
      <c r="BA57" s="3" t="b">
        <f t="shared" si="10"/>
        <v>0</v>
      </c>
      <c r="BB57" s="3" t="b">
        <f t="shared" si="11"/>
        <v>0</v>
      </c>
      <c r="BC57" s="3"/>
      <c r="BD57" s="3" t="s">
        <v>225</v>
      </c>
      <c r="BE57" s="3" t="b">
        <v>1</v>
      </c>
      <c r="BF57" s="3" t="b">
        <v>1</v>
      </c>
      <c r="BG57" s="3" t="b">
        <v>1</v>
      </c>
      <c r="BH57" s="3" t="b">
        <v>1</v>
      </c>
      <c r="BI57" s="3" t="b">
        <v>1</v>
      </c>
      <c r="BJ57" s="3"/>
      <c r="BK57" s="3"/>
      <c r="BL57" s="3"/>
      <c r="BM57" s="3"/>
      <c r="BN57" s="3"/>
      <c r="BO57" s="3" t="s">
        <v>225</v>
      </c>
      <c r="BP57" s="3" t="b">
        <v>1</v>
      </c>
      <c r="BQ57" s="3" t="b">
        <v>1</v>
      </c>
      <c r="BR57" s="3" t="b">
        <v>1</v>
      </c>
      <c r="BS57" s="3" t="b">
        <v>1</v>
      </c>
      <c r="BT57" s="3" t="b">
        <v>1</v>
      </c>
      <c r="BU57" s="3"/>
      <c r="BV57" s="3"/>
      <c r="BW57" s="3"/>
      <c r="BX57" s="3"/>
    </row>
    <row r="58" spans="1:76" x14ac:dyDescent="0.35">
      <c r="A58" s="3"/>
      <c r="B58" s="3"/>
      <c r="C58" s="3" t="s">
        <v>226</v>
      </c>
      <c r="D58" s="3"/>
      <c r="E58" s="3"/>
      <c r="F58" s="3"/>
      <c r="G58" s="3" t="s">
        <v>3571</v>
      </c>
      <c r="H58" s="3" t="s">
        <v>228</v>
      </c>
      <c r="I58" s="3" t="b">
        <v>1</v>
      </c>
      <c r="J58" s="3" t="b">
        <v>1</v>
      </c>
      <c r="K58" s="3" t="b">
        <v>1</v>
      </c>
      <c r="L58" s="3" t="b">
        <v>1</v>
      </c>
      <c r="M58" s="3" t="b">
        <v>1</v>
      </c>
      <c r="N58" s="3" t="b">
        <f t="shared" si="0"/>
        <v>1</v>
      </c>
      <c r="O58" s="3" t="b">
        <f t="shared" si="1"/>
        <v>0</v>
      </c>
      <c r="P58" s="3" t="b">
        <f t="shared" si="2"/>
        <v>0</v>
      </c>
      <c r="Q58" s="3" t="b">
        <f t="shared" si="3"/>
        <v>0</v>
      </c>
      <c r="R58" s="3" t="b">
        <f t="shared" si="4"/>
        <v>0</v>
      </c>
      <c r="S58" s="3" t="b">
        <f t="shared" si="5"/>
        <v>0</v>
      </c>
      <c r="U58" s="3" t="s">
        <v>228</v>
      </c>
      <c r="V58" s="3" t="b">
        <v>1</v>
      </c>
      <c r="W58" s="3" t="b">
        <v>1</v>
      </c>
      <c r="X58" s="3" t="b">
        <v>1</v>
      </c>
      <c r="Y58" s="3" t="b">
        <v>1</v>
      </c>
      <c r="Z58" s="3" t="b">
        <v>1</v>
      </c>
      <c r="AA58" s="3"/>
      <c r="AB58" s="3"/>
      <c r="AC58" s="3"/>
      <c r="AD58" s="3"/>
      <c r="AE58" s="3"/>
      <c r="AF58" s="3" t="s">
        <v>228</v>
      </c>
      <c r="AG58" s="3" t="b">
        <v>1</v>
      </c>
      <c r="AH58" s="3" t="b">
        <v>1</v>
      </c>
      <c r="AI58" s="3" t="b">
        <v>1</v>
      </c>
      <c r="AJ58" s="3" t="b">
        <v>1</v>
      </c>
      <c r="AK58" s="3" t="b">
        <v>1</v>
      </c>
      <c r="AL58" s="3"/>
      <c r="AM58" s="3"/>
      <c r="AN58" s="3"/>
      <c r="AO58" s="3"/>
      <c r="AP58" s="3"/>
      <c r="AQ58" s="3" t="s">
        <v>229</v>
      </c>
      <c r="AR58" s="3" t="b">
        <v>1</v>
      </c>
      <c r="AS58" s="3" t="b">
        <v>1</v>
      </c>
      <c r="AT58" s="3" t="b">
        <v>1</v>
      </c>
      <c r="AU58" s="3" t="b">
        <v>1</v>
      </c>
      <c r="AV58" s="3" t="b">
        <v>1</v>
      </c>
      <c r="AW58" s="3" t="b">
        <f t="shared" si="6"/>
        <v>1</v>
      </c>
      <c r="AX58" s="3" t="b">
        <f t="shared" si="7"/>
        <v>0</v>
      </c>
      <c r="AY58" s="3" t="b">
        <f t="shared" si="8"/>
        <v>0</v>
      </c>
      <c r="AZ58" s="3" t="b">
        <f t="shared" si="9"/>
        <v>0</v>
      </c>
      <c r="BA58" s="3" t="b">
        <f t="shared" si="10"/>
        <v>0</v>
      </c>
      <c r="BB58" s="3" t="b">
        <f t="shared" si="11"/>
        <v>0</v>
      </c>
      <c r="BC58" s="3"/>
      <c r="BD58" s="3" t="s">
        <v>229</v>
      </c>
      <c r="BE58" s="3" t="b">
        <v>1</v>
      </c>
      <c r="BF58" s="3" t="b">
        <v>1</v>
      </c>
      <c r="BG58" s="3" t="b">
        <v>1</v>
      </c>
      <c r="BH58" s="3" t="b">
        <v>1</v>
      </c>
      <c r="BI58" s="3" t="b">
        <v>1</v>
      </c>
      <c r="BJ58" s="3"/>
      <c r="BK58" s="3"/>
      <c r="BL58" s="3"/>
      <c r="BM58" s="3"/>
      <c r="BN58" s="3"/>
      <c r="BO58" s="3" t="s">
        <v>229</v>
      </c>
      <c r="BP58" s="3" t="b">
        <v>1</v>
      </c>
      <c r="BQ58" s="3" t="b">
        <v>1</v>
      </c>
      <c r="BR58" s="3" t="b">
        <v>1</v>
      </c>
      <c r="BS58" s="3" t="b">
        <v>1</v>
      </c>
      <c r="BT58" s="3" t="b">
        <v>1</v>
      </c>
      <c r="BU58" s="3"/>
      <c r="BV58" s="3"/>
      <c r="BW58" s="3"/>
      <c r="BX58" s="3"/>
    </row>
    <row r="59" spans="1:76" x14ac:dyDescent="0.35">
      <c r="A59" s="3"/>
      <c r="B59" s="3" t="s">
        <v>230</v>
      </c>
      <c r="C59" s="3" t="s">
        <v>221</v>
      </c>
      <c r="D59" s="3" t="s">
        <v>222</v>
      </c>
      <c r="E59" s="3" t="s">
        <v>223</v>
      </c>
      <c r="F59" s="3"/>
      <c r="G59" s="3" t="s">
        <v>3572</v>
      </c>
      <c r="H59" s="3" t="s">
        <v>225</v>
      </c>
      <c r="I59" s="3" t="b">
        <v>1</v>
      </c>
      <c r="J59" s="3" t="b">
        <v>1</v>
      </c>
      <c r="K59" s="3" t="b">
        <v>1</v>
      </c>
      <c r="L59" s="3" t="b">
        <v>1</v>
      </c>
      <c r="M59" s="3" t="b">
        <v>1</v>
      </c>
      <c r="N59" s="3" t="b">
        <f t="shared" si="0"/>
        <v>1</v>
      </c>
      <c r="O59" s="3" t="b">
        <f t="shared" si="1"/>
        <v>0</v>
      </c>
      <c r="P59" s="3" t="b">
        <f t="shared" si="2"/>
        <v>0</v>
      </c>
      <c r="Q59" s="3" t="b">
        <f t="shared" si="3"/>
        <v>0</v>
      </c>
      <c r="R59" s="3" t="b">
        <f t="shared" si="4"/>
        <v>0</v>
      </c>
      <c r="S59" s="3" t="b">
        <f t="shared" si="5"/>
        <v>0</v>
      </c>
      <c r="U59" s="3" t="s">
        <v>231</v>
      </c>
      <c r="V59" s="3" t="b">
        <v>1</v>
      </c>
      <c r="W59" s="3" t="b">
        <v>1</v>
      </c>
      <c r="X59" s="3" t="b">
        <v>1</v>
      </c>
      <c r="Y59" s="3" t="b">
        <v>1</v>
      </c>
      <c r="Z59" s="3" t="b">
        <v>1</v>
      </c>
      <c r="AA59" s="3"/>
      <c r="AB59" s="3"/>
      <c r="AC59" s="3"/>
      <c r="AD59" s="3"/>
      <c r="AE59" s="3"/>
      <c r="AF59" s="3" t="s">
        <v>225</v>
      </c>
      <c r="AG59" s="3" t="b">
        <v>1</v>
      </c>
      <c r="AH59" s="3" t="b">
        <v>1</v>
      </c>
      <c r="AI59" s="3" t="b">
        <v>1</v>
      </c>
      <c r="AJ59" s="3" t="b">
        <v>1</v>
      </c>
      <c r="AK59" s="3" t="b">
        <v>1</v>
      </c>
      <c r="AL59" s="3"/>
      <c r="AM59" s="3"/>
      <c r="AN59" s="3"/>
      <c r="AO59" s="3"/>
      <c r="AP59" s="3"/>
      <c r="AQ59" s="3" t="s">
        <v>63</v>
      </c>
      <c r="AR59" s="3" t="b">
        <v>1</v>
      </c>
      <c r="AS59" s="3" t="b">
        <v>1</v>
      </c>
      <c r="AT59" s="3" t="b">
        <v>1</v>
      </c>
      <c r="AU59" s="3" t="b">
        <v>0</v>
      </c>
      <c r="AV59" s="3" t="b">
        <v>0</v>
      </c>
      <c r="AW59" s="3" t="b">
        <f t="shared" si="6"/>
        <v>0</v>
      </c>
      <c r="AX59" s="3" t="b">
        <f t="shared" si="7"/>
        <v>0</v>
      </c>
      <c r="AY59" s="3" t="b">
        <f t="shared" si="8"/>
        <v>1</v>
      </c>
      <c r="AZ59" s="3" t="b">
        <f t="shared" si="9"/>
        <v>0</v>
      </c>
      <c r="BA59" s="3" t="b">
        <f t="shared" si="10"/>
        <v>1</v>
      </c>
      <c r="BB59" s="3" t="b">
        <f t="shared" si="11"/>
        <v>0</v>
      </c>
      <c r="BC59" s="3"/>
      <c r="BD59" s="3" t="s">
        <v>63</v>
      </c>
      <c r="BE59" s="3" t="b">
        <v>1</v>
      </c>
      <c r="BF59" s="3" t="b">
        <v>1</v>
      </c>
      <c r="BG59" s="3" t="b">
        <v>1</v>
      </c>
      <c r="BH59" s="3" t="b">
        <v>0</v>
      </c>
      <c r="BI59" s="3" t="b">
        <v>0</v>
      </c>
      <c r="BJ59" s="3"/>
      <c r="BK59" s="3"/>
      <c r="BL59" s="3"/>
      <c r="BM59" s="3"/>
      <c r="BN59" s="3"/>
      <c r="BO59" s="3" t="s">
        <v>63</v>
      </c>
      <c r="BP59" s="3" t="b">
        <v>1</v>
      </c>
      <c r="BQ59" s="3" t="b">
        <v>1</v>
      </c>
      <c r="BR59" s="3" t="b">
        <v>1</v>
      </c>
      <c r="BS59" s="3" t="b">
        <v>0</v>
      </c>
      <c r="BT59" s="3" t="b">
        <v>0</v>
      </c>
      <c r="BU59" s="3"/>
      <c r="BV59" s="3"/>
      <c r="BW59" s="3"/>
      <c r="BX59" s="3"/>
    </row>
    <row r="60" spans="1:76" x14ac:dyDescent="0.35">
      <c r="A60" s="3"/>
      <c r="B60" s="3" t="s">
        <v>232</v>
      </c>
      <c r="C60" s="3" t="s">
        <v>221</v>
      </c>
      <c r="D60" s="3" t="s">
        <v>222</v>
      </c>
      <c r="E60" s="3" t="s">
        <v>223</v>
      </c>
      <c r="F60" s="3"/>
      <c r="G60" s="3" t="s">
        <v>3573</v>
      </c>
      <c r="H60" s="3" t="s">
        <v>231</v>
      </c>
      <c r="I60" s="3" t="b">
        <v>1</v>
      </c>
      <c r="J60" s="3" t="b">
        <v>1</v>
      </c>
      <c r="K60" s="3" t="b">
        <v>1</v>
      </c>
      <c r="L60" s="3" t="b">
        <v>1</v>
      </c>
      <c r="M60" s="3" t="b">
        <v>1</v>
      </c>
      <c r="N60" s="3" t="b">
        <f t="shared" si="0"/>
        <v>1</v>
      </c>
      <c r="O60" s="3" t="b">
        <f t="shared" si="1"/>
        <v>0</v>
      </c>
      <c r="P60" s="3" t="b">
        <f t="shared" si="2"/>
        <v>0</v>
      </c>
      <c r="Q60" s="3" t="b">
        <f t="shared" si="3"/>
        <v>0</v>
      </c>
      <c r="R60" s="3" t="b">
        <f t="shared" si="4"/>
        <v>0</v>
      </c>
      <c r="S60" s="3" t="b">
        <f t="shared" si="5"/>
        <v>0</v>
      </c>
      <c r="U60" s="3" t="s">
        <v>225</v>
      </c>
      <c r="V60" s="3" t="b">
        <v>1</v>
      </c>
      <c r="W60" s="3" t="b">
        <v>1</v>
      </c>
      <c r="X60" s="3" t="b">
        <v>1</v>
      </c>
      <c r="Y60" s="3" t="b">
        <v>1</v>
      </c>
      <c r="Z60" s="3" t="b">
        <v>1</v>
      </c>
      <c r="AA60" s="3"/>
      <c r="AB60" s="3"/>
      <c r="AC60" s="3"/>
      <c r="AD60" s="3"/>
      <c r="AE60" s="3"/>
      <c r="AF60" s="3" t="s">
        <v>225</v>
      </c>
      <c r="AG60" s="3" t="b">
        <v>1</v>
      </c>
      <c r="AH60" s="3" t="b">
        <v>1</v>
      </c>
      <c r="AI60" s="3" t="b">
        <v>1</v>
      </c>
      <c r="AJ60" s="3" t="b">
        <v>1</v>
      </c>
      <c r="AK60" s="3" t="b">
        <v>1</v>
      </c>
      <c r="AL60" s="3"/>
      <c r="AM60" s="3"/>
      <c r="AN60" s="3"/>
      <c r="AO60" s="3"/>
      <c r="AP60" s="3"/>
      <c r="AQ60" s="3" t="s">
        <v>63</v>
      </c>
      <c r="AR60" s="3" t="b">
        <v>1</v>
      </c>
      <c r="AS60" s="3" t="b">
        <v>1</v>
      </c>
      <c r="AT60" s="3" t="b">
        <v>1</v>
      </c>
      <c r="AU60" s="3" t="b">
        <v>0</v>
      </c>
      <c r="AV60" s="3" t="b">
        <v>0</v>
      </c>
      <c r="AW60" s="3" t="b">
        <f t="shared" si="6"/>
        <v>0</v>
      </c>
      <c r="AX60" s="3" t="b">
        <f t="shared" si="7"/>
        <v>0</v>
      </c>
      <c r="AY60" s="3" t="b">
        <f t="shared" si="8"/>
        <v>1</v>
      </c>
      <c r="AZ60" s="3" t="b">
        <f t="shared" si="9"/>
        <v>0</v>
      </c>
      <c r="BA60" s="3" t="b">
        <f t="shared" si="10"/>
        <v>1</v>
      </c>
      <c r="BB60" s="3" t="b">
        <f t="shared" si="11"/>
        <v>0</v>
      </c>
      <c r="BC60" s="3"/>
      <c r="BD60" s="3" t="s">
        <v>225</v>
      </c>
      <c r="BE60" s="3" t="b">
        <v>1</v>
      </c>
      <c r="BF60" s="3" t="b">
        <v>1</v>
      </c>
      <c r="BG60" s="3" t="b">
        <v>1</v>
      </c>
      <c r="BH60" s="3" t="b">
        <v>1</v>
      </c>
      <c r="BI60" s="3" t="b">
        <v>1</v>
      </c>
      <c r="BJ60" s="3"/>
      <c r="BK60" s="3"/>
      <c r="BL60" s="3"/>
      <c r="BM60" s="3"/>
      <c r="BN60" s="3"/>
      <c r="BO60" s="3" t="s">
        <v>225</v>
      </c>
      <c r="BP60" s="3" t="b">
        <v>1</v>
      </c>
      <c r="BQ60" s="3" t="b">
        <v>1</v>
      </c>
      <c r="BR60" s="3" t="b">
        <v>1</v>
      </c>
      <c r="BS60" s="3" t="b">
        <v>1</v>
      </c>
      <c r="BT60" s="3" t="b">
        <v>1</v>
      </c>
      <c r="BU60" s="3"/>
      <c r="BV60" s="3"/>
      <c r="BW60" s="3"/>
      <c r="BX60" s="3"/>
    </row>
    <row r="61" spans="1:76" x14ac:dyDescent="0.35">
      <c r="A61" s="3"/>
      <c r="B61" s="3" t="s">
        <v>105</v>
      </c>
      <c r="C61" s="3" t="s">
        <v>25</v>
      </c>
      <c r="D61" s="3"/>
      <c r="E61" s="3"/>
      <c r="F61" s="3"/>
      <c r="G61" s="3" t="s">
        <v>3574</v>
      </c>
      <c r="H61" s="3" t="s">
        <v>28</v>
      </c>
      <c r="I61" s="3" t="b">
        <v>1</v>
      </c>
      <c r="J61" s="3" t="b">
        <v>1</v>
      </c>
      <c r="K61" s="3" t="b">
        <v>1</v>
      </c>
      <c r="L61" s="3" t="b">
        <v>1</v>
      </c>
      <c r="M61" s="3" t="b">
        <v>1</v>
      </c>
      <c r="N61" s="3" t="b">
        <f t="shared" si="0"/>
        <v>1</v>
      </c>
      <c r="O61" s="3" t="b">
        <f t="shared" si="1"/>
        <v>0</v>
      </c>
      <c r="P61" s="3" t="b">
        <f t="shared" si="2"/>
        <v>0</v>
      </c>
      <c r="Q61" s="3" t="b">
        <f t="shared" si="3"/>
        <v>0</v>
      </c>
      <c r="R61" s="3" t="b">
        <f t="shared" si="4"/>
        <v>0</v>
      </c>
      <c r="S61" s="3" t="b">
        <f t="shared" si="5"/>
        <v>0</v>
      </c>
      <c r="U61" s="3" t="s">
        <v>28</v>
      </c>
      <c r="V61" s="3" t="b">
        <v>1</v>
      </c>
      <c r="W61" s="3" t="b">
        <v>1</v>
      </c>
      <c r="X61" s="3" t="b">
        <v>1</v>
      </c>
      <c r="Y61" s="3" t="b">
        <v>1</v>
      </c>
      <c r="Z61" s="3" t="b">
        <v>1</v>
      </c>
      <c r="AA61" s="3"/>
      <c r="AB61" s="3"/>
      <c r="AC61" s="3"/>
      <c r="AD61" s="3"/>
      <c r="AE61" s="3"/>
      <c r="AF61" s="3" t="s">
        <v>28</v>
      </c>
      <c r="AG61" s="3" t="b">
        <v>1</v>
      </c>
      <c r="AH61" s="3" t="b">
        <v>1</v>
      </c>
      <c r="AI61" s="3" t="b">
        <v>1</v>
      </c>
      <c r="AJ61" s="3" t="b">
        <v>1</v>
      </c>
      <c r="AK61" s="3" t="b">
        <v>1</v>
      </c>
      <c r="AL61" s="3"/>
      <c r="AM61" s="3"/>
      <c r="AN61" s="3"/>
      <c r="AO61" s="3"/>
      <c r="AP61" s="3"/>
      <c r="AQ61" s="3" t="s">
        <v>28</v>
      </c>
      <c r="AR61" s="3" t="b">
        <v>1</v>
      </c>
      <c r="AS61" s="3" t="b">
        <v>1</v>
      </c>
      <c r="AT61" s="3" t="b">
        <v>1</v>
      </c>
      <c r="AU61" s="3" t="b">
        <v>1</v>
      </c>
      <c r="AV61" s="3" t="b">
        <v>1</v>
      </c>
      <c r="AW61" s="3" t="b">
        <f t="shared" si="6"/>
        <v>1</v>
      </c>
      <c r="AX61" s="3" t="b">
        <f t="shared" si="7"/>
        <v>0</v>
      </c>
      <c r="AY61" s="3" t="b">
        <f t="shared" si="8"/>
        <v>0</v>
      </c>
      <c r="AZ61" s="3" t="b">
        <f t="shared" si="9"/>
        <v>0</v>
      </c>
      <c r="BA61" s="3" t="b">
        <f t="shared" si="10"/>
        <v>0</v>
      </c>
      <c r="BB61" s="3" t="b">
        <f t="shared" si="11"/>
        <v>0</v>
      </c>
      <c r="BC61" s="3"/>
      <c r="BD61" s="3" t="s">
        <v>28</v>
      </c>
      <c r="BE61" s="3" t="b">
        <v>1</v>
      </c>
      <c r="BF61" s="3" t="b">
        <v>1</v>
      </c>
      <c r="BG61" s="3" t="b">
        <v>1</v>
      </c>
      <c r="BH61" s="3" t="b">
        <v>1</v>
      </c>
      <c r="BI61" s="3" t="b">
        <v>1</v>
      </c>
      <c r="BJ61" s="3"/>
      <c r="BK61" s="3"/>
      <c r="BL61" s="3"/>
      <c r="BM61" s="3"/>
      <c r="BN61" s="3"/>
      <c r="BO61" s="3" t="s">
        <v>28</v>
      </c>
      <c r="BP61" s="3" t="b">
        <v>1</v>
      </c>
      <c r="BQ61" s="3" t="b">
        <v>1</v>
      </c>
      <c r="BR61" s="3" t="b">
        <v>1</v>
      </c>
      <c r="BS61" s="3" t="b">
        <v>1</v>
      </c>
      <c r="BT61" s="3" t="b">
        <v>1</v>
      </c>
      <c r="BU61" s="3"/>
      <c r="BV61" s="3"/>
      <c r="BW61" s="3"/>
      <c r="BX61" s="3"/>
    </row>
    <row r="62" spans="1:76" x14ac:dyDescent="0.35">
      <c r="A62" s="3"/>
      <c r="B62" s="3"/>
      <c r="C62" s="3" t="s">
        <v>29</v>
      </c>
      <c r="D62" s="3"/>
      <c r="E62" s="3"/>
      <c r="F62" s="3"/>
      <c r="G62" s="3" t="s">
        <v>3575</v>
      </c>
      <c r="H62" s="3" t="s">
        <v>28</v>
      </c>
      <c r="I62" s="3" t="b">
        <v>1</v>
      </c>
      <c r="J62" s="3" t="b">
        <v>1</v>
      </c>
      <c r="K62" s="3" t="b">
        <v>1</v>
      </c>
      <c r="L62" s="3" t="b">
        <v>1</v>
      </c>
      <c r="M62" s="3" t="b">
        <v>1</v>
      </c>
      <c r="N62" s="3" t="b">
        <f t="shared" si="0"/>
        <v>1</v>
      </c>
      <c r="O62" s="3" t="b">
        <f t="shared" si="1"/>
        <v>0</v>
      </c>
      <c r="P62" s="3" t="b">
        <f t="shared" si="2"/>
        <v>0</v>
      </c>
      <c r="Q62" s="3" t="b">
        <f t="shared" si="3"/>
        <v>0</v>
      </c>
      <c r="R62" s="3" t="b">
        <f t="shared" si="4"/>
        <v>0</v>
      </c>
      <c r="S62" s="3" t="b">
        <f t="shared" si="5"/>
        <v>0</v>
      </c>
      <c r="U62" s="3" t="s">
        <v>28</v>
      </c>
      <c r="V62" s="3" t="b">
        <v>1</v>
      </c>
      <c r="W62" s="3" t="b">
        <v>1</v>
      </c>
      <c r="X62" s="3" t="b">
        <v>1</v>
      </c>
      <c r="Y62" s="3" t="b">
        <v>1</v>
      </c>
      <c r="Z62" s="3" t="b">
        <v>1</v>
      </c>
      <c r="AA62" s="3"/>
      <c r="AB62" s="3"/>
      <c r="AC62" s="3"/>
      <c r="AD62" s="3"/>
      <c r="AE62" s="3"/>
      <c r="AF62" s="3" t="s">
        <v>27</v>
      </c>
      <c r="AG62" s="3" t="b">
        <v>1</v>
      </c>
      <c r="AH62" s="3" t="b">
        <v>1</v>
      </c>
      <c r="AI62" s="3" t="b">
        <v>1</v>
      </c>
      <c r="AJ62" s="3" t="b">
        <v>1</v>
      </c>
      <c r="AK62" s="3" t="b">
        <v>1</v>
      </c>
      <c r="AL62" s="3"/>
      <c r="AM62" s="3"/>
      <c r="AN62" s="3"/>
      <c r="AO62" s="3"/>
      <c r="AP62" s="3"/>
      <c r="AQ62" s="3" t="s">
        <v>28</v>
      </c>
      <c r="AR62" s="3" t="b">
        <v>1</v>
      </c>
      <c r="AS62" s="3" t="b">
        <v>1</v>
      </c>
      <c r="AT62" s="3" t="b">
        <v>1</v>
      </c>
      <c r="AU62" s="3" t="b">
        <v>1</v>
      </c>
      <c r="AV62" s="3" t="b">
        <v>1</v>
      </c>
      <c r="AW62" s="3" t="b">
        <f t="shared" si="6"/>
        <v>1</v>
      </c>
      <c r="AX62" s="3" t="b">
        <f t="shared" si="7"/>
        <v>0</v>
      </c>
      <c r="AY62" s="3" t="b">
        <f t="shared" si="8"/>
        <v>0</v>
      </c>
      <c r="AZ62" s="3" t="b">
        <f t="shared" si="9"/>
        <v>0</v>
      </c>
      <c r="BA62" s="3" t="b">
        <f t="shared" si="10"/>
        <v>0</v>
      </c>
      <c r="BB62" s="3" t="b">
        <f t="shared" si="11"/>
        <v>0</v>
      </c>
      <c r="BC62" s="3"/>
      <c r="BD62" s="3" t="s">
        <v>28</v>
      </c>
      <c r="BE62" s="3" t="b">
        <v>1</v>
      </c>
      <c r="BF62" s="3" t="b">
        <v>1</v>
      </c>
      <c r="BG62" s="3" t="b">
        <v>1</v>
      </c>
      <c r="BH62" s="3" t="b">
        <v>1</v>
      </c>
      <c r="BI62" s="3" t="b">
        <v>1</v>
      </c>
      <c r="BJ62" s="3"/>
      <c r="BK62" s="3"/>
      <c r="BL62" s="3"/>
      <c r="BM62" s="3"/>
      <c r="BN62" s="3"/>
      <c r="BO62" s="3" t="s">
        <v>28</v>
      </c>
      <c r="BP62" s="3" t="b">
        <v>1</v>
      </c>
      <c r="BQ62" s="3" t="b">
        <v>1</v>
      </c>
      <c r="BR62" s="3" t="b">
        <v>1</v>
      </c>
      <c r="BS62" s="3" t="b">
        <v>1</v>
      </c>
      <c r="BT62" s="3" t="b">
        <v>1</v>
      </c>
      <c r="BU62" s="3"/>
      <c r="BV62" s="3"/>
      <c r="BW62" s="3"/>
      <c r="BX62" s="3"/>
    </row>
    <row r="63" spans="1:76" x14ac:dyDescent="0.35">
      <c r="A63" s="3"/>
      <c r="B63" s="3" t="s">
        <v>108</v>
      </c>
      <c r="C63" s="3" t="s">
        <v>109</v>
      </c>
      <c r="D63" s="3"/>
      <c r="E63" s="3"/>
      <c r="F63" s="3"/>
      <c r="G63" s="3" t="s">
        <v>3576</v>
      </c>
      <c r="H63" s="3" t="s">
        <v>111</v>
      </c>
      <c r="I63" s="3" t="b">
        <v>1</v>
      </c>
      <c r="J63" s="3" t="b">
        <v>1</v>
      </c>
      <c r="K63" s="3" t="b">
        <v>1</v>
      </c>
      <c r="L63" s="3" t="b">
        <v>1</v>
      </c>
      <c r="M63" s="3" t="b">
        <v>1</v>
      </c>
      <c r="N63" s="3" t="b">
        <f t="shared" si="0"/>
        <v>1</v>
      </c>
      <c r="O63" s="3" t="b">
        <f t="shared" si="1"/>
        <v>0</v>
      </c>
      <c r="P63" s="3" t="b">
        <f t="shared" si="2"/>
        <v>0</v>
      </c>
      <c r="Q63" s="3" t="b">
        <f t="shared" si="3"/>
        <v>0</v>
      </c>
      <c r="R63" s="3" t="b">
        <f t="shared" si="4"/>
        <v>0</v>
      </c>
      <c r="S63" s="3" t="b">
        <f t="shared" si="5"/>
        <v>0</v>
      </c>
      <c r="U63" s="3" t="s">
        <v>111</v>
      </c>
      <c r="V63" s="3" t="b">
        <v>1</v>
      </c>
      <c r="W63" s="3" t="b">
        <v>1</v>
      </c>
      <c r="X63" s="3" t="b">
        <v>1</v>
      </c>
      <c r="Y63" s="3" t="b">
        <v>1</v>
      </c>
      <c r="Z63" s="3" t="b">
        <v>1</v>
      </c>
      <c r="AA63" s="3"/>
      <c r="AB63" s="3"/>
      <c r="AC63" s="3"/>
      <c r="AD63" s="3"/>
      <c r="AE63" s="3"/>
      <c r="AF63" s="3" t="s">
        <v>111</v>
      </c>
      <c r="AG63" s="3" t="b">
        <v>1</v>
      </c>
      <c r="AH63" s="3" t="b">
        <v>1</v>
      </c>
      <c r="AI63" s="3" t="b">
        <v>1</v>
      </c>
      <c r="AJ63" s="3" t="b">
        <v>1</v>
      </c>
      <c r="AK63" s="3" t="b">
        <v>1</v>
      </c>
      <c r="AL63" s="3"/>
      <c r="AM63" s="3"/>
      <c r="AN63" s="3"/>
      <c r="AO63" s="3"/>
      <c r="AP63" s="3"/>
      <c r="AQ63" s="3" t="s">
        <v>112</v>
      </c>
      <c r="AR63" s="3" t="b">
        <v>1</v>
      </c>
      <c r="AS63" s="3" t="b">
        <v>1</v>
      </c>
      <c r="AT63" s="3" t="b">
        <v>1</v>
      </c>
      <c r="AU63" s="3" t="b">
        <v>1</v>
      </c>
      <c r="AV63" s="3" t="b">
        <v>1</v>
      </c>
      <c r="AW63" s="3" t="b">
        <f t="shared" si="6"/>
        <v>1</v>
      </c>
      <c r="AX63" s="3" t="b">
        <f t="shared" si="7"/>
        <v>0</v>
      </c>
      <c r="AY63" s="3" t="b">
        <f t="shared" si="8"/>
        <v>0</v>
      </c>
      <c r="AZ63" s="3" t="b">
        <f t="shared" si="9"/>
        <v>0</v>
      </c>
      <c r="BA63" s="3" t="b">
        <f t="shared" si="10"/>
        <v>0</v>
      </c>
      <c r="BB63" s="3" t="b">
        <f t="shared" si="11"/>
        <v>0</v>
      </c>
      <c r="BC63" s="3"/>
      <c r="BD63" s="3" t="s">
        <v>112</v>
      </c>
      <c r="BE63" s="3" t="b">
        <v>1</v>
      </c>
      <c r="BF63" s="3" t="b">
        <v>1</v>
      </c>
      <c r="BG63" s="3" t="b">
        <v>1</v>
      </c>
      <c r="BH63" s="3" t="b">
        <v>1</v>
      </c>
      <c r="BI63" s="3" t="b">
        <v>1</v>
      </c>
      <c r="BJ63" s="3"/>
      <c r="BK63" s="3"/>
      <c r="BL63" s="3"/>
      <c r="BM63" s="3"/>
      <c r="BN63" s="3"/>
      <c r="BO63" s="3" t="s">
        <v>236</v>
      </c>
      <c r="BP63" s="3" t="b">
        <v>1</v>
      </c>
      <c r="BQ63" s="3" t="b">
        <v>0</v>
      </c>
      <c r="BR63" s="3" t="b">
        <v>0</v>
      </c>
      <c r="BS63" s="3" t="b">
        <v>1</v>
      </c>
      <c r="BT63" s="3" t="b">
        <v>0</v>
      </c>
      <c r="BU63" s="3"/>
      <c r="BV63" s="3"/>
      <c r="BW63" s="3"/>
      <c r="BX63" s="3"/>
    </row>
    <row r="64" spans="1:76" x14ac:dyDescent="0.35">
      <c r="A64" s="3"/>
      <c r="B64" s="3"/>
      <c r="C64" s="3" t="s">
        <v>237</v>
      </c>
      <c r="D64" s="3"/>
      <c r="E64" s="3"/>
      <c r="F64" s="3"/>
      <c r="G64" s="3" t="s">
        <v>3577</v>
      </c>
      <c r="H64" s="3" t="s">
        <v>239</v>
      </c>
      <c r="I64" s="3" t="b">
        <v>1</v>
      </c>
      <c r="J64" s="3" t="b">
        <v>1</v>
      </c>
      <c r="K64" s="3" t="b">
        <v>1</v>
      </c>
      <c r="L64" s="3" t="b">
        <v>1</v>
      </c>
      <c r="M64" s="3" t="b">
        <v>0</v>
      </c>
      <c r="N64" s="3" t="b">
        <f t="shared" si="0"/>
        <v>0</v>
      </c>
      <c r="O64" s="3" t="b">
        <f t="shared" si="1"/>
        <v>1</v>
      </c>
      <c r="P64" s="3" t="b">
        <f t="shared" si="2"/>
        <v>0</v>
      </c>
      <c r="Q64" s="3" t="b">
        <f t="shared" si="3"/>
        <v>0</v>
      </c>
      <c r="R64" s="3" t="b">
        <f t="shared" si="4"/>
        <v>1</v>
      </c>
      <c r="S64" s="3" t="b">
        <f t="shared" si="5"/>
        <v>0</v>
      </c>
      <c r="U64" s="3" t="s">
        <v>122</v>
      </c>
      <c r="V64" s="3" t="b">
        <v>1</v>
      </c>
      <c r="W64" s="3" t="b">
        <v>1</v>
      </c>
      <c r="X64" s="3" t="b">
        <v>1</v>
      </c>
      <c r="Y64" s="3" t="b">
        <v>1</v>
      </c>
      <c r="Z64" s="3" t="b">
        <v>1</v>
      </c>
      <c r="AA64" s="3"/>
      <c r="AB64" s="3"/>
      <c r="AC64" s="3"/>
      <c r="AD64" s="3"/>
      <c r="AE64" s="3"/>
      <c r="AF64" s="3" t="s">
        <v>122</v>
      </c>
      <c r="AG64" s="3" t="b">
        <v>1</v>
      </c>
      <c r="AH64" s="3" t="b">
        <v>1</v>
      </c>
      <c r="AI64" s="3" t="b">
        <v>1</v>
      </c>
      <c r="AJ64" s="3" t="b">
        <v>1</v>
      </c>
      <c r="AK64" s="3" t="b">
        <v>1</v>
      </c>
      <c r="AL64" s="3"/>
      <c r="AM64" s="3"/>
      <c r="AN64" s="3"/>
      <c r="AO64" s="3"/>
      <c r="AP64" s="3"/>
      <c r="AQ64" s="3" t="s">
        <v>122</v>
      </c>
      <c r="AR64" s="3" t="b">
        <v>1</v>
      </c>
      <c r="AS64" s="3" t="b">
        <v>1</v>
      </c>
      <c r="AT64" s="3" t="b">
        <v>1</v>
      </c>
      <c r="AU64" s="3" t="b">
        <v>1</v>
      </c>
      <c r="AV64" s="3" t="b">
        <v>1</v>
      </c>
      <c r="AW64" s="3" t="b">
        <f t="shared" si="6"/>
        <v>1</v>
      </c>
      <c r="AX64" s="3" t="b">
        <f t="shared" si="7"/>
        <v>0</v>
      </c>
      <c r="AY64" s="3" t="b">
        <f t="shared" si="8"/>
        <v>0</v>
      </c>
      <c r="AZ64" s="3" t="b">
        <f t="shared" si="9"/>
        <v>0</v>
      </c>
      <c r="BA64" s="3" t="b">
        <f t="shared" si="10"/>
        <v>0</v>
      </c>
      <c r="BB64" s="3" t="b">
        <f t="shared" si="11"/>
        <v>0</v>
      </c>
      <c r="BC64" s="3"/>
      <c r="BD64" s="3" t="s">
        <v>240</v>
      </c>
      <c r="BE64" s="3" t="b">
        <v>1</v>
      </c>
      <c r="BF64" s="3" t="b">
        <v>1</v>
      </c>
      <c r="BG64" s="3" t="b">
        <v>1</v>
      </c>
      <c r="BH64" s="3" t="b">
        <v>1</v>
      </c>
      <c r="BI64" s="3" t="b">
        <v>0</v>
      </c>
      <c r="BJ64" s="3"/>
      <c r="BK64" s="3"/>
      <c r="BL64" s="3"/>
      <c r="BM64" s="3"/>
      <c r="BN64" s="3"/>
      <c r="BO64" s="3" t="s">
        <v>240</v>
      </c>
      <c r="BP64" s="3" t="b">
        <v>1</v>
      </c>
      <c r="BQ64" s="3" t="b">
        <v>1</v>
      </c>
      <c r="BR64" s="3" t="b">
        <v>1</v>
      </c>
      <c r="BS64" s="3" t="b">
        <v>1</v>
      </c>
      <c r="BT64" s="3" t="b">
        <v>0</v>
      </c>
      <c r="BU64" s="3"/>
      <c r="BV64" s="3"/>
      <c r="BW64" s="3"/>
      <c r="BX64" s="3"/>
    </row>
    <row r="65" spans="1:76" x14ac:dyDescent="0.35">
      <c r="A65" s="3"/>
      <c r="B65" s="3"/>
      <c r="C65" s="3" t="s">
        <v>131</v>
      </c>
      <c r="D65" s="3"/>
      <c r="E65" s="3"/>
      <c r="F65" s="3"/>
      <c r="G65" s="3" t="s">
        <v>3578</v>
      </c>
      <c r="H65" s="3" t="s">
        <v>133</v>
      </c>
      <c r="I65" s="3" t="b">
        <v>1</v>
      </c>
      <c r="J65" s="3" t="b">
        <v>1</v>
      </c>
      <c r="K65" s="3" t="b">
        <v>1</v>
      </c>
      <c r="L65" s="3" t="b">
        <v>1</v>
      </c>
      <c r="M65" s="3" t="b">
        <v>1</v>
      </c>
      <c r="N65" s="3" t="b">
        <f t="shared" si="0"/>
        <v>1</v>
      </c>
      <c r="O65" s="3" t="b">
        <f t="shared" si="1"/>
        <v>0</v>
      </c>
      <c r="P65" s="3" t="b">
        <f t="shared" si="2"/>
        <v>0</v>
      </c>
      <c r="Q65" s="3" t="b">
        <f t="shared" si="3"/>
        <v>0</v>
      </c>
      <c r="R65" s="3" t="b">
        <f t="shared" si="4"/>
        <v>0</v>
      </c>
      <c r="S65" s="3" t="b">
        <f t="shared" si="5"/>
        <v>0</v>
      </c>
      <c r="U65" s="3" t="s">
        <v>133</v>
      </c>
      <c r="V65" s="3" t="b">
        <v>1</v>
      </c>
      <c r="W65" s="3" t="b">
        <v>1</v>
      </c>
      <c r="X65" s="3" t="b">
        <v>1</v>
      </c>
      <c r="Y65" s="3" t="b">
        <v>1</v>
      </c>
      <c r="Z65" s="3" t="b">
        <v>1</v>
      </c>
      <c r="AA65" s="3"/>
      <c r="AB65" s="3"/>
      <c r="AC65" s="3"/>
      <c r="AD65" s="3"/>
      <c r="AE65" s="3"/>
      <c r="AF65" s="3" t="s">
        <v>133</v>
      </c>
      <c r="AG65" s="3" t="b">
        <v>1</v>
      </c>
      <c r="AH65" s="3" t="b">
        <v>1</v>
      </c>
      <c r="AI65" s="3" t="b">
        <v>1</v>
      </c>
      <c r="AJ65" s="3" t="b">
        <v>1</v>
      </c>
      <c r="AK65" s="3" t="b">
        <v>1</v>
      </c>
      <c r="AL65" s="3"/>
      <c r="AM65" s="3"/>
      <c r="AN65" s="3"/>
      <c r="AO65" s="3"/>
      <c r="AP65" s="3"/>
      <c r="AQ65" s="3" t="s">
        <v>133</v>
      </c>
      <c r="AR65" s="3" t="b">
        <v>1</v>
      </c>
      <c r="AS65" s="3" t="b">
        <v>1</v>
      </c>
      <c r="AT65" s="3" t="b">
        <v>1</v>
      </c>
      <c r="AU65" s="3" t="b">
        <v>1</v>
      </c>
      <c r="AV65" s="3" t="b">
        <v>1</v>
      </c>
      <c r="AW65" s="3" t="b">
        <f t="shared" si="6"/>
        <v>1</v>
      </c>
      <c r="AX65" s="3" t="b">
        <f t="shared" si="7"/>
        <v>0</v>
      </c>
      <c r="AY65" s="3" t="b">
        <f t="shared" si="8"/>
        <v>0</v>
      </c>
      <c r="AZ65" s="3" t="b">
        <f t="shared" si="9"/>
        <v>0</v>
      </c>
      <c r="BA65" s="3" t="b">
        <f t="shared" si="10"/>
        <v>0</v>
      </c>
      <c r="BB65" s="3" t="b">
        <f t="shared" si="11"/>
        <v>0</v>
      </c>
      <c r="BC65" s="3"/>
      <c r="BD65" s="3" t="s">
        <v>133</v>
      </c>
      <c r="BE65" s="3" t="b">
        <v>1</v>
      </c>
      <c r="BF65" s="3" t="b">
        <v>1</v>
      </c>
      <c r="BG65" s="3" t="b">
        <v>1</v>
      </c>
      <c r="BH65" s="3" t="b">
        <v>1</v>
      </c>
      <c r="BI65" s="3" t="b">
        <v>1</v>
      </c>
      <c r="BJ65" s="3"/>
      <c r="BK65" s="3"/>
      <c r="BL65" s="3"/>
      <c r="BM65" s="3"/>
      <c r="BN65" s="3"/>
      <c r="BO65" s="3" t="s">
        <v>133</v>
      </c>
      <c r="BP65" s="3" t="b">
        <v>1</v>
      </c>
      <c r="BQ65" s="3" t="b">
        <v>1</v>
      </c>
      <c r="BR65" s="3" t="b">
        <v>1</v>
      </c>
      <c r="BS65" s="3" t="b">
        <v>1</v>
      </c>
      <c r="BT65" s="3" t="b">
        <v>1</v>
      </c>
      <c r="BU65" s="3"/>
      <c r="BV65" s="3"/>
      <c r="BW65" s="3"/>
      <c r="BX65" s="3"/>
    </row>
    <row r="66" spans="1:76" x14ac:dyDescent="0.35">
      <c r="A66" s="5"/>
      <c r="B66" s="5" t="s">
        <v>242</v>
      </c>
      <c r="C66" s="5" t="s">
        <v>131</v>
      </c>
      <c r="D66" s="5"/>
      <c r="E66" s="5"/>
      <c r="F66" s="5"/>
      <c r="G66" s="5"/>
      <c r="H66" s="5"/>
      <c r="I66" s="5"/>
      <c r="J66" s="5"/>
      <c r="K66" s="5"/>
      <c r="L66" s="5"/>
      <c r="M66" s="5"/>
      <c r="N66" s="3">
        <f t="shared" si="0"/>
        <v>0</v>
      </c>
      <c r="O66" s="3">
        <f t="shared" si="1"/>
        <v>0</v>
      </c>
      <c r="P66" s="3">
        <f t="shared" si="2"/>
        <v>0</v>
      </c>
      <c r="Q66" s="3">
        <f t="shared" si="3"/>
        <v>0</v>
      </c>
      <c r="R66" s="3">
        <f t="shared" si="4"/>
        <v>0</v>
      </c>
      <c r="S66" s="3">
        <f t="shared" si="5"/>
        <v>0</v>
      </c>
      <c r="U66" s="5"/>
      <c r="V66" s="5"/>
      <c r="W66" s="5"/>
      <c r="X66" s="5"/>
      <c r="Y66" s="5"/>
      <c r="Z66" s="5"/>
      <c r="AA66" s="3"/>
      <c r="AB66" s="3"/>
      <c r="AC66" s="3"/>
      <c r="AD66" s="3"/>
      <c r="AE66" s="5"/>
      <c r="AF66" s="5"/>
      <c r="AG66" s="5"/>
      <c r="AH66" s="5"/>
      <c r="AI66" s="5"/>
      <c r="AJ66" s="5"/>
      <c r="AK66" s="5"/>
      <c r="AL66" s="3"/>
      <c r="AM66" s="3"/>
      <c r="AN66" s="3"/>
      <c r="AO66" s="3"/>
      <c r="AP66" s="5"/>
      <c r="AQ66" s="5"/>
      <c r="AR66" s="5"/>
      <c r="AS66" s="5"/>
      <c r="AT66" s="5"/>
      <c r="AU66" s="5"/>
      <c r="AV66" s="5"/>
      <c r="AW66" s="3">
        <f t="shared" si="6"/>
        <v>0</v>
      </c>
      <c r="AX66" s="3">
        <f t="shared" si="7"/>
        <v>0</v>
      </c>
      <c r="AY66" s="3">
        <f t="shared" si="8"/>
        <v>0</v>
      </c>
      <c r="AZ66" s="3">
        <f t="shared" si="9"/>
        <v>0</v>
      </c>
      <c r="BA66" s="3">
        <f t="shared" si="10"/>
        <v>0</v>
      </c>
      <c r="BB66" s="3">
        <f t="shared" si="11"/>
        <v>0</v>
      </c>
      <c r="BC66" s="5"/>
      <c r="BD66" s="5"/>
      <c r="BE66" s="5"/>
      <c r="BF66" s="5"/>
      <c r="BG66" s="5"/>
      <c r="BH66" s="5"/>
      <c r="BI66" s="5"/>
      <c r="BJ66" s="5"/>
      <c r="BK66" s="5"/>
      <c r="BL66" s="5"/>
      <c r="BM66" s="5"/>
      <c r="BN66" s="5"/>
      <c r="BO66" s="5"/>
      <c r="BP66" s="5"/>
      <c r="BQ66" s="5"/>
      <c r="BR66" s="5"/>
      <c r="BS66" s="5"/>
      <c r="BT66" s="5"/>
      <c r="BU66" s="5"/>
      <c r="BV66" s="5"/>
      <c r="BW66" s="5"/>
      <c r="BX66" s="5"/>
    </row>
    <row r="67" spans="1:76" x14ac:dyDescent="0.35">
      <c r="A67" s="3"/>
      <c r="B67" s="3" t="s">
        <v>243</v>
      </c>
      <c r="C67" s="3"/>
      <c r="D67" s="3"/>
      <c r="E67" s="3"/>
      <c r="F67" s="3"/>
      <c r="G67" s="3"/>
      <c r="H67" s="3"/>
      <c r="I67" s="3"/>
      <c r="J67" s="3"/>
      <c r="K67" s="3"/>
      <c r="L67" s="3"/>
      <c r="M67" s="3"/>
      <c r="N67" s="3">
        <f t="shared" si="0"/>
        <v>0</v>
      </c>
      <c r="O67" s="3">
        <f t="shared" si="1"/>
        <v>0</v>
      </c>
      <c r="P67" s="3">
        <f t="shared" si="2"/>
        <v>0</v>
      </c>
      <c r="Q67" s="3">
        <f t="shared" si="3"/>
        <v>0</v>
      </c>
      <c r="R67" s="3">
        <f t="shared" si="4"/>
        <v>0</v>
      </c>
      <c r="S67" s="3">
        <f t="shared" si="5"/>
        <v>0</v>
      </c>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f t="shared" si="6"/>
        <v>0</v>
      </c>
      <c r="AX67" s="3">
        <f t="shared" si="7"/>
        <v>0</v>
      </c>
      <c r="AY67" s="3">
        <f t="shared" si="8"/>
        <v>0</v>
      </c>
      <c r="AZ67" s="3">
        <f t="shared" si="9"/>
        <v>0</v>
      </c>
      <c r="BA67" s="3">
        <f t="shared" si="10"/>
        <v>0</v>
      </c>
      <c r="BB67" s="3">
        <f t="shared" si="11"/>
        <v>0</v>
      </c>
      <c r="BC67" s="3"/>
      <c r="BD67" s="3"/>
      <c r="BE67" s="3"/>
      <c r="BF67" s="3"/>
      <c r="BG67" s="3"/>
      <c r="BH67" s="3"/>
      <c r="BI67" s="3"/>
      <c r="BJ67" s="3"/>
      <c r="BK67" s="3"/>
      <c r="BL67" s="3"/>
      <c r="BM67" s="3"/>
      <c r="BN67" s="3"/>
      <c r="BO67" s="3"/>
      <c r="BP67" s="3"/>
      <c r="BQ67" s="3"/>
      <c r="BR67" s="3"/>
      <c r="BS67" s="3"/>
      <c r="BT67" s="3"/>
      <c r="BU67" s="3"/>
      <c r="BV67" s="3"/>
      <c r="BW67" s="3"/>
      <c r="BX67" s="3"/>
    </row>
    <row r="68" spans="1:76" x14ac:dyDescent="0.35">
      <c r="A68" s="3"/>
      <c r="B68" s="3" t="s">
        <v>244</v>
      </c>
      <c r="C68" s="3"/>
      <c r="D68" s="3"/>
      <c r="E68" s="3"/>
      <c r="F68" s="3"/>
      <c r="G68" s="3"/>
      <c r="H68" s="3"/>
      <c r="I68" s="3"/>
      <c r="J68" s="3"/>
      <c r="K68" s="3"/>
      <c r="L68" s="3"/>
      <c r="M68" s="3"/>
      <c r="N68" s="3">
        <f t="shared" si="0"/>
        <v>0</v>
      </c>
      <c r="O68" s="3">
        <f t="shared" si="1"/>
        <v>0</v>
      </c>
      <c r="P68" s="3">
        <f t="shared" si="2"/>
        <v>0</v>
      </c>
      <c r="Q68" s="3">
        <f t="shared" si="3"/>
        <v>0</v>
      </c>
      <c r="R68" s="3">
        <f t="shared" si="4"/>
        <v>0</v>
      </c>
      <c r="S68" s="3">
        <f t="shared" si="5"/>
        <v>0</v>
      </c>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f t="shared" si="6"/>
        <v>0</v>
      </c>
      <c r="AX68" s="3">
        <f t="shared" si="7"/>
        <v>0</v>
      </c>
      <c r="AY68" s="3">
        <f t="shared" si="8"/>
        <v>0</v>
      </c>
      <c r="AZ68" s="3">
        <f t="shared" si="9"/>
        <v>0</v>
      </c>
      <c r="BA68" s="3">
        <f t="shared" si="10"/>
        <v>0</v>
      </c>
      <c r="BB68" s="3">
        <f t="shared" si="11"/>
        <v>0</v>
      </c>
      <c r="BC68" s="3"/>
      <c r="BD68" s="3"/>
      <c r="BE68" s="3"/>
      <c r="BF68" s="3"/>
      <c r="BG68" s="3"/>
      <c r="BH68" s="3"/>
      <c r="BI68" s="3"/>
      <c r="BJ68" s="3"/>
      <c r="BK68" s="3"/>
      <c r="BL68" s="3"/>
      <c r="BM68" s="3"/>
      <c r="BN68" s="3"/>
      <c r="BO68" s="3"/>
      <c r="BP68" s="3"/>
      <c r="BQ68" s="3"/>
      <c r="BR68" s="3"/>
      <c r="BS68" s="3"/>
      <c r="BT68" s="3"/>
      <c r="BU68" s="3"/>
      <c r="BV68" s="3"/>
      <c r="BW68" s="3"/>
      <c r="BX68" s="3"/>
    </row>
    <row r="69" spans="1:76" x14ac:dyDescent="0.35">
      <c r="A69" s="3"/>
      <c r="B69" s="3" t="s">
        <v>245</v>
      </c>
      <c r="C69" s="3"/>
      <c r="D69" s="3"/>
      <c r="E69" s="3"/>
      <c r="F69" s="3"/>
      <c r="G69" s="3"/>
      <c r="H69" s="3"/>
      <c r="I69" s="3"/>
      <c r="J69" s="3"/>
      <c r="K69" s="3"/>
      <c r="L69" s="3"/>
      <c r="M69" s="3"/>
      <c r="N69" s="3">
        <f t="shared" si="0"/>
        <v>0</v>
      </c>
      <c r="O69" s="3">
        <f t="shared" si="1"/>
        <v>0</v>
      </c>
      <c r="P69" s="3">
        <f t="shared" si="2"/>
        <v>0</v>
      </c>
      <c r="Q69" s="3">
        <f t="shared" si="3"/>
        <v>0</v>
      </c>
      <c r="R69" s="3">
        <f t="shared" si="4"/>
        <v>0</v>
      </c>
      <c r="S69" s="3">
        <f t="shared" si="5"/>
        <v>0</v>
      </c>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f t="shared" si="6"/>
        <v>0</v>
      </c>
      <c r="AX69" s="3">
        <f t="shared" si="7"/>
        <v>0</v>
      </c>
      <c r="AY69" s="3">
        <f t="shared" si="8"/>
        <v>0</v>
      </c>
      <c r="AZ69" s="3">
        <f t="shared" si="9"/>
        <v>0</v>
      </c>
      <c r="BA69" s="3">
        <f t="shared" si="10"/>
        <v>0</v>
      </c>
      <c r="BB69" s="3">
        <f t="shared" si="11"/>
        <v>0</v>
      </c>
      <c r="BC69" s="3"/>
      <c r="BD69" s="3"/>
      <c r="BE69" s="3"/>
      <c r="BF69" s="3"/>
      <c r="BG69" s="3"/>
      <c r="BH69" s="3"/>
      <c r="BI69" s="3"/>
      <c r="BJ69" s="3"/>
      <c r="BK69" s="3"/>
      <c r="BL69" s="3"/>
      <c r="BM69" s="3"/>
      <c r="BN69" s="3"/>
      <c r="BO69" s="3"/>
      <c r="BP69" s="3"/>
      <c r="BQ69" s="3"/>
      <c r="BR69" s="3"/>
      <c r="BS69" s="3"/>
      <c r="BT69" s="3"/>
      <c r="BU69" s="3"/>
      <c r="BV69" s="3"/>
      <c r="BW69" s="3"/>
      <c r="BX69" s="3"/>
    </row>
    <row r="70" spans="1:76" x14ac:dyDescent="0.35">
      <c r="A70" s="3"/>
      <c r="B70" s="3" t="s">
        <v>136</v>
      </c>
      <c r="C70" s="3"/>
      <c r="D70" s="3"/>
      <c r="E70" s="3"/>
      <c r="F70" s="3"/>
      <c r="G70" s="3"/>
      <c r="H70" s="3"/>
      <c r="I70" s="3"/>
      <c r="J70" s="3"/>
      <c r="K70" s="3"/>
      <c r="L70" s="3"/>
      <c r="M70" s="3"/>
      <c r="N70" s="3">
        <f t="shared" si="0"/>
        <v>0</v>
      </c>
      <c r="O70" s="3">
        <f t="shared" si="1"/>
        <v>0</v>
      </c>
      <c r="P70" s="3">
        <f t="shared" si="2"/>
        <v>0</v>
      </c>
      <c r="Q70" s="3">
        <f t="shared" si="3"/>
        <v>0</v>
      </c>
      <c r="R70" s="3">
        <f t="shared" si="4"/>
        <v>0</v>
      </c>
      <c r="S70" s="3">
        <f t="shared" si="5"/>
        <v>0</v>
      </c>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f t="shared" si="6"/>
        <v>0</v>
      </c>
      <c r="AX70" s="3">
        <f t="shared" si="7"/>
        <v>0</v>
      </c>
      <c r="AY70" s="3">
        <f t="shared" si="8"/>
        <v>0</v>
      </c>
      <c r="AZ70" s="3">
        <f t="shared" si="9"/>
        <v>0</v>
      </c>
      <c r="BA70" s="3">
        <f t="shared" si="10"/>
        <v>0</v>
      </c>
      <c r="BB70" s="3">
        <f t="shared" si="11"/>
        <v>0</v>
      </c>
      <c r="BC70" s="3"/>
      <c r="BD70" s="3"/>
      <c r="BE70" s="3"/>
      <c r="BF70" s="3"/>
      <c r="BG70" s="3"/>
      <c r="BH70" s="3"/>
      <c r="BI70" s="3"/>
      <c r="BJ70" s="3"/>
      <c r="BK70" s="3"/>
      <c r="BL70" s="3"/>
      <c r="BM70" s="3"/>
      <c r="BN70" s="3"/>
      <c r="BO70" s="3"/>
      <c r="BP70" s="3"/>
      <c r="BQ70" s="3"/>
      <c r="BR70" s="3"/>
      <c r="BS70" s="3"/>
      <c r="BT70" s="3"/>
      <c r="BU70" s="3"/>
      <c r="BV70" s="3"/>
      <c r="BW70" s="3"/>
      <c r="BX70" s="3"/>
    </row>
    <row r="71" spans="1:76" x14ac:dyDescent="0.35">
      <c r="A71" s="5"/>
      <c r="B71" s="5" t="s">
        <v>137</v>
      </c>
      <c r="C71" s="5" t="s">
        <v>131</v>
      </c>
      <c r="D71" s="5"/>
      <c r="E71" s="5"/>
      <c r="F71" s="5"/>
      <c r="G71" s="5"/>
      <c r="H71" s="5"/>
      <c r="I71" s="5"/>
      <c r="J71" s="5"/>
      <c r="K71" s="5"/>
      <c r="L71" s="5"/>
      <c r="M71" s="5"/>
      <c r="N71" s="3">
        <f t="shared" si="0"/>
        <v>0</v>
      </c>
      <c r="O71" s="3">
        <f t="shared" si="1"/>
        <v>0</v>
      </c>
      <c r="P71" s="3">
        <f t="shared" si="2"/>
        <v>0</v>
      </c>
      <c r="Q71" s="3">
        <f t="shared" si="3"/>
        <v>0</v>
      </c>
      <c r="R71" s="3">
        <f t="shared" si="4"/>
        <v>0</v>
      </c>
      <c r="S71" s="3">
        <f t="shared" si="5"/>
        <v>0</v>
      </c>
      <c r="U71" s="5"/>
      <c r="V71" s="5"/>
      <c r="W71" s="5"/>
      <c r="X71" s="5"/>
      <c r="Y71" s="5"/>
      <c r="Z71" s="5"/>
      <c r="AA71" s="3"/>
      <c r="AB71" s="3"/>
      <c r="AC71" s="3"/>
      <c r="AD71" s="3"/>
      <c r="AE71" s="5"/>
      <c r="AF71" s="5"/>
      <c r="AG71" s="5"/>
      <c r="AH71" s="5"/>
      <c r="AI71" s="5"/>
      <c r="AJ71" s="5"/>
      <c r="AK71" s="5"/>
      <c r="AL71" s="3"/>
      <c r="AM71" s="3"/>
      <c r="AN71" s="3"/>
      <c r="AO71" s="3"/>
      <c r="AP71" s="5"/>
      <c r="AQ71" s="5"/>
      <c r="AR71" s="5"/>
      <c r="AS71" s="5"/>
      <c r="AT71" s="5"/>
      <c r="AU71" s="5"/>
      <c r="AV71" s="5"/>
      <c r="AW71" s="3">
        <f t="shared" si="6"/>
        <v>0</v>
      </c>
      <c r="AX71" s="3">
        <f t="shared" si="7"/>
        <v>0</v>
      </c>
      <c r="AY71" s="3">
        <f t="shared" si="8"/>
        <v>0</v>
      </c>
      <c r="AZ71" s="3">
        <f t="shared" si="9"/>
        <v>0</v>
      </c>
      <c r="BA71" s="3">
        <f t="shared" si="10"/>
        <v>0</v>
      </c>
      <c r="BB71" s="3">
        <f t="shared" si="11"/>
        <v>0</v>
      </c>
      <c r="BC71" s="5"/>
      <c r="BD71" s="5"/>
      <c r="BE71" s="5"/>
      <c r="BF71" s="5"/>
      <c r="BG71" s="5"/>
      <c r="BH71" s="5"/>
      <c r="BI71" s="5"/>
      <c r="BJ71" s="5"/>
      <c r="BK71" s="5"/>
      <c r="BL71" s="5"/>
      <c r="BM71" s="5"/>
      <c r="BN71" s="5"/>
      <c r="BO71" s="5"/>
      <c r="BP71" s="5"/>
      <c r="BQ71" s="5"/>
      <c r="BR71" s="5"/>
      <c r="BS71" s="5"/>
      <c r="BT71" s="5"/>
      <c r="BU71" s="5"/>
      <c r="BV71" s="5"/>
      <c r="BW71" s="5"/>
      <c r="BX71" s="5"/>
    </row>
    <row r="72" spans="1:76" x14ac:dyDescent="0.35">
      <c r="A72" s="3"/>
      <c r="B72" s="3" t="s">
        <v>246</v>
      </c>
      <c r="C72" s="3" t="s">
        <v>221</v>
      </c>
      <c r="D72" s="3" t="s">
        <v>222</v>
      </c>
      <c r="E72" s="3" t="s">
        <v>223</v>
      </c>
      <c r="F72" s="3"/>
      <c r="G72" s="3" t="s">
        <v>3579</v>
      </c>
      <c r="H72" s="3" t="s">
        <v>225</v>
      </c>
      <c r="I72" s="3" t="b">
        <v>1</v>
      </c>
      <c r="J72" s="3" t="b">
        <v>1</v>
      </c>
      <c r="K72" s="3" t="b">
        <v>1</v>
      </c>
      <c r="L72" s="3" t="b">
        <v>1</v>
      </c>
      <c r="M72" s="3" t="b">
        <v>1</v>
      </c>
      <c r="N72" s="3" t="b">
        <f t="shared" si="0"/>
        <v>1</v>
      </c>
      <c r="O72" s="3" t="b">
        <f t="shared" si="1"/>
        <v>0</v>
      </c>
      <c r="P72" s="3" t="b">
        <f t="shared" si="2"/>
        <v>0</v>
      </c>
      <c r="Q72" s="3" t="b">
        <f t="shared" si="3"/>
        <v>0</v>
      </c>
      <c r="R72" s="3" t="b">
        <f t="shared" si="4"/>
        <v>0</v>
      </c>
      <c r="S72" s="3" t="b">
        <f t="shared" si="5"/>
        <v>0</v>
      </c>
      <c r="U72" s="3" t="s">
        <v>231</v>
      </c>
      <c r="V72" s="3" t="b">
        <v>1</v>
      </c>
      <c r="W72" s="3" t="b">
        <v>1</v>
      </c>
      <c r="X72" s="3" t="b">
        <v>1</v>
      </c>
      <c r="Y72" s="3" t="b">
        <v>1</v>
      </c>
      <c r="Z72" s="3" t="b">
        <v>1</v>
      </c>
      <c r="AA72" s="3"/>
      <c r="AB72" s="3"/>
      <c r="AC72" s="3"/>
      <c r="AD72" s="3"/>
      <c r="AE72" s="3"/>
      <c r="AF72" s="3" t="s">
        <v>225</v>
      </c>
      <c r="AG72" s="3" t="b">
        <v>1</v>
      </c>
      <c r="AH72" s="3" t="b">
        <v>1</v>
      </c>
      <c r="AI72" s="3" t="b">
        <v>1</v>
      </c>
      <c r="AJ72" s="3" t="b">
        <v>1</v>
      </c>
      <c r="AK72" s="3" t="b">
        <v>1</v>
      </c>
      <c r="AL72" s="3"/>
      <c r="AM72" s="3"/>
      <c r="AN72" s="3"/>
      <c r="AO72" s="3"/>
      <c r="AP72" s="3"/>
      <c r="AQ72" s="3" t="s">
        <v>225</v>
      </c>
      <c r="AR72" s="3" t="b">
        <v>1</v>
      </c>
      <c r="AS72" s="3" t="b">
        <v>1</v>
      </c>
      <c r="AT72" s="3" t="b">
        <v>1</v>
      </c>
      <c r="AU72" s="3" t="b">
        <v>1</v>
      </c>
      <c r="AV72" s="3" t="b">
        <v>1</v>
      </c>
      <c r="AW72" s="3" t="b">
        <f t="shared" si="6"/>
        <v>1</v>
      </c>
      <c r="AX72" s="3" t="b">
        <f t="shared" si="7"/>
        <v>0</v>
      </c>
      <c r="AY72" s="3" t="b">
        <f t="shared" si="8"/>
        <v>0</v>
      </c>
      <c r="AZ72" s="3" t="b">
        <f t="shared" si="9"/>
        <v>0</v>
      </c>
      <c r="BA72" s="3" t="b">
        <f t="shared" si="10"/>
        <v>0</v>
      </c>
      <c r="BB72" s="3" t="b">
        <f t="shared" si="11"/>
        <v>0</v>
      </c>
      <c r="BC72" s="3"/>
      <c r="BD72" s="3" t="s">
        <v>225</v>
      </c>
      <c r="BE72" s="3" t="b">
        <v>1</v>
      </c>
      <c r="BF72" s="3" t="b">
        <v>1</v>
      </c>
      <c r="BG72" s="3" t="b">
        <v>1</v>
      </c>
      <c r="BH72" s="3" t="b">
        <v>1</v>
      </c>
      <c r="BI72" s="3" t="b">
        <v>1</v>
      </c>
      <c r="BJ72" s="3"/>
      <c r="BK72" s="3"/>
      <c r="BL72" s="3"/>
      <c r="BM72" s="3"/>
      <c r="BN72" s="3"/>
      <c r="BO72" s="3" t="s">
        <v>225</v>
      </c>
      <c r="BP72" s="3" t="b">
        <v>1</v>
      </c>
      <c r="BQ72" s="3" t="b">
        <v>1</v>
      </c>
      <c r="BR72" s="3" t="b">
        <v>1</v>
      </c>
      <c r="BS72" s="3" t="b">
        <v>1</v>
      </c>
      <c r="BT72" s="3" t="b">
        <v>1</v>
      </c>
      <c r="BU72" s="3"/>
      <c r="BV72" s="3"/>
      <c r="BW72" s="3"/>
      <c r="BX72" s="3"/>
    </row>
    <row r="73" spans="1:76" x14ac:dyDescent="0.35">
      <c r="A73" s="3"/>
      <c r="B73" s="3"/>
      <c r="C73" s="3" t="s">
        <v>247</v>
      </c>
      <c r="D73" s="3"/>
      <c r="E73" s="3"/>
      <c r="F73" s="3"/>
      <c r="G73" s="3" t="s">
        <v>3580</v>
      </c>
      <c r="H73" s="3" t="s">
        <v>229</v>
      </c>
      <c r="I73" s="3" t="b">
        <v>1</v>
      </c>
      <c r="J73" s="3" t="b">
        <v>1</v>
      </c>
      <c r="K73" s="3" t="b">
        <v>1</v>
      </c>
      <c r="L73" s="3" t="b">
        <v>1</v>
      </c>
      <c r="M73" s="3" t="b">
        <v>1</v>
      </c>
      <c r="N73" s="3" t="b">
        <f t="shared" si="0"/>
        <v>1</v>
      </c>
      <c r="O73" s="3" t="b">
        <f t="shared" si="1"/>
        <v>0</v>
      </c>
      <c r="P73" s="3" t="b">
        <f t="shared" si="2"/>
        <v>0</v>
      </c>
      <c r="Q73" s="3" t="b">
        <f t="shared" si="3"/>
        <v>0</v>
      </c>
      <c r="R73" s="3" t="b">
        <f t="shared" si="4"/>
        <v>0</v>
      </c>
      <c r="S73" s="3" t="b">
        <f t="shared" si="5"/>
        <v>0</v>
      </c>
      <c r="U73" s="3" t="s">
        <v>229</v>
      </c>
      <c r="V73" s="3" t="b">
        <v>1</v>
      </c>
      <c r="W73" s="3" t="b">
        <v>1</v>
      </c>
      <c r="X73" s="3" t="b">
        <v>1</v>
      </c>
      <c r="Y73" s="3" t="b">
        <v>1</v>
      </c>
      <c r="Z73" s="3" t="b">
        <v>1</v>
      </c>
      <c r="AA73" s="3"/>
      <c r="AB73" s="3"/>
      <c r="AC73" s="3"/>
      <c r="AD73" s="3"/>
      <c r="AE73" s="3"/>
      <c r="AF73" s="3" t="s">
        <v>229</v>
      </c>
      <c r="AG73" s="3" t="b">
        <v>1</v>
      </c>
      <c r="AH73" s="3" t="b">
        <v>1</v>
      </c>
      <c r="AI73" s="3" t="b">
        <v>1</v>
      </c>
      <c r="AJ73" s="3" t="b">
        <v>1</v>
      </c>
      <c r="AK73" s="3" t="b">
        <v>1</v>
      </c>
      <c r="AL73" s="3"/>
      <c r="AM73" s="3"/>
      <c r="AN73" s="3"/>
      <c r="AO73" s="3"/>
      <c r="AP73" s="3"/>
      <c r="AQ73" s="3" t="s">
        <v>229</v>
      </c>
      <c r="AR73" s="3" t="b">
        <v>1</v>
      </c>
      <c r="AS73" s="3" t="b">
        <v>1</v>
      </c>
      <c r="AT73" s="3" t="b">
        <v>1</v>
      </c>
      <c r="AU73" s="3" t="b">
        <v>1</v>
      </c>
      <c r="AV73" s="3" t="b">
        <v>1</v>
      </c>
      <c r="AW73" s="3" t="b">
        <f t="shared" si="6"/>
        <v>1</v>
      </c>
      <c r="AX73" s="3" t="b">
        <f t="shared" si="7"/>
        <v>0</v>
      </c>
      <c r="AY73" s="3" t="b">
        <f t="shared" si="8"/>
        <v>0</v>
      </c>
      <c r="AZ73" s="3" t="b">
        <f t="shared" si="9"/>
        <v>0</v>
      </c>
      <c r="BA73" s="3" t="b">
        <f t="shared" si="10"/>
        <v>0</v>
      </c>
      <c r="BB73" s="3" t="b">
        <f t="shared" si="11"/>
        <v>0</v>
      </c>
      <c r="BC73" s="3"/>
      <c r="BD73" s="3" t="s">
        <v>229</v>
      </c>
      <c r="BE73" s="3" t="b">
        <v>1</v>
      </c>
      <c r="BF73" s="3" t="b">
        <v>1</v>
      </c>
      <c r="BG73" s="3" t="b">
        <v>1</v>
      </c>
      <c r="BH73" s="3" t="b">
        <v>1</v>
      </c>
      <c r="BI73" s="3" t="b">
        <v>1</v>
      </c>
      <c r="BJ73" s="3"/>
      <c r="BK73" s="3"/>
      <c r="BL73" s="3"/>
      <c r="BM73" s="3"/>
      <c r="BN73" s="3"/>
      <c r="BO73" s="3" t="s">
        <v>229</v>
      </c>
      <c r="BP73" s="3" t="b">
        <v>1</v>
      </c>
      <c r="BQ73" s="3" t="b">
        <v>1</v>
      </c>
      <c r="BR73" s="3" t="b">
        <v>1</v>
      </c>
      <c r="BS73" s="3" t="b">
        <v>1</v>
      </c>
      <c r="BT73" s="3" t="b">
        <v>1</v>
      </c>
      <c r="BU73" s="3"/>
      <c r="BV73" s="3"/>
      <c r="BW73" s="3"/>
      <c r="BX73" s="3"/>
    </row>
    <row r="74" spans="1:76" x14ac:dyDescent="0.35">
      <c r="A74" s="3"/>
      <c r="B74" s="3" t="s">
        <v>249</v>
      </c>
      <c r="C74" s="3" t="s">
        <v>221</v>
      </c>
      <c r="D74" s="3" t="s">
        <v>222</v>
      </c>
      <c r="E74" s="3" t="s">
        <v>223</v>
      </c>
      <c r="F74" s="3"/>
      <c r="G74" s="3" t="s">
        <v>3581</v>
      </c>
      <c r="H74" s="3" t="s">
        <v>225</v>
      </c>
      <c r="I74" s="3" t="b">
        <v>1</v>
      </c>
      <c r="J74" s="3" t="b">
        <v>1</v>
      </c>
      <c r="K74" s="3" t="b">
        <v>1</v>
      </c>
      <c r="L74" s="3" t="b">
        <v>1</v>
      </c>
      <c r="M74" s="3" t="b">
        <v>1</v>
      </c>
      <c r="N74" s="3" t="b">
        <f t="shared" si="0"/>
        <v>1</v>
      </c>
      <c r="O74" s="3" t="b">
        <f t="shared" si="1"/>
        <v>0</v>
      </c>
      <c r="P74" s="3" t="b">
        <f t="shared" si="2"/>
        <v>0</v>
      </c>
      <c r="Q74" s="3" t="b">
        <f t="shared" si="3"/>
        <v>0</v>
      </c>
      <c r="R74" s="3" t="b">
        <f t="shared" si="4"/>
        <v>0</v>
      </c>
      <c r="S74" s="3" t="b">
        <f t="shared" si="5"/>
        <v>0</v>
      </c>
      <c r="U74" s="3" t="s">
        <v>225</v>
      </c>
      <c r="V74" s="3" t="b">
        <v>1</v>
      </c>
      <c r="W74" s="3" t="b">
        <v>1</v>
      </c>
      <c r="X74" s="3" t="b">
        <v>1</v>
      </c>
      <c r="Y74" s="3" t="b">
        <v>1</v>
      </c>
      <c r="Z74" s="3" t="b">
        <v>1</v>
      </c>
      <c r="AA74" s="3"/>
      <c r="AB74" s="3"/>
      <c r="AC74" s="3"/>
      <c r="AD74" s="3"/>
      <c r="AE74" s="3"/>
      <c r="AF74" s="3" t="s">
        <v>225</v>
      </c>
      <c r="AG74" s="3" t="b">
        <v>1</v>
      </c>
      <c r="AH74" s="3" t="b">
        <v>1</v>
      </c>
      <c r="AI74" s="3" t="b">
        <v>1</v>
      </c>
      <c r="AJ74" s="3" t="b">
        <v>1</v>
      </c>
      <c r="AK74" s="3" t="b">
        <v>1</v>
      </c>
      <c r="AL74" s="3"/>
      <c r="AM74" s="3"/>
      <c r="AN74" s="3"/>
      <c r="AO74" s="3"/>
      <c r="AP74" s="3"/>
      <c r="AQ74" s="3" t="s">
        <v>225</v>
      </c>
      <c r="AR74" s="3" t="b">
        <v>1</v>
      </c>
      <c r="AS74" s="3" t="b">
        <v>1</v>
      </c>
      <c r="AT74" s="3" t="b">
        <v>1</v>
      </c>
      <c r="AU74" s="3" t="b">
        <v>1</v>
      </c>
      <c r="AV74" s="3" t="b">
        <v>1</v>
      </c>
      <c r="AW74" s="3" t="b">
        <f t="shared" si="6"/>
        <v>1</v>
      </c>
      <c r="AX74" s="3" t="b">
        <f t="shared" si="7"/>
        <v>0</v>
      </c>
      <c r="AY74" s="3" t="b">
        <f t="shared" si="8"/>
        <v>0</v>
      </c>
      <c r="AZ74" s="3" t="b">
        <f t="shared" si="9"/>
        <v>0</v>
      </c>
      <c r="BA74" s="3" t="b">
        <f t="shared" si="10"/>
        <v>0</v>
      </c>
      <c r="BB74" s="3" t="b">
        <f t="shared" si="11"/>
        <v>0</v>
      </c>
      <c r="BC74" s="3"/>
      <c r="BD74" s="3" t="s">
        <v>225</v>
      </c>
      <c r="BE74" s="3" t="b">
        <v>1</v>
      </c>
      <c r="BF74" s="3" t="b">
        <v>1</v>
      </c>
      <c r="BG74" s="3" t="b">
        <v>1</v>
      </c>
      <c r="BH74" s="3" t="b">
        <v>1</v>
      </c>
      <c r="BI74" s="3" t="b">
        <v>1</v>
      </c>
      <c r="BJ74" s="3"/>
      <c r="BK74" s="3"/>
      <c r="BL74" s="3"/>
      <c r="BM74" s="3"/>
      <c r="BN74" s="3"/>
      <c r="BO74" s="3" t="s">
        <v>225</v>
      </c>
      <c r="BP74" s="3" t="b">
        <v>1</v>
      </c>
      <c r="BQ74" s="3" t="b">
        <v>1</v>
      </c>
      <c r="BR74" s="3" t="b">
        <v>1</v>
      </c>
      <c r="BS74" s="3" t="b">
        <v>1</v>
      </c>
      <c r="BT74" s="3" t="b">
        <v>1</v>
      </c>
      <c r="BU74" s="3"/>
      <c r="BV74" s="3"/>
      <c r="BW74" s="3"/>
      <c r="BX74" s="3"/>
    </row>
    <row r="75" spans="1:76" x14ac:dyDescent="0.35">
      <c r="A75" s="3"/>
      <c r="B75" s="3"/>
      <c r="C75" s="3" t="s">
        <v>247</v>
      </c>
      <c r="D75" s="3"/>
      <c r="E75" s="3"/>
      <c r="F75" s="3"/>
      <c r="G75" s="3" t="s">
        <v>3582</v>
      </c>
      <c r="H75" s="3" t="s">
        <v>251</v>
      </c>
      <c r="I75" s="3" t="b">
        <v>1</v>
      </c>
      <c r="J75" s="3" t="b">
        <v>1</v>
      </c>
      <c r="K75" s="3" t="b">
        <v>1</v>
      </c>
      <c r="L75" s="3" t="b">
        <v>1</v>
      </c>
      <c r="M75" s="3" t="b">
        <v>1</v>
      </c>
      <c r="N75" s="3" t="b">
        <f t="shared" si="0"/>
        <v>1</v>
      </c>
      <c r="O75" s="3" t="b">
        <f t="shared" si="1"/>
        <v>0</v>
      </c>
      <c r="P75" s="3" t="b">
        <f t="shared" si="2"/>
        <v>0</v>
      </c>
      <c r="Q75" s="3" t="b">
        <f t="shared" si="3"/>
        <v>0</v>
      </c>
      <c r="R75" s="3" t="b">
        <f t="shared" si="4"/>
        <v>0</v>
      </c>
      <c r="S75" s="3" t="b">
        <f t="shared" si="5"/>
        <v>0</v>
      </c>
      <c r="U75" s="3" t="s">
        <v>252</v>
      </c>
      <c r="V75" s="3" t="b">
        <v>1</v>
      </c>
      <c r="W75" s="3" t="b">
        <v>1</v>
      </c>
      <c r="X75" s="3" t="b">
        <v>1</v>
      </c>
      <c r="Y75" s="3" t="b">
        <v>1</v>
      </c>
      <c r="Z75" s="3" t="b">
        <v>1</v>
      </c>
      <c r="AA75" s="3"/>
      <c r="AB75" s="3"/>
      <c r="AC75" s="3"/>
      <c r="AD75" s="3"/>
      <c r="AE75" s="3"/>
      <c r="AF75" s="3" t="s">
        <v>251</v>
      </c>
      <c r="AG75" s="3" t="b">
        <v>1</v>
      </c>
      <c r="AH75" s="3" t="b">
        <v>1</v>
      </c>
      <c r="AI75" s="3" t="b">
        <v>1</v>
      </c>
      <c r="AJ75" s="3" t="b">
        <v>1</v>
      </c>
      <c r="AK75" s="3" t="b">
        <v>1</v>
      </c>
      <c r="AL75" s="3"/>
      <c r="AM75" s="3"/>
      <c r="AN75" s="3"/>
      <c r="AO75" s="3"/>
      <c r="AP75" s="3"/>
      <c r="AQ75" s="3" t="s">
        <v>229</v>
      </c>
      <c r="AR75" s="3" t="b">
        <v>1</v>
      </c>
      <c r="AS75" s="3" t="b">
        <v>1</v>
      </c>
      <c r="AT75" s="3" t="b">
        <v>1</v>
      </c>
      <c r="AU75" s="3" t="b">
        <v>1</v>
      </c>
      <c r="AV75" s="3" t="b">
        <v>1</v>
      </c>
      <c r="AW75" s="3" t="b">
        <f t="shared" si="6"/>
        <v>1</v>
      </c>
      <c r="AX75" s="3" t="b">
        <f t="shared" si="7"/>
        <v>0</v>
      </c>
      <c r="AY75" s="3" t="b">
        <f t="shared" si="8"/>
        <v>0</v>
      </c>
      <c r="AZ75" s="3" t="b">
        <f t="shared" si="9"/>
        <v>0</v>
      </c>
      <c r="BA75" s="3" t="b">
        <f t="shared" si="10"/>
        <v>0</v>
      </c>
      <c r="BB75" s="3" t="b">
        <f t="shared" si="11"/>
        <v>0</v>
      </c>
      <c r="BC75" s="3"/>
      <c r="BD75" s="3" t="s">
        <v>229</v>
      </c>
      <c r="BE75" s="3" t="b">
        <v>1</v>
      </c>
      <c r="BF75" s="3" t="b">
        <v>1</v>
      </c>
      <c r="BG75" s="3" t="b">
        <v>1</v>
      </c>
      <c r="BH75" s="3" t="b">
        <v>1</v>
      </c>
      <c r="BI75" s="3" t="b">
        <v>1</v>
      </c>
      <c r="BJ75" s="3"/>
      <c r="BK75" s="3"/>
      <c r="BL75" s="3"/>
      <c r="BM75" s="3"/>
      <c r="BN75" s="3"/>
      <c r="BO75" s="3" t="s">
        <v>229</v>
      </c>
      <c r="BP75" s="3" t="b">
        <v>1</v>
      </c>
      <c r="BQ75" s="3" t="b">
        <v>1</v>
      </c>
      <c r="BR75" s="3" t="b">
        <v>1</v>
      </c>
      <c r="BS75" s="3" t="b">
        <v>1</v>
      </c>
      <c r="BT75" s="3" t="b">
        <v>1</v>
      </c>
      <c r="BU75" s="3"/>
      <c r="BV75" s="3"/>
      <c r="BW75" s="3"/>
      <c r="BX75" s="3"/>
    </row>
    <row r="76" spans="1:76" x14ac:dyDescent="0.35">
      <c r="A76" s="3"/>
      <c r="B76" s="3" t="s">
        <v>253</v>
      </c>
      <c r="C76" s="3" t="s">
        <v>221</v>
      </c>
      <c r="D76" s="3" t="s">
        <v>222</v>
      </c>
      <c r="E76" s="3" t="s">
        <v>223</v>
      </c>
      <c r="F76" s="3"/>
      <c r="G76" s="3" t="s">
        <v>3583</v>
      </c>
      <c r="H76" s="3" t="s">
        <v>231</v>
      </c>
      <c r="I76" s="3" t="b">
        <v>1</v>
      </c>
      <c r="J76" s="3" t="b">
        <v>1</v>
      </c>
      <c r="K76" s="3" t="b">
        <v>1</v>
      </c>
      <c r="L76" s="3" t="b">
        <v>1</v>
      </c>
      <c r="M76" s="3" t="b">
        <v>1</v>
      </c>
      <c r="N76" s="3" t="b">
        <f t="shared" si="0"/>
        <v>1</v>
      </c>
      <c r="O76" s="3" t="b">
        <f t="shared" si="1"/>
        <v>0</v>
      </c>
      <c r="P76" s="3" t="b">
        <f t="shared" si="2"/>
        <v>0</v>
      </c>
      <c r="Q76" s="3" t="b">
        <f t="shared" si="3"/>
        <v>0</v>
      </c>
      <c r="R76" s="3" t="b">
        <f t="shared" si="4"/>
        <v>0</v>
      </c>
      <c r="S76" s="3" t="b">
        <f t="shared" si="5"/>
        <v>0</v>
      </c>
      <c r="U76" s="3" t="s">
        <v>231</v>
      </c>
      <c r="V76" s="3" t="b">
        <v>1</v>
      </c>
      <c r="W76" s="3" t="b">
        <v>1</v>
      </c>
      <c r="X76" s="3" t="b">
        <v>1</v>
      </c>
      <c r="Y76" s="3" t="b">
        <v>1</v>
      </c>
      <c r="Z76" s="3" t="b">
        <v>1</v>
      </c>
      <c r="AA76" s="3"/>
      <c r="AB76" s="3"/>
      <c r="AC76" s="3"/>
      <c r="AD76" s="3"/>
      <c r="AE76" s="3"/>
      <c r="AF76" s="3" t="s">
        <v>231</v>
      </c>
      <c r="AG76" s="3" t="b">
        <v>1</v>
      </c>
      <c r="AH76" s="3" t="b">
        <v>1</v>
      </c>
      <c r="AI76" s="3" t="b">
        <v>1</v>
      </c>
      <c r="AJ76" s="3" t="b">
        <v>1</v>
      </c>
      <c r="AK76" s="3" t="b">
        <v>1</v>
      </c>
      <c r="AL76" s="3"/>
      <c r="AM76" s="3"/>
      <c r="AN76" s="3"/>
      <c r="AO76" s="3"/>
      <c r="AP76" s="3"/>
      <c r="AQ76" s="3" t="s">
        <v>225</v>
      </c>
      <c r="AR76" s="3" t="b">
        <v>1</v>
      </c>
      <c r="AS76" s="3" t="b">
        <v>1</v>
      </c>
      <c r="AT76" s="3" t="b">
        <v>1</v>
      </c>
      <c r="AU76" s="3" t="b">
        <v>1</v>
      </c>
      <c r="AV76" s="3" t="b">
        <v>1</v>
      </c>
      <c r="AW76" s="3" t="b">
        <f t="shared" si="6"/>
        <v>1</v>
      </c>
      <c r="AX76" s="3" t="b">
        <f t="shared" si="7"/>
        <v>0</v>
      </c>
      <c r="AY76" s="3" t="b">
        <f t="shared" si="8"/>
        <v>0</v>
      </c>
      <c r="AZ76" s="3" t="b">
        <f t="shared" si="9"/>
        <v>0</v>
      </c>
      <c r="BA76" s="3" t="b">
        <f t="shared" si="10"/>
        <v>0</v>
      </c>
      <c r="BB76" s="3" t="b">
        <f t="shared" si="11"/>
        <v>0</v>
      </c>
      <c r="BC76" s="3"/>
      <c r="BD76" s="3" t="s">
        <v>225</v>
      </c>
      <c r="BE76" s="3" t="b">
        <v>1</v>
      </c>
      <c r="BF76" s="3" t="b">
        <v>1</v>
      </c>
      <c r="BG76" s="3" t="b">
        <v>1</v>
      </c>
      <c r="BH76" s="3" t="b">
        <v>1</v>
      </c>
      <c r="BI76" s="3" t="b">
        <v>1</v>
      </c>
      <c r="BJ76" s="3"/>
      <c r="BK76" s="3"/>
      <c r="BL76" s="3"/>
      <c r="BM76" s="3"/>
      <c r="BN76" s="3"/>
      <c r="BO76" s="3" t="s">
        <v>225</v>
      </c>
      <c r="BP76" s="3" t="b">
        <v>1</v>
      </c>
      <c r="BQ76" s="3" t="b">
        <v>1</v>
      </c>
      <c r="BR76" s="3" t="b">
        <v>1</v>
      </c>
      <c r="BS76" s="3" t="b">
        <v>1</v>
      </c>
      <c r="BT76" s="3" t="b">
        <v>1</v>
      </c>
      <c r="BU76" s="3"/>
      <c r="BV76" s="3"/>
      <c r="BW76" s="3"/>
      <c r="BX76" s="3"/>
    </row>
    <row r="77" spans="1:76" x14ac:dyDescent="0.35">
      <c r="A77" s="3"/>
      <c r="B77" s="3"/>
      <c r="C77" s="3" t="s">
        <v>247</v>
      </c>
      <c r="D77" s="3"/>
      <c r="E77" s="3"/>
      <c r="F77" s="3"/>
      <c r="G77" s="3" t="s">
        <v>3584</v>
      </c>
      <c r="H77" s="3" t="s">
        <v>229</v>
      </c>
      <c r="I77" s="3" t="b">
        <v>1</v>
      </c>
      <c r="J77" s="3" t="b">
        <v>1</v>
      </c>
      <c r="K77" s="3" t="b">
        <v>1</v>
      </c>
      <c r="L77" s="3" t="b">
        <v>1</v>
      </c>
      <c r="M77" s="3" t="b">
        <v>1</v>
      </c>
      <c r="N77" s="3" t="b">
        <f t="shared" si="0"/>
        <v>1</v>
      </c>
      <c r="O77" s="3" t="b">
        <f t="shared" si="1"/>
        <v>0</v>
      </c>
      <c r="P77" s="3" t="b">
        <f t="shared" si="2"/>
        <v>0</v>
      </c>
      <c r="Q77" s="3" t="b">
        <f t="shared" si="3"/>
        <v>0</v>
      </c>
      <c r="R77" s="3" t="b">
        <f t="shared" si="4"/>
        <v>0</v>
      </c>
      <c r="S77" s="3" t="b">
        <f t="shared" si="5"/>
        <v>0</v>
      </c>
      <c r="U77" s="3" t="s">
        <v>252</v>
      </c>
      <c r="V77" s="3" t="b">
        <v>1</v>
      </c>
      <c r="W77" s="3" t="b">
        <v>1</v>
      </c>
      <c r="X77" s="3" t="b">
        <v>1</v>
      </c>
      <c r="Y77" s="3" t="b">
        <v>1</v>
      </c>
      <c r="Z77" s="3" t="b">
        <v>1</v>
      </c>
      <c r="AA77" s="3"/>
      <c r="AB77" s="3"/>
      <c r="AC77" s="3"/>
      <c r="AD77" s="3"/>
      <c r="AE77" s="3"/>
      <c r="AF77" s="3"/>
      <c r="AG77" s="3" t="b">
        <v>1</v>
      </c>
      <c r="AH77" s="3" t="b">
        <v>0</v>
      </c>
      <c r="AI77" s="3" t="b">
        <v>0</v>
      </c>
      <c r="AJ77" s="3" t="b">
        <v>0</v>
      </c>
      <c r="AK77" s="3" t="b">
        <v>0</v>
      </c>
      <c r="AL77" s="3"/>
      <c r="AM77" s="3"/>
      <c r="AN77" s="3"/>
      <c r="AO77" s="3"/>
      <c r="AP77" s="3"/>
      <c r="AQ77" s="3" t="s">
        <v>229</v>
      </c>
      <c r="AR77" s="3" t="b">
        <v>1</v>
      </c>
      <c r="AS77" s="3" t="b">
        <v>1</v>
      </c>
      <c r="AT77" s="3" t="b">
        <v>1</v>
      </c>
      <c r="AU77" s="3" t="b">
        <v>1</v>
      </c>
      <c r="AV77" s="3" t="b">
        <v>1</v>
      </c>
      <c r="AW77" s="3" t="b">
        <f t="shared" si="6"/>
        <v>1</v>
      </c>
      <c r="AX77" s="3" t="b">
        <f t="shared" si="7"/>
        <v>0</v>
      </c>
      <c r="AY77" s="3" t="b">
        <f t="shared" si="8"/>
        <v>0</v>
      </c>
      <c r="AZ77" s="3" t="b">
        <f t="shared" si="9"/>
        <v>0</v>
      </c>
      <c r="BA77" s="3" t="b">
        <f t="shared" si="10"/>
        <v>0</v>
      </c>
      <c r="BB77" s="3" t="b">
        <f t="shared" si="11"/>
        <v>0</v>
      </c>
      <c r="BC77" s="3"/>
      <c r="BD77" s="3" t="s">
        <v>229</v>
      </c>
      <c r="BE77" s="3" t="b">
        <v>1</v>
      </c>
      <c r="BF77" s="3" t="b">
        <v>1</v>
      </c>
      <c r="BG77" s="3" t="b">
        <v>1</v>
      </c>
      <c r="BH77" s="3" t="b">
        <v>1</v>
      </c>
      <c r="BI77" s="3" t="b">
        <v>1</v>
      </c>
      <c r="BJ77" s="3"/>
      <c r="BK77" s="3"/>
      <c r="BL77" s="3"/>
      <c r="BM77" s="3"/>
      <c r="BN77" s="3"/>
      <c r="BO77" s="3" t="s">
        <v>229</v>
      </c>
      <c r="BP77" s="3" t="b">
        <v>1</v>
      </c>
      <c r="BQ77" s="3" t="b">
        <v>1</v>
      </c>
      <c r="BR77" s="3" t="b">
        <v>1</v>
      </c>
      <c r="BS77" s="3" t="b">
        <v>1</v>
      </c>
      <c r="BT77" s="3" t="b">
        <v>1</v>
      </c>
      <c r="BU77" s="3"/>
      <c r="BV77" s="3"/>
      <c r="BW77" s="3"/>
      <c r="BX77" s="3"/>
    </row>
    <row r="78" spans="1:76" x14ac:dyDescent="0.35">
      <c r="A78" s="3"/>
      <c r="B78" s="3" t="s">
        <v>254</v>
      </c>
      <c r="C78" s="3"/>
      <c r="D78" s="3"/>
      <c r="E78" s="3"/>
      <c r="F78" s="3"/>
      <c r="G78" s="3"/>
      <c r="H78" s="3"/>
      <c r="I78" s="3"/>
      <c r="J78" s="3"/>
      <c r="K78" s="3"/>
      <c r="L78" s="3"/>
      <c r="M78" s="3"/>
      <c r="N78" s="3">
        <f t="shared" si="0"/>
        <v>0</v>
      </c>
      <c r="O78" s="3">
        <f t="shared" si="1"/>
        <v>0</v>
      </c>
      <c r="P78" s="3">
        <f t="shared" si="2"/>
        <v>0</v>
      </c>
      <c r="Q78" s="3">
        <f t="shared" si="3"/>
        <v>0</v>
      </c>
      <c r="R78" s="3">
        <f t="shared" si="4"/>
        <v>0</v>
      </c>
      <c r="S78" s="3">
        <f t="shared" si="5"/>
        <v>0</v>
      </c>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f t="shared" si="6"/>
        <v>0</v>
      </c>
      <c r="AX78" s="3">
        <f t="shared" si="7"/>
        <v>0</v>
      </c>
      <c r="AY78" s="3">
        <f t="shared" si="8"/>
        <v>0</v>
      </c>
      <c r="AZ78" s="3">
        <f t="shared" si="9"/>
        <v>0</v>
      </c>
      <c r="BA78" s="3">
        <f t="shared" si="10"/>
        <v>0</v>
      </c>
      <c r="BB78" s="3">
        <f t="shared" si="11"/>
        <v>0</v>
      </c>
      <c r="BC78" s="3"/>
      <c r="BD78" s="3"/>
      <c r="BE78" s="3"/>
      <c r="BF78" s="3"/>
      <c r="BG78" s="3"/>
      <c r="BH78" s="3"/>
      <c r="BI78" s="3"/>
      <c r="BJ78" s="3"/>
      <c r="BK78" s="3"/>
      <c r="BL78" s="3"/>
      <c r="BM78" s="3"/>
      <c r="BN78" s="3"/>
      <c r="BO78" s="3"/>
      <c r="BP78" s="3"/>
      <c r="BQ78" s="3"/>
      <c r="BR78" s="3"/>
      <c r="BS78" s="3"/>
      <c r="BT78" s="3"/>
      <c r="BU78" s="3"/>
      <c r="BV78" s="3"/>
      <c r="BW78" s="3"/>
      <c r="BX78" s="3"/>
    </row>
    <row r="79" spans="1:76" x14ac:dyDescent="0.35">
      <c r="A79" s="3"/>
      <c r="B79" s="3" t="s">
        <v>255</v>
      </c>
      <c r="C79" s="3"/>
      <c r="D79" s="3"/>
      <c r="E79" s="3"/>
      <c r="F79" s="3"/>
      <c r="G79" s="3"/>
      <c r="H79" s="3"/>
      <c r="I79" s="3"/>
      <c r="J79" s="3"/>
      <c r="K79" s="3"/>
      <c r="L79" s="3"/>
      <c r="M79" s="3"/>
      <c r="N79" s="3">
        <f t="shared" si="0"/>
        <v>0</v>
      </c>
      <c r="O79" s="3">
        <f t="shared" si="1"/>
        <v>0</v>
      </c>
      <c r="P79" s="3">
        <f t="shared" si="2"/>
        <v>0</v>
      </c>
      <c r="Q79" s="3">
        <f t="shared" si="3"/>
        <v>0</v>
      </c>
      <c r="R79" s="3">
        <f t="shared" si="4"/>
        <v>0</v>
      </c>
      <c r="S79" s="3">
        <f t="shared" si="5"/>
        <v>0</v>
      </c>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f t="shared" si="6"/>
        <v>0</v>
      </c>
      <c r="AX79" s="3">
        <f t="shared" si="7"/>
        <v>0</v>
      </c>
      <c r="AY79" s="3">
        <f t="shared" si="8"/>
        <v>0</v>
      </c>
      <c r="AZ79" s="3">
        <f t="shared" si="9"/>
        <v>0</v>
      </c>
      <c r="BA79" s="3">
        <f t="shared" si="10"/>
        <v>0</v>
      </c>
      <c r="BB79" s="3">
        <f t="shared" si="11"/>
        <v>0</v>
      </c>
      <c r="BC79" s="3"/>
      <c r="BD79" s="3"/>
      <c r="BE79" s="3"/>
      <c r="BF79" s="3"/>
      <c r="BG79" s="3"/>
      <c r="BH79" s="3"/>
      <c r="BI79" s="3"/>
      <c r="BJ79" s="3"/>
      <c r="BK79" s="3"/>
      <c r="BL79" s="3"/>
      <c r="BM79" s="3"/>
      <c r="BN79" s="3"/>
      <c r="BO79" s="3"/>
      <c r="BP79" s="3"/>
      <c r="BQ79" s="3"/>
      <c r="BR79" s="3"/>
      <c r="BS79" s="3"/>
      <c r="BT79" s="3"/>
      <c r="BU79" s="3"/>
      <c r="BV79" s="3"/>
      <c r="BW79" s="3"/>
      <c r="BX79" s="3"/>
    </row>
    <row r="80" spans="1:76" x14ac:dyDescent="0.35">
      <c r="A80" s="3"/>
      <c r="B80" s="3" t="s">
        <v>256</v>
      </c>
      <c r="C80" s="3"/>
      <c r="D80" s="3"/>
      <c r="E80" s="3"/>
      <c r="F80" s="3"/>
      <c r="G80" s="3"/>
      <c r="H80" s="3"/>
      <c r="I80" s="3"/>
      <c r="J80" s="3"/>
      <c r="K80" s="3"/>
      <c r="L80" s="3"/>
      <c r="M80" s="3"/>
      <c r="N80" s="3">
        <f t="shared" si="0"/>
        <v>0</v>
      </c>
      <c r="O80" s="3">
        <f t="shared" si="1"/>
        <v>0</v>
      </c>
      <c r="P80" s="3">
        <f t="shared" si="2"/>
        <v>0</v>
      </c>
      <c r="Q80" s="3">
        <f t="shared" si="3"/>
        <v>0</v>
      </c>
      <c r="R80" s="3">
        <f t="shared" si="4"/>
        <v>0</v>
      </c>
      <c r="S80" s="3">
        <f t="shared" si="5"/>
        <v>0</v>
      </c>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f t="shared" si="6"/>
        <v>0</v>
      </c>
      <c r="AX80" s="3">
        <f t="shared" si="7"/>
        <v>0</v>
      </c>
      <c r="AY80" s="3">
        <f t="shared" si="8"/>
        <v>0</v>
      </c>
      <c r="AZ80" s="3">
        <f t="shared" si="9"/>
        <v>0</v>
      </c>
      <c r="BA80" s="3">
        <f t="shared" si="10"/>
        <v>0</v>
      </c>
      <c r="BB80" s="3">
        <f t="shared" si="11"/>
        <v>0</v>
      </c>
      <c r="BC80" s="3"/>
      <c r="BD80" s="3"/>
      <c r="BE80" s="3"/>
      <c r="BF80" s="3"/>
      <c r="BG80" s="3"/>
      <c r="BH80" s="3"/>
      <c r="BI80" s="3"/>
      <c r="BJ80" s="3"/>
      <c r="BK80" s="3"/>
      <c r="BL80" s="3"/>
      <c r="BM80" s="3"/>
      <c r="BN80" s="3"/>
      <c r="BO80" s="3"/>
      <c r="BP80" s="3"/>
      <c r="BQ80" s="3"/>
      <c r="BR80" s="3"/>
      <c r="BS80" s="3"/>
      <c r="BT80" s="3"/>
      <c r="BU80" s="3"/>
      <c r="BV80" s="3"/>
      <c r="BW80" s="3"/>
      <c r="BX80" s="3"/>
    </row>
    <row r="81" spans="1:76" x14ac:dyDescent="0.35">
      <c r="A81" s="3"/>
      <c r="B81" s="3" t="s">
        <v>257</v>
      </c>
      <c r="C81" s="3" t="s">
        <v>258</v>
      </c>
      <c r="D81" s="3"/>
      <c r="E81" s="3"/>
      <c r="F81" s="3"/>
      <c r="G81" s="3" t="s">
        <v>3585</v>
      </c>
      <c r="H81" s="3" t="s">
        <v>259</v>
      </c>
      <c r="I81" s="3" t="b">
        <v>1</v>
      </c>
      <c r="J81" s="3" t="b">
        <v>1</v>
      </c>
      <c r="K81" s="3" t="b">
        <v>0</v>
      </c>
      <c r="L81" s="3" t="b">
        <v>1</v>
      </c>
      <c r="M81" s="3" t="b">
        <v>1</v>
      </c>
      <c r="N81" s="3" t="b">
        <f t="shared" si="0"/>
        <v>0</v>
      </c>
      <c r="O81" s="3" t="b">
        <f t="shared" si="1"/>
        <v>0</v>
      </c>
      <c r="P81" s="3" t="b">
        <f t="shared" si="2"/>
        <v>0</v>
      </c>
      <c r="Q81" s="3" t="b">
        <f t="shared" si="3"/>
        <v>1</v>
      </c>
      <c r="R81" s="3" t="b">
        <f t="shared" si="4"/>
        <v>0</v>
      </c>
      <c r="S81" s="3" t="b">
        <f t="shared" si="5"/>
        <v>1</v>
      </c>
      <c r="U81" s="3" t="s">
        <v>259</v>
      </c>
      <c r="V81" s="3" t="b">
        <v>1</v>
      </c>
      <c r="W81" s="3" t="b">
        <v>1</v>
      </c>
      <c r="X81" s="3" t="b">
        <v>0</v>
      </c>
      <c r="Y81" s="3" t="b">
        <v>1</v>
      </c>
      <c r="Z81" s="3" t="b">
        <v>1</v>
      </c>
      <c r="AA81" s="3"/>
      <c r="AB81" s="3"/>
      <c r="AC81" s="3"/>
      <c r="AD81" s="3"/>
      <c r="AE81" s="3"/>
      <c r="AF81" s="3" t="s">
        <v>260</v>
      </c>
      <c r="AG81" s="3" t="b">
        <v>1</v>
      </c>
      <c r="AH81" s="3" t="b">
        <v>1</v>
      </c>
      <c r="AI81" s="3" t="b">
        <v>1</v>
      </c>
      <c r="AJ81" s="3" t="b">
        <v>1</v>
      </c>
      <c r="AK81" s="3" t="b">
        <v>1</v>
      </c>
      <c r="AL81" s="3"/>
      <c r="AM81" s="3"/>
      <c r="AN81" s="3"/>
      <c r="AO81" s="3"/>
      <c r="AP81" s="3"/>
      <c r="AQ81" s="3" t="s">
        <v>259</v>
      </c>
      <c r="AR81" s="3" t="b">
        <v>1</v>
      </c>
      <c r="AS81" s="3" t="b">
        <v>1</v>
      </c>
      <c r="AT81" s="3" t="b">
        <v>0</v>
      </c>
      <c r="AU81" s="3" t="b">
        <v>1</v>
      </c>
      <c r="AV81" s="3" t="b">
        <v>1</v>
      </c>
      <c r="AW81" s="3" t="b">
        <f t="shared" si="6"/>
        <v>0</v>
      </c>
      <c r="AX81" s="3" t="b">
        <f t="shared" si="7"/>
        <v>0</v>
      </c>
      <c r="AY81" s="3" t="b">
        <f t="shared" si="8"/>
        <v>0</v>
      </c>
      <c r="AZ81" s="3" t="b">
        <f t="shared" si="9"/>
        <v>1</v>
      </c>
      <c r="BA81" s="3" t="b">
        <f t="shared" si="10"/>
        <v>0</v>
      </c>
      <c r="BB81" s="3" t="b">
        <f t="shared" si="11"/>
        <v>1</v>
      </c>
      <c r="BC81" s="3"/>
      <c r="BD81" s="3" t="s">
        <v>259</v>
      </c>
      <c r="BE81" s="3" t="b">
        <v>1</v>
      </c>
      <c r="BF81" s="3" t="b">
        <v>1</v>
      </c>
      <c r="BG81" s="3" t="b">
        <v>0</v>
      </c>
      <c r="BH81" s="3" t="b">
        <v>1</v>
      </c>
      <c r="BI81" s="3" t="b">
        <v>1</v>
      </c>
      <c r="BJ81" s="3"/>
      <c r="BK81" s="3"/>
      <c r="BL81" s="3"/>
      <c r="BM81" s="3"/>
      <c r="BN81" s="3"/>
      <c r="BO81" s="3" t="s">
        <v>259</v>
      </c>
      <c r="BP81" s="3" t="b">
        <v>1</v>
      </c>
      <c r="BQ81" s="3" t="b">
        <v>1</v>
      </c>
      <c r="BR81" s="3" t="b">
        <v>0</v>
      </c>
      <c r="BS81" s="3" t="b">
        <v>1</v>
      </c>
      <c r="BT81" s="3" t="b">
        <v>1</v>
      </c>
      <c r="BU81" s="3"/>
      <c r="BV81" s="3"/>
      <c r="BW81" s="3"/>
      <c r="BX81" s="3"/>
    </row>
    <row r="82" spans="1:76" x14ac:dyDescent="0.35">
      <c r="A82" s="3"/>
      <c r="B82" s="3" t="s">
        <v>261</v>
      </c>
      <c r="C82" s="3" t="s">
        <v>258</v>
      </c>
      <c r="D82" s="3"/>
      <c r="E82" s="3"/>
      <c r="F82" s="3"/>
      <c r="G82" s="3" t="s">
        <v>3586</v>
      </c>
      <c r="H82" s="3" t="s">
        <v>260</v>
      </c>
      <c r="I82" s="3" t="b">
        <v>1</v>
      </c>
      <c r="J82" s="3" t="b">
        <v>1</v>
      </c>
      <c r="K82" s="3" t="b">
        <v>1</v>
      </c>
      <c r="L82" s="3" t="b">
        <v>1</v>
      </c>
      <c r="M82" s="3" t="b">
        <v>1</v>
      </c>
      <c r="N82" s="3" t="b">
        <f t="shared" si="0"/>
        <v>1</v>
      </c>
      <c r="O82" s="3" t="b">
        <f t="shared" si="1"/>
        <v>0</v>
      </c>
      <c r="P82" s="3" t="b">
        <f t="shared" si="2"/>
        <v>0</v>
      </c>
      <c r="Q82" s="3" t="b">
        <f t="shared" si="3"/>
        <v>0</v>
      </c>
      <c r="R82" s="3" t="b">
        <f t="shared" si="4"/>
        <v>0</v>
      </c>
      <c r="S82" s="3" t="b">
        <f t="shared" si="5"/>
        <v>0</v>
      </c>
      <c r="U82" s="3" t="s">
        <v>262</v>
      </c>
      <c r="V82" s="3" t="b">
        <v>1</v>
      </c>
      <c r="W82" s="3" t="b">
        <v>1</v>
      </c>
      <c r="X82" s="3" t="b">
        <v>1</v>
      </c>
      <c r="Y82" s="3" t="b">
        <v>1</v>
      </c>
      <c r="Z82" s="3" t="b">
        <v>1</v>
      </c>
      <c r="AA82" s="3"/>
      <c r="AB82" s="3"/>
      <c r="AC82" s="3"/>
      <c r="AD82" s="3"/>
      <c r="AE82" s="3"/>
      <c r="AF82" s="3"/>
      <c r="AG82" s="3" t="b">
        <v>1</v>
      </c>
      <c r="AH82" s="3" t="b">
        <v>0</v>
      </c>
      <c r="AI82" s="3" t="b">
        <v>0</v>
      </c>
      <c r="AJ82" s="3" t="b">
        <v>0</v>
      </c>
      <c r="AK82" s="3" t="b">
        <v>0</v>
      </c>
      <c r="AL82" s="3"/>
      <c r="AM82" s="3"/>
      <c r="AN82" s="3"/>
      <c r="AO82" s="3"/>
      <c r="AP82" s="3"/>
      <c r="AQ82" s="3" t="s">
        <v>259</v>
      </c>
      <c r="AR82" s="3" t="b">
        <v>1</v>
      </c>
      <c r="AS82" s="3" t="b">
        <v>1</v>
      </c>
      <c r="AT82" s="3" t="b">
        <v>0</v>
      </c>
      <c r="AU82" s="3" t="b">
        <v>1</v>
      </c>
      <c r="AV82" s="3" t="b">
        <v>1</v>
      </c>
      <c r="AW82" s="3" t="b">
        <f t="shared" si="6"/>
        <v>0</v>
      </c>
      <c r="AX82" s="3" t="b">
        <f t="shared" si="7"/>
        <v>0</v>
      </c>
      <c r="AY82" s="3" t="b">
        <f t="shared" si="8"/>
        <v>0</v>
      </c>
      <c r="AZ82" s="3" t="b">
        <f t="shared" si="9"/>
        <v>1</v>
      </c>
      <c r="BA82" s="3" t="b">
        <f t="shared" si="10"/>
        <v>0</v>
      </c>
      <c r="BB82" s="3" t="b">
        <f t="shared" si="11"/>
        <v>1</v>
      </c>
      <c r="BC82" s="3"/>
      <c r="BD82" s="3" t="s">
        <v>259</v>
      </c>
      <c r="BE82" s="3" t="b">
        <v>1</v>
      </c>
      <c r="BF82" s="3" t="b">
        <v>1</v>
      </c>
      <c r="BG82" s="3" t="b">
        <v>0</v>
      </c>
      <c r="BH82" s="3" t="b">
        <v>1</v>
      </c>
      <c r="BI82" s="3" t="b">
        <v>1</v>
      </c>
      <c r="BJ82" s="3"/>
      <c r="BK82" s="3"/>
      <c r="BL82" s="3"/>
      <c r="BM82" s="3"/>
      <c r="BN82" s="3"/>
      <c r="BO82" s="3" t="s">
        <v>259</v>
      </c>
      <c r="BP82" s="3" t="b">
        <v>1</v>
      </c>
      <c r="BQ82" s="3" t="b">
        <v>1</v>
      </c>
      <c r="BR82" s="3" t="b">
        <v>0</v>
      </c>
      <c r="BS82" s="3" t="b">
        <v>1</v>
      </c>
      <c r="BT82" s="3" t="b">
        <v>1</v>
      </c>
      <c r="BU82" s="3"/>
      <c r="BV82" s="3"/>
      <c r="BW82" s="3"/>
      <c r="BX82" s="3"/>
    </row>
    <row r="83" spans="1:76" x14ac:dyDescent="0.35">
      <c r="A83" s="3"/>
      <c r="B83" s="3" t="s">
        <v>263</v>
      </c>
      <c r="C83" s="3" t="s">
        <v>258</v>
      </c>
      <c r="D83" s="3"/>
      <c r="E83" s="3"/>
      <c r="F83" s="3"/>
      <c r="G83" s="3" t="s">
        <v>3587</v>
      </c>
      <c r="H83" s="3" t="s">
        <v>260</v>
      </c>
      <c r="I83" s="3" t="b">
        <v>1</v>
      </c>
      <c r="J83" s="3" t="b">
        <v>1</v>
      </c>
      <c r="K83" s="3" t="b">
        <v>1</v>
      </c>
      <c r="L83" s="3" t="b">
        <v>1</v>
      </c>
      <c r="M83" s="3" t="b">
        <v>1</v>
      </c>
      <c r="N83" s="3" t="b">
        <f t="shared" si="0"/>
        <v>1</v>
      </c>
      <c r="O83" s="3" t="b">
        <f t="shared" si="1"/>
        <v>0</v>
      </c>
      <c r="P83" s="3" t="b">
        <f t="shared" si="2"/>
        <v>0</v>
      </c>
      <c r="Q83" s="3" t="b">
        <f t="shared" si="3"/>
        <v>0</v>
      </c>
      <c r="R83" s="3" t="b">
        <f t="shared" si="4"/>
        <v>0</v>
      </c>
      <c r="S83" s="3" t="b">
        <f t="shared" si="5"/>
        <v>0</v>
      </c>
      <c r="U83" s="3" t="s">
        <v>260</v>
      </c>
      <c r="V83" s="3" t="b">
        <v>1</v>
      </c>
      <c r="W83" s="3" t="b">
        <v>1</v>
      </c>
      <c r="X83" s="3" t="b">
        <v>1</v>
      </c>
      <c r="Y83" s="3" t="b">
        <v>1</v>
      </c>
      <c r="Z83" s="3" t="b">
        <v>1</v>
      </c>
      <c r="AA83" s="3"/>
      <c r="AB83" s="3"/>
      <c r="AC83" s="3"/>
      <c r="AD83" s="3"/>
      <c r="AE83" s="3"/>
      <c r="AF83" s="3" t="s">
        <v>260</v>
      </c>
      <c r="AG83" s="3" t="b">
        <v>1</v>
      </c>
      <c r="AH83" s="3" t="b">
        <v>1</v>
      </c>
      <c r="AI83" s="3" t="b">
        <v>1</v>
      </c>
      <c r="AJ83" s="3" t="b">
        <v>1</v>
      </c>
      <c r="AK83" s="3" t="b">
        <v>1</v>
      </c>
      <c r="AL83" s="3"/>
      <c r="AM83" s="3"/>
      <c r="AN83" s="3"/>
      <c r="AO83" s="3"/>
      <c r="AP83" s="3"/>
      <c r="AQ83" s="3" t="s">
        <v>259</v>
      </c>
      <c r="AR83" s="3" t="b">
        <v>1</v>
      </c>
      <c r="AS83" s="3" t="b">
        <v>1</v>
      </c>
      <c r="AT83" s="3" t="b">
        <v>0</v>
      </c>
      <c r="AU83" s="3" t="b">
        <v>1</v>
      </c>
      <c r="AV83" s="3" t="b">
        <v>1</v>
      </c>
      <c r="AW83" s="3" t="b">
        <f t="shared" si="6"/>
        <v>0</v>
      </c>
      <c r="AX83" s="3" t="b">
        <f t="shared" si="7"/>
        <v>0</v>
      </c>
      <c r="AY83" s="3" t="b">
        <f t="shared" si="8"/>
        <v>0</v>
      </c>
      <c r="AZ83" s="3" t="b">
        <f t="shared" si="9"/>
        <v>1</v>
      </c>
      <c r="BA83" s="3" t="b">
        <f t="shared" si="10"/>
        <v>0</v>
      </c>
      <c r="BB83" s="3" t="b">
        <f t="shared" si="11"/>
        <v>1</v>
      </c>
      <c r="BC83" s="3"/>
      <c r="BD83" s="3" t="s">
        <v>259</v>
      </c>
      <c r="BE83" s="3" t="b">
        <v>1</v>
      </c>
      <c r="BF83" s="3" t="b">
        <v>1</v>
      </c>
      <c r="BG83" s="3" t="b">
        <v>0</v>
      </c>
      <c r="BH83" s="3" t="b">
        <v>1</v>
      </c>
      <c r="BI83" s="3" t="b">
        <v>1</v>
      </c>
      <c r="BJ83" s="3"/>
      <c r="BK83" s="3"/>
      <c r="BL83" s="3"/>
      <c r="BM83" s="3"/>
      <c r="BN83" s="3"/>
      <c r="BO83" s="3" t="s">
        <v>259</v>
      </c>
      <c r="BP83" s="3" t="b">
        <v>1</v>
      </c>
      <c r="BQ83" s="3" t="b">
        <v>1</v>
      </c>
      <c r="BR83" s="3" t="b">
        <v>0</v>
      </c>
      <c r="BS83" s="3" t="b">
        <v>1</v>
      </c>
      <c r="BT83" s="3" t="b">
        <v>1</v>
      </c>
      <c r="BU83" s="3"/>
      <c r="BV83" s="3"/>
      <c r="BW83" s="3"/>
      <c r="BX83" s="3"/>
    </row>
    <row r="84" spans="1:76" x14ac:dyDescent="0.35">
      <c r="A84" s="3"/>
      <c r="B84" s="3" t="s">
        <v>264</v>
      </c>
      <c r="C84" s="3"/>
      <c r="D84" s="3" t="s">
        <v>265</v>
      </c>
      <c r="E84" s="3" t="s">
        <v>266</v>
      </c>
      <c r="F84" s="3"/>
      <c r="G84" s="3"/>
      <c r="H84" s="3"/>
      <c r="I84" s="3"/>
      <c r="J84" s="3"/>
      <c r="K84" s="3"/>
      <c r="L84" s="3"/>
      <c r="M84" s="3"/>
      <c r="N84" s="3">
        <f t="shared" si="0"/>
        <v>0</v>
      </c>
      <c r="O84" s="3">
        <f t="shared" si="1"/>
        <v>0</v>
      </c>
      <c r="P84" s="3">
        <f t="shared" si="2"/>
        <v>0</v>
      </c>
      <c r="Q84" s="3">
        <f t="shared" si="3"/>
        <v>0</v>
      </c>
      <c r="R84" s="3">
        <f t="shared" si="4"/>
        <v>0</v>
      </c>
      <c r="S84" s="3">
        <f t="shared" si="5"/>
        <v>0</v>
      </c>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f t="shared" si="6"/>
        <v>0</v>
      </c>
      <c r="AX84" s="3">
        <f t="shared" si="7"/>
        <v>0</v>
      </c>
      <c r="AY84" s="3">
        <f t="shared" si="8"/>
        <v>0</v>
      </c>
      <c r="AZ84" s="3">
        <f t="shared" si="9"/>
        <v>0</v>
      </c>
      <c r="BA84" s="3">
        <f t="shared" si="10"/>
        <v>0</v>
      </c>
      <c r="BB84" s="3">
        <f t="shared" si="11"/>
        <v>0</v>
      </c>
      <c r="BC84" s="3"/>
      <c r="BD84" s="3"/>
      <c r="BE84" s="3"/>
      <c r="BF84" s="3"/>
      <c r="BG84" s="3"/>
      <c r="BH84" s="3"/>
      <c r="BI84" s="3"/>
      <c r="BJ84" s="3"/>
      <c r="BK84" s="3"/>
      <c r="BL84" s="3"/>
      <c r="BM84" s="3"/>
      <c r="BN84" s="3"/>
      <c r="BO84" s="3"/>
      <c r="BP84" s="3"/>
      <c r="BQ84" s="3"/>
      <c r="BR84" s="3"/>
      <c r="BS84" s="3"/>
      <c r="BT84" s="3"/>
      <c r="BU84" s="3"/>
      <c r="BV84" s="3"/>
      <c r="BW84" s="3"/>
      <c r="BX84" s="3"/>
    </row>
    <row r="85" spans="1:76" x14ac:dyDescent="0.35">
      <c r="A85" s="3"/>
      <c r="B85" s="3" t="s">
        <v>267</v>
      </c>
      <c r="C85" s="3" t="s">
        <v>221</v>
      </c>
      <c r="D85" s="3" t="s">
        <v>222</v>
      </c>
      <c r="E85" s="3" t="s">
        <v>223</v>
      </c>
      <c r="F85" s="3"/>
      <c r="G85" s="3" t="s">
        <v>3588</v>
      </c>
      <c r="H85" s="3" t="s">
        <v>231</v>
      </c>
      <c r="I85" s="3" t="b">
        <v>1</v>
      </c>
      <c r="J85" s="3" t="b">
        <v>1</v>
      </c>
      <c r="K85" s="3" t="b">
        <v>1</v>
      </c>
      <c r="L85" s="3" t="b">
        <v>1</v>
      </c>
      <c r="M85" s="3" t="b">
        <v>1</v>
      </c>
      <c r="N85" s="3" t="b">
        <f t="shared" si="0"/>
        <v>1</v>
      </c>
      <c r="O85" s="3" t="b">
        <f t="shared" si="1"/>
        <v>0</v>
      </c>
      <c r="P85" s="3" t="b">
        <f t="shared" si="2"/>
        <v>0</v>
      </c>
      <c r="Q85" s="3" t="b">
        <f t="shared" si="3"/>
        <v>0</v>
      </c>
      <c r="R85" s="3" t="b">
        <f t="shared" si="4"/>
        <v>0</v>
      </c>
      <c r="S85" s="3" t="b">
        <f t="shared" si="5"/>
        <v>0</v>
      </c>
      <c r="U85" s="3"/>
      <c r="V85" s="3" t="b">
        <v>1</v>
      </c>
      <c r="W85" s="3" t="b">
        <v>0</v>
      </c>
      <c r="X85" s="3" t="b">
        <v>0</v>
      </c>
      <c r="Y85" s="3" t="b">
        <v>0</v>
      </c>
      <c r="Z85" s="3" t="b">
        <v>0</v>
      </c>
      <c r="AA85" s="3"/>
      <c r="AB85" s="3"/>
      <c r="AC85" s="3"/>
      <c r="AD85" s="3"/>
      <c r="AE85" s="3"/>
      <c r="AF85" s="3" t="s">
        <v>225</v>
      </c>
      <c r="AG85" s="3" t="b">
        <v>1</v>
      </c>
      <c r="AH85" s="3" t="b">
        <v>1</v>
      </c>
      <c r="AI85" s="3" t="b">
        <v>1</v>
      </c>
      <c r="AJ85" s="3" t="b">
        <v>1</v>
      </c>
      <c r="AK85" s="3" t="b">
        <v>1</v>
      </c>
      <c r="AL85" s="3"/>
      <c r="AM85" s="3"/>
      <c r="AN85" s="3"/>
      <c r="AO85" s="3"/>
      <c r="AP85" s="3"/>
      <c r="AQ85" s="3" t="s">
        <v>225</v>
      </c>
      <c r="AR85" s="3" t="b">
        <v>1</v>
      </c>
      <c r="AS85" s="3" t="b">
        <v>1</v>
      </c>
      <c r="AT85" s="3" t="b">
        <v>1</v>
      </c>
      <c r="AU85" s="3" t="b">
        <v>1</v>
      </c>
      <c r="AV85" s="3" t="b">
        <v>1</v>
      </c>
      <c r="AW85" s="3" t="b">
        <f t="shared" si="6"/>
        <v>1</v>
      </c>
      <c r="AX85" s="3" t="b">
        <f t="shared" si="7"/>
        <v>0</v>
      </c>
      <c r="AY85" s="3" t="b">
        <f t="shared" si="8"/>
        <v>0</v>
      </c>
      <c r="AZ85" s="3" t="b">
        <f t="shared" si="9"/>
        <v>0</v>
      </c>
      <c r="BA85" s="3" t="b">
        <f t="shared" si="10"/>
        <v>0</v>
      </c>
      <c r="BB85" s="3" t="b">
        <f t="shared" si="11"/>
        <v>0</v>
      </c>
      <c r="BC85" s="3"/>
      <c r="BD85" s="3" t="s">
        <v>225</v>
      </c>
      <c r="BE85" s="3" t="b">
        <v>1</v>
      </c>
      <c r="BF85" s="3" t="b">
        <v>1</v>
      </c>
      <c r="BG85" s="3" t="b">
        <v>1</v>
      </c>
      <c r="BH85" s="3" t="b">
        <v>1</v>
      </c>
      <c r="BI85" s="3" t="b">
        <v>1</v>
      </c>
      <c r="BJ85" s="3"/>
      <c r="BK85" s="3"/>
      <c r="BL85" s="3"/>
      <c r="BM85" s="3"/>
      <c r="BN85" s="3"/>
      <c r="BO85" s="3" t="s">
        <v>225</v>
      </c>
      <c r="BP85" s="3" t="b">
        <v>1</v>
      </c>
      <c r="BQ85" s="3" t="b">
        <v>1</v>
      </c>
      <c r="BR85" s="3" t="b">
        <v>1</v>
      </c>
      <c r="BS85" s="3" t="b">
        <v>1</v>
      </c>
      <c r="BT85" s="3" t="b">
        <v>1</v>
      </c>
      <c r="BU85" s="3"/>
      <c r="BV85" s="3"/>
      <c r="BW85" s="3"/>
      <c r="BX85" s="3"/>
    </row>
    <row r="86" spans="1:76" x14ac:dyDescent="0.35">
      <c r="A86" s="3"/>
      <c r="B86" s="3" t="s">
        <v>268</v>
      </c>
      <c r="C86" s="3"/>
      <c r="D86" s="3" t="s">
        <v>265</v>
      </c>
      <c r="E86" s="3" t="s">
        <v>266</v>
      </c>
      <c r="F86" s="3"/>
      <c r="G86" s="3"/>
      <c r="H86" s="3"/>
      <c r="I86" s="3"/>
      <c r="J86" s="3"/>
      <c r="K86" s="3"/>
      <c r="L86" s="3"/>
      <c r="M86" s="3"/>
      <c r="N86" s="3">
        <f t="shared" si="0"/>
        <v>0</v>
      </c>
      <c r="O86" s="3">
        <f t="shared" si="1"/>
        <v>0</v>
      </c>
      <c r="P86" s="3">
        <f t="shared" si="2"/>
        <v>0</v>
      </c>
      <c r="Q86" s="3">
        <f t="shared" si="3"/>
        <v>0</v>
      </c>
      <c r="R86" s="3">
        <f t="shared" si="4"/>
        <v>0</v>
      </c>
      <c r="S86" s="3">
        <f t="shared" si="5"/>
        <v>0</v>
      </c>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f t="shared" si="6"/>
        <v>0</v>
      </c>
      <c r="AX86" s="3">
        <f t="shared" si="7"/>
        <v>0</v>
      </c>
      <c r="AY86" s="3">
        <f t="shared" si="8"/>
        <v>0</v>
      </c>
      <c r="AZ86" s="3">
        <f t="shared" si="9"/>
        <v>0</v>
      </c>
      <c r="BA86" s="3">
        <f t="shared" si="10"/>
        <v>0</v>
      </c>
      <c r="BB86" s="3">
        <f t="shared" si="11"/>
        <v>0</v>
      </c>
      <c r="BC86" s="3"/>
      <c r="BD86" s="3"/>
      <c r="BE86" s="3"/>
      <c r="BF86" s="3"/>
      <c r="BG86" s="3"/>
      <c r="BH86" s="3"/>
      <c r="BI86" s="3"/>
      <c r="BJ86" s="3"/>
      <c r="BK86" s="3"/>
      <c r="BL86" s="3"/>
      <c r="BM86" s="3"/>
      <c r="BN86" s="3"/>
      <c r="BO86" s="3"/>
      <c r="BP86" s="3"/>
      <c r="BQ86" s="3"/>
      <c r="BR86" s="3"/>
      <c r="BS86" s="3"/>
      <c r="BT86" s="3"/>
      <c r="BU86" s="3"/>
      <c r="BV86" s="3"/>
      <c r="BW86" s="3"/>
      <c r="BX86" s="3"/>
    </row>
    <row r="87" spans="1:76" x14ac:dyDescent="0.35">
      <c r="A87" s="3"/>
      <c r="B87" s="3" t="s">
        <v>162</v>
      </c>
      <c r="C87" s="3" t="s">
        <v>163</v>
      </c>
      <c r="D87" s="3"/>
      <c r="E87" s="3"/>
      <c r="F87" s="3"/>
      <c r="G87" s="3" t="s">
        <v>3589</v>
      </c>
      <c r="H87" s="3" t="s">
        <v>165</v>
      </c>
      <c r="I87" s="3" t="b">
        <v>1</v>
      </c>
      <c r="J87" s="3" t="b">
        <v>1</v>
      </c>
      <c r="K87" s="3" t="b">
        <v>1</v>
      </c>
      <c r="L87" s="3" t="b">
        <v>1</v>
      </c>
      <c r="M87" s="3" t="b">
        <v>1</v>
      </c>
      <c r="N87" s="3" t="b">
        <f t="shared" si="0"/>
        <v>1</v>
      </c>
      <c r="O87" s="3" t="b">
        <f t="shared" si="1"/>
        <v>0</v>
      </c>
      <c r="P87" s="3" t="b">
        <f t="shared" si="2"/>
        <v>0</v>
      </c>
      <c r="Q87" s="3" t="b">
        <f t="shared" si="3"/>
        <v>0</v>
      </c>
      <c r="R87" s="3" t="b">
        <f t="shared" si="4"/>
        <v>0</v>
      </c>
      <c r="S87" s="3" t="b">
        <f t="shared" si="5"/>
        <v>0</v>
      </c>
      <c r="U87" s="3" t="s">
        <v>165</v>
      </c>
      <c r="V87" s="3" t="b">
        <v>1</v>
      </c>
      <c r="W87" s="3" t="b">
        <v>1</v>
      </c>
      <c r="X87" s="3" t="b">
        <v>1</v>
      </c>
      <c r="Y87" s="3" t="b">
        <v>1</v>
      </c>
      <c r="Z87" s="3" t="b">
        <v>1</v>
      </c>
      <c r="AA87" s="3"/>
      <c r="AB87" s="3"/>
      <c r="AC87" s="3"/>
      <c r="AD87" s="3"/>
      <c r="AE87" s="3"/>
      <c r="AF87" s="3" t="s">
        <v>165</v>
      </c>
      <c r="AG87" s="3" t="b">
        <v>1</v>
      </c>
      <c r="AH87" s="3" t="b">
        <v>1</v>
      </c>
      <c r="AI87" s="3" t="b">
        <v>1</v>
      </c>
      <c r="AJ87" s="3" t="b">
        <v>1</v>
      </c>
      <c r="AK87" s="3" t="b">
        <v>1</v>
      </c>
      <c r="AL87" s="3"/>
      <c r="AM87" s="3"/>
      <c r="AN87" s="3"/>
      <c r="AO87" s="3"/>
      <c r="AP87" s="3"/>
      <c r="AQ87" s="3" t="s">
        <v>166</v>
      </c>
      <c r="AR87" s="3" t="b">
        <v>1</v>
      </c>
      <c r="AS87" s="3" t="b">
        <v>1</v>
      </c>
      <c r="AT87" s="3" t="b">
        <v>1</v>
      </c>
      <c r="AU87" s="3" t="b">
        <v>1</v>
      </c>
      <c r="AV87" s="3" t="b">
        <v>1</v>
      </c>
      <c r="AW87" s="3" t="b">
        <f t="shared" si="6"/>
        <v>1</v>
      </c>
      <c r="AX87" s="3" t="b">
        <f t="shared" si="7"/>
        <v>0</v>
      </c>
      <c r="AY87" s="3" t="b">
        <f t="shared" si="8"/>
        <v>0</v>
      </c>
      <c r="AZ87" s="3" t="b">
        <f t="shared" si="9"/>
        <v>0</v>
      </c>
      <c r="BA87" s="3" t="b">
        <f t="shared" si="10"/>
        <v>0</v>
      </c>
      <c r="BB87" s="3" t="b">
        <f t="shared" si="11"/>
        <v>0</v>
      </c>
      <c r="BC87" s="3"/>
      <c r="BD87" s="3" t="s">
        <v>167</v>
      </c>
      <c r="BE87" s="3" t="b">
        <v>1</v>
      </c>
      <c r="BF87" s="3" t="b">
        <v>1</v>
      </c>
      <c r="BG87" s="3" t="b">
        <v>1</v>
      </c>
      <c r="BH87" s="3" t="b">
        <v>1</v>
      </c>
      <c r="BI87" s="3" t="b">
        <v>1</v>
      </c>
      <c r="BJ87" s="3"/>
      <c r="BK87" s="3"/>
      <c r="BL87" s="3"/>
      <c r="BM87" s="3"/>
      <c r="BN87" s="3"/>
      <c r="BO87" s="3" t="s">
        <v>166</v>
      </c>
      <c r="BP87" s="3" t="b">
        <v>1</v>
      </c>
      <c r="BQ87" s="3" t="b">
        <v>1</v>
      </c>
      <c r="BR87" s="3" t="b">
        <v>1</v>
      </c>
      <c r="BS87" s="3" t="b">
        <v>1</v>
      </c>
      <c r="BT87" s="3" t="b">
        <v>1</v>
      </c>
      <c r="BU87" s="3"/>
      <c r="BV87" s="3"/>
      <c r="BW87" s="3"/>
      <c r="BX87" s="3"/>
    </row>
    <row r="88" spans="1:76" x14ac:dyDescent="0.35">
      <c r="A88" s="3"/>
      <c r="B88" s="3" t="s">
        <v>270</v>
      </c>
      <c r="C88" s="3"/>
      <c r="D88" s="3" t="s">
        <v>265</v>
      </c>
      <c r="E88" s="3" t="s">
        <v>266</v>
      </c>
      <c r="F88" s="3"/>
      <c r="G88" s="3"/>
      <c r="H88" s="3"/>
      <c r="I88" s="3"/>
      <c r="J88" s="3"/>
      <c r="K88" s="3"/>
      <c r="L88" s="3"/>
      <c r="M88" s="3"/>
      <c r="N88" s="3">
        <f t="shared" si="0"/>
        <v>0</v>
      </c>
      <c r="O88" s="3">
        <f t="shared" si="1"/>
        <v>0</v>
      </c>
      <c r="P88" s="3">
        <f t="shared" si="2"/>
        <v>0</v>
      </c>
      <c r="Q88" s="3">
        <f t="shared" si="3"/>
        <v>0</v>
      </c>
      <c r="R88" s="3">
        <f t="shared" si="4"/>
        <v>0</v>
      </c>
      <c r="S88" s="3">
        <f t="shared" si="5"/>
        <v>0</v>
      </c>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f t="shared" si="6"/>
        <v>0</v>
      </c>
      <c r="AX88" s="3">
        <f t="shared" si="7"/>
        <v>0</v>
      </c>
      <c r="AY88" s="3">
        <f t="shared" si="8"/>
        <v>0</v>
      </c>
      <c r="AZ88" s="3">
        <f t="shared" si="9"/>
        <v>0</v>
      </c>
      <c r="BA88" s="3">
        <f t="shared" si="10"/>
        <v>0</v>
      </c>
      <c r="BB88" s="3">
        <f t="shared" si="11"/>
        <v>0</v>
      </c>
      <c r="BC88" s="3"/>
      <c r="BD88" s="3"/>
      <c r="BE88" s="3"/>
      <c r="BF88" s="3"/>
      <c r="BG88" s="3"/>
      <c r="BH88" s="3"/>
      <c r="BI88" s="3"/>
      <c r="BJ88" s="3"/>
      <c r="BK88" s="3"/>
      <c r="BL88" s="3"/>
      <c r="BM88" s="3"/>
      <c r="BN88" s="3"/>
      <c r="BO88" s="3"/>
      <c r="BP88" s="3"/>
      <c r="BQ88" s="3"/>
      <c r="BR88" s="3"/>
      <c r="BS88" s="3"/>
      <c r="BT88" s="3"/>
      <c r="BU88" s="3"/>
      <c r="BV88" s="3"/>
      <c r="BW88" s="3"/>
      <c r="BX88" s="3"/>
    </row>
    <row r="89" spans="1:76" x14ac:dyDescent="0.35">
      <c r="A89" s="3"/>
      <c r="B89" s="3" t="s">
        <v>271</v>
      </c>
      <c r="C89" s="3" t="s">
        <v>163</v>
      </c>
      <c r="D89" s="3"/>
      <c r="E89" s="3"/>
      <c r="F89" s="3"/>
      <c r="G89" s="3" t="s">
        <v>3590</v>
      </c>
      <c r="H89" s="3" t="s">
        <v>165</v>
      </c>
      <c r="I89" s="3" t="b">
        <v>1</v>
      </c>
      <c r="J89" s="3" t="b">
        <v>1</v>
      </c>
      <c r="K89" s="3" t="b">
        <v>1</v>
      </c>
      <c r="L89" s="3" t="b">
        <v>1</v>
      </c>
      <c r="M89" s="3" t="b">
        <v>1</v>
      </c>
      <c r="N89" s="3" t="b">
        <f t="shared" si="0"/>
        <v>1</v>
      </c>
      <c r="O89" s="3" t="b">
        <f t="shared" si="1"/>
        <v>0</v>
      </c>
      <c r="P89" s="3" t="b">
        <f t="shared" si="2"/>
        <v>0</v>
      </c>
      <c r="Q89" s="3" t="b">
        <f t="shared" si="3"/>
        <v>0</v>
      </c>
      <c r="R89" s="3" t="b">
        <f t="shared" si="4"/>
        <v>0</v>
      </c>
      <c r="S89" s="3" t="b">
        <f t="shared" si="5"/>
        <v>0</v>
      </c>
      <c r="U89" s="3" t="s">
        <v>273</v>
      </c>
      <c r="V89" s="3" t="b">
        <v>1</v>
      </c>
      <c r="W89" s="3" t="b">
        <v>1</v>
      </c>
      <c r="X89" s="3" t="b">
        <v>1</v>
      </c>
      <c r="Y89" s="3" t="b">
        <v>1</v>
      </c>
      <c r="Z89" s="3" t="b">
        <v>1</v>
      </c>
      <c r="AA89" s="3"/>
      <c r="AB89" s="3"/>
      <c r="AC89" s="3"/>
      <c r="AD89" s="3"/>
      <c r="AE89" s="3"/>
      <c r="AF89" s="3" t="s">
        <v>273</v>
      </c>
      <c r="AG89" s="3" t="b">
        <v>1</v>
      </c>
      <c r="AH89" s="3" t="b">
        <v>1</v>
      </c>
      <c r="AI89" s="3" t="b">
        <v>1</v>
      </c>
      <c r="AJ89" s="3" t="b">
        <v>1</v>
      </c>
      <c r="AK89" s="3" t="b">
        <v>1</v>
      </c>
      <c r="AL89" s="3"/>
      <c r="AM89" s="3"/>
      <c r="AN89" s="3"/>
      <c r="AO89" s="3"/>
      <c r="AP89" s="3"/>
      <c r="AQ89" s="3" t="s">
        <v>274</v>
      </c>
      <c r="AR89" s="3" t="b">
        <v>1</v>
      </c>
      <c r="AS89" s="3" t="b">
        <v>1</v>
      </c>
      <c r="AT89" s="3" t="b">
        <v>1</v>
      </c>
      <c r="AU89" s="3" t="b">
        <v>1</v>
      </c>
      <c r="AV89" s="3" t="b">
        <v>0</v>
      </c>
      <c r="AW89" s="3" t="b">
        <f t="shared" si="6"/>
        <v>0</v>
      </c>
      <c r="AX89" s="3" t="b">
        <f t="shared" si="7"/>
        <v>1</v>
      </c>
      <c r="AY89" s="3" t="b">
        <f t="shared" si="8"/>
        <v>0</v>
      </c>
      <c r="AZ89" s="3" t="b">
        <f t="shared" si="9"/>
        <v>0</v>
      </c>
      <c r="BA89" s="3" t="b">
        <f t="shared" si="10"/>
        <v>1</v>
      </c>
      <c r="BB89" s="3" t="b">
        <f t="shared" si="11"/>
        <v>0</v>
      </c>
      <c r="BC89" s="3"/>
      <c r="BD89" s="3" t="s">
        <v>167</v>
      </c>
      <c r="BE89" s="3" t="b">
        <v>1</v>
      </c>
      <c r="BF89" s="3" t="b">
        <v>1</v>
      </c>
      <c r="BG89" s="3" t="b">
        <v>1</v>
      </c>
      <c r="BH89" s="3" t="b">
        <v>1</v>
      </c>
      <c r="BI89" s="3" t="b">
        <v>1</v>
      </c>
      <c r="BJ89" s="3"/>
      <c r="BK89" s="3"/>
      <c r="BL89" s="3"/>
      <c r="BM89" s="3"/>
      <c r="BN89" s="3"/>
      <c r="BO89" s="3" t="s">
        <v>274</v>
      </c>
      <c r="BP89" s="3" t="b">
        <v>1</v>
      </c>
      <c r="BQ89" s="3" t="b">
        <v>1</v>
      </c>
      <c r="BR89" s="3" t="b">
        <v>1</v>
      </c>
      <c r="BS89" s="3" t="b">
        <v>1</v>
      </c>
      <c r="BT89" s="3" t="b">
        <v>0</v>
      </c>
      <c r="BU89" s="3"/>
      <c r="BV89" s="3"/>
      <c r="BW89" s="3"/>
      <c r="BX89" s="3"/>
    </row>
    <row r="90" spans="1:76" x14ac:dyDescent="0.35">
      <c r="A90" s="3"/>
      <c r="B90" s="3" t="s">
        <v>275</v>
      </c>
      <c r="C90" s="3"/>
      <c r="D90" s="3" t="s">
        <v>265</v>
      </c>
      <c r="E90" s="3" t="s">
        <v>266</v>
      </c>
      <c r="F90" s="3"/>
      <c r="G90" s="3"/>
      <c r="H90" s="3"/>
      <c r="I90" s="3"/>
      <c r="J90" s="3"/>
      <c r="K90" s="3"/>
      <c r="L90" s="3"/>
      <c r="M90" s="3"/>
      <c r="N90" s="3">
        <f t="shared" si="0"/>
        <v>0</v>
      </c>
      <c r="O90" s="3">
        <f t="shared" si="1"/>
        <v>0</v>
      </c>
      <c r="P90" s="3">
        <f t="shared" si="2"/>
        <v>0</v>
      </c>
      <c r="Q90" s="3">
        <f t="shared" si="3"/>
        <v>0</v>
      </c>
      <c r="R90" s="3">
        <f t="shared" si="4"/>
        <v>0</v>
      </c>
      <c r="S90" s="3">
        <f t="shared" si="5"/>
        <v>0</v>
      </c>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f t="shared" si="6"/>
        <v>0</v>
      </c>
      <c r="AX90" s="3">
        <f t="shared" si="7"/>
        <v>0</v>
      </c>
      <c r="AY90" s="3">
        <f t="shared" si="8"/>
        <v>0</v>
      </c>
      <c r="AZ90" s="3">
        <f t="shared" si="9"/>
        <v>0</v>
      </c>
      <c r="BA90" s="3">
        <f t="shared" si="10"/>
        <v>0</v>
      </c>
      <c r="BB90" s="3">
        <f t="shared" si="11"/>
        <v>0</v>
      </c>
      <c r="BC90" s="3"/>
      <c r="BD90" s="3"/>
      <c r="BE90" s="3"/>
      <c r="BF90" s="3"/>
      <c r="BG90" s="3"/>
      <c r="BH90" s="3"/>
      <c r="BI90" s="3"/>
      <c r="BJ90" s="3"/>
      <c r="BK90" s="3"/>
      <c r="BL90" s="3"/>
      <c r="BM90" s="3"/>
      <c r="BN90" s="3"/>
      <c r="BO90" s="3"/>
      <c r="BP90" s="3"/>
      <c r="BQ90" s="3"/>
      <c r="BR90" s="3"/>
      <c r="BS90" s="3"/>
      <c r="BT90" s="3"/>
      <c r="BU90" s="3"/>
      <c r="BV90" s="3"/>
      <c r="BW90" s="3"/>
      <c r="BX90" s="3"/>
    </row>
    <row r="91" spans="1:76" x14ac:dyDescent="0.35">
      <c r="A91" s="3"/>
      <c r="B91" s="3" t="s">
        <v>276</v>
      </c>
      <c r="C91" s="3" t="s">
        <v>163</v>
      </c>
      <c r="D91" s="3"/>
      <c r="E91" s="3"/>
      <c r="F91" s="3"/>
      <c r="G91" s="3" t="s">
        <v>3591</v>
      </c>
      <c r="H91" s="3" t="s">
        <v>165</v>
      </c>
      <c r="I91" s="3" t="b">
        <v>1</v>
      </c>
      <c r="J91" s="3" t="b">
        <v>1</v>
      </c>
      <c r="K91" s="3" t="b">
        <v>1</v>
      </c>
      <c r="L91" s="3" t="b">
        <v>1</v>
      </c>
      <c r="M91" s="3" t="b">
        <v>1</v>
      </c>
      <c r="N91" s="3" t="b">
        <f t="shared" si="0"/>
        <v>1</v>
      </c>
      <c r="O91" s="3" t="b">
        <f t="shared" si="1"/>
        <v>0</v>
      </c>
      <c r="P91" s="3" t="b">
        <f t="shared" si="2"/>
        <v>0</v>
      </c>
      <c r="Q91" s="3" t="b">
        <f t="shared" si="3"/>
        <v>0</v>
      </c>
      <c r="R91" s="3" t="b">
        <f t="shared" si="4"/>
        <v>0</v>
      </c>
      <c r="S91" s="3" t="b">
        <f t="shared" si="5"/>
        <v>0</v>
      </c>
      <c r="U91" s="3" t="s">
        <v>165</v>
      </c>
      <c r="V91" s="3" t="b">
        <v>1</v>
      </c>
      <c r="W91" s="3" t="b">
        <v>1</v>
      </c>
      <c r="X91" s="3" t="b">
        <v>1</v>
      </c>
      <c r="Y91" s="3" t="b">
        <v>1</v>
      </c>
      <c r="Z91" s="3" t="b">
        <v>1</v>
      </c>
      <c r="AA91" s="3"/>
      <c r="AB91" s="3"/>
      <c r="AC91" s="3"/>
      <c r="AD91" s="3"/>
      <c r="AE91" s="3"/>
      <c r="AF91" s="3"/>
      <c r="AG91" s="3" t="b">
        <v>1</v>
      </c>
      <c r="AH91" s="3" t="b">
        <v>0</v>
      </c>
      <c r="AI91" s="3" t="b">
        <v>0</v>
      </c>
      <c r="AJ91" s="3" t="b">
        <v>0</v>
      </c>
      <c r="AK91" s="3" t="b">
        <v>0</v>
      </c>
      <c r="AL91" s="3"/>
      <c r="AM91" s="3"/>
      <c r="AN91" s="3"/>
      <c r="AO91" s="3"/>
      <c r="AP91" s="3"/>
      <c r="AQ91" s="3" t="s">
        <v>167</v>
      </c>
      <c r="AR91" s="3" t="b">
        <v>1</v>
      </c>
      <c r="AS91" s="3" t="b">
        <v>1</v>
      </c>
      <c r="AT91" s="3" t="b">
        <v>1</v>
      </c>
      <c r="AU91" s="3" t="b">
        <v>1</v>
      </c>
      <c r="AV91" s="3" t="b">
        <v>1</v>
      </c>
      <c r="AW91" s="3" t="b">
        <f t="shared" si="6"/>
        <v>1</v>
      </c>
      <c r="AX91" s="3" t="b">
        <f t="shared" si="7"/>
        <v>0</v>
      </c>
      <c r="AY91" s="3" t="b">
        <f t="shared" si="8"/>
        <v>0</v>
      </c>
      <c r="AZ91" s="3" t="b">
        <f t="shared" si="9"/>
        <v>0</v>
      </c>
      <c r="BA91" s="3" t="b">
        <f t="shared" si="10"/>
        <v>0</v>
      </c>
      <c r="BB91" s="3" t="b">
        <f t="shared" si="11"/>
        <v>0</v>
      </c>
      <c r="BC91" s="3"/>
      <c r="BD91" s="3" t="s">
        <v>167</v>
      </c>
      <c r="BE91" s="3" t="b">
        <v>1</v>
      </c>
      <c r="BF91" s="3" t="b">
        <v>1</v>
      </c>
      <c r="BG91" s="3" t="b">
        <v>1</v>
      </c>
      <c r="BH91" s="3" t="b">
        <v>1</v>
      </c>
      <c r="BI91" s="3" t="b">
        <v>1</v>
      </c>
      <c r="BJ91" s="3"/>
      <c r="BK91" s="3"/>
      <c r="BL91" s="3"/>
      <c r="BM91" s="3"/>
      <c r="BN91" s="3"/>
      <c r="BO91" s="3" t="s">
        <v>167</v>
      </c>
      <c r="BP91" s="3" t="b">
        <v>1</v>
      </c>
      <c r="BQ91" s="3" t="b">
        <v>1</v>
      </c>
      <c r="BR91" s="3" t="b">
        <v>1</v>
      </c>
      <c r="BS91" s="3" t="b">
        <v>1</v>
      </c>
      <c r="BT91" s="3" t="b">
        <v>1</v>
      </c>
      <c r="BU91" s="3"/>
      <c r="BV91" s="3"/>
      <c r="BW91" s="3"/>
      <c r="BX91" s="3"/>
    </row>
    <row r="92" spans="1:76" x14ac:dyDescent="0.35">
      <c r="A92" s="3"/>
      <c r="B92" s="3" t="s">
        <v>188</v>
      </c>
      <c r="C92" s="3"/>
      <c r="D92" s="3"/>
      <c r="E92" s="3"/>
      <c r="F92" s="3"/>
      <c r="G92" s="3"/>
      <c r="H92" s="3"/>
      <c r="I92" s="3"/>
      <c r="J92" s="3"/>
      <c r="K92" s="3"/>
      <c r="L92" s="3"/>
      <c r="M92" s="3"/>
      <c r="N92" s="3">
        <f t="shared" si="0"/>
        <v>0</v>
      </c>
      <c r="O92" s="3">
        <f t="shared" si="1"/>
        <v>0</v>
      </c>
      <c r="P92" s="3">
        <f t="shared" si="2"/>
        <v>0</v>
      </c>
      <c r="Q92" s="3">
        <f t="shared" si="3"/>
        <v>0</v>
      </c>
      <c r="R92" s="3">
        <f t="shared" si="4"/>
        <v>0</v>
      </c>
      <c r="S92" s="3">
        <f t="shared" si="5"/>
        <v>0</v>
      </c>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f t="shared" si="6"/>
        <v>0</v>
      </c>
      <c r="AX92" s="3">
        <f t="shared" si="7"/>
        <v>0</v>
      </c>
      <c r="AY92" s="3">
        <f t="shared" si="8"/>
        <v>0</v>
      </c>
      <c r="AZ92" s="3">
        <f t="shared" si="9"/>
        <v>0</v>
      </c>
      <c r="BA92" s="3">
        <f t="shared" si="10"/>
        <v>0</v>
      </c>
      <c r="BB92" s="3">
        <f t="shared" si="11"/>
        <v>0</v>
      </c>
      <c r="BC92" s="3"/>
      <c r="BD92" s="3"/>
      <c r="BE92" s="3"/>
      <c r="BF92" s="3"/>
      <c r="BG92" s="3"/>
      <c r="BH92" s="3"/>
      <c r="BI92" s="3"/>
      <c r="BJ92" s="3"/>
      <c r="BK92" s="3"/>
      <c r="BL92" s="3"/>
      <c r="BM92" s="3"/>
      <c r="BN92" s="3"/>
      <c r="BO92" s="3"/>
      <c r="BP92" s="3"/>
      <c r="BQ92" s="3"/>
      <c r="BR92" s="3"/>
      <c r="BS92" s="3"/>
      <c r="BT92" s="3"/>
      <c r="BU92" s="3"/>
      <c r="BV92" s="3"/>
      <c r="BW92" s="3"/>
      <c r="BX92" s="3"/>
    </row>
    <row r="93" spans="1:76" x14ac:dyDescent="0.35">
      <c r="A93" s="5"/>
      <c r="B93" s="5" t="s">
        <v>189</v>
      </c>
      <c r="C93" s="5" t="s">
        <v>131</v>
      </c>
      <c r="D93" s="5"/>
      <c r="E93" s="5"/>
      <c r="F93" s="5"/>
      <c r="G93" s="5"/>
      <c r="H93" s="5"/>
      <c r="I93" s="5"/>
      <c r="J93" s="5"/>
      <c r="K93" s="5"/>
      <c r="L93" s="5"/>
      <c r="M93" s="5"/>
      <c r="N93" s="3">
        <f t="shared" si="0"/>
        <v>0</v>
      </c>
      <c r="O93" s="3">
        <f t="shared" si="1"/>
        <v>0</v>
      </c>
      <c r="P93" s="3">
        <f t="shared" si="2"/>
        <v>0</v>
      </c>
      <c r="Q93" s="3">
        <f t="shared" si="3"/>
        <v>0</v>
      </c>
      <c r="R93" s="3">
        <f t="shared" si="4"/>
        <v>0</v>
      </c>
      <c r="S93" s="3">
        <f t="shared" si="5"/>
        <v>0</v>
      </c>
      <c r="U93" s="5"/>
      <c r="V93" s="5"/>
      <c r="W93" s="5"/>
      <c r="X93" s="5"/>
      <c r="Y93" s="5"/>
      <c r="Z93" s="5"/>
      <c r="AA93" s="3"/>
      <c r="AB93" s="3"/>
      <c r="AC93" s="3"/>
      <c r="AD93" s="3"/>
      <c r="AE93" s="5"/>
      <c r="AF93" s="5"/>
      <c r="AG93" s="5"/>
      <c r="AH93" s="5"/>
      <c r="AI93" s="5"/>
      <c r="AJ93" s="5"/>
      <c r="AK93" s="5"/>
      <c r="AL93" s="3"/>
      <c r="AM93" s="3"/>
      <c r="AN93" s="3"/>
      <c r="AO93" s="3"/>
      <c r="AP93" s="5"/>
      <c r="AQ93" s="5"/>
      <c r="AR93" s="5"/>
      <c r="AS93" s="5"/>
      <c r="AT93" s="5"/>
      <c r="AU93" s="5"/>
      <c r="AV93" s="5"/>
      <c r="AW93" s="3">
        <f t="shared" si="6"/>
        <v>0</v>
      </c>
      <c r="AX93" s="3">
        <f t="shared" si="7"/>
        <v>0</v>
      </c>
      <c r="AY93" s="3">
        <f t="shared" si="8"/>
        <v>0</v>
      </c>
      <c r="AZ93" s="3">
        <f t="shared" si="9"/>
        <v>0</v>
      </c>
      <c r="BA93" s="3">
        <f t="shared" si="10"/>
        <v>0</v>
      </c>
      <c r="BB93" s="3">
        <f t="shared" si="11"/>
        <v>0</v>
      </c>
      <c r="BC93" s="5"/>
      <c r="BD93" s="5"/>
      <c r="BE93" s="5"/>
      <c r="BF93" s="5"/>
      <c r="BG93" s="5"/>
      <c r="BH93" s="5"/>
      <c r="BI93" s="5"/>
      <c r="BJ93" s="5"/>
      <c r="BK93" s="5"/>
      <c r="BL93" s="5"/>
      <c r="BM93" s="5"/>
      <c r="BN93" s="5"/>
      <c r="BO93" s="5"/>
      <c r="BP93" s="5"/>
      <c r="BQ93" s="5"/>
      <c r="BR93" s="5"/>
      <c r="BS93" s="5"/>
      <c r="BT93" s="5"/>
      <c r="BU93" s="5"/>
      <c r="BV93" s="5"/>
      <c r="BW93" s="5"/>
      <c r="BX93" s="5"/>
    </row>
    <row r="94" spans="1:76" x14ac:dyDescent="0.35">
      <c r="A94" s="3"/>
      <c r="B94" s="3" t="s">
        <v>195</v>
      </c>
      <c r="C94" s="3" t="s">
        <v>131</v>
      </c>
      <c r="D94" s="3"/>
      <c r="E94" s="3"/>
      <c r="F94" s="3"/>
      <c r="G94" s="3" t="s">
        <v>3592</v>
      </c>
      <c r="H94" s="3" t="s">
        <v>133</v>
      </c>
      <c r="I94" s="3" t="b">
        <v>1</v>
      </c>
      <c r="J94" s="3" t="b">
        <v>1</v>
      </c>
      <c r="K94" s="3" t="b">
        <v>1</v>
      </c>
      <c r="L94" s="3" t="b">
        <v>1</v>
      </c>
      <c r="M94" s="3" t="b">
        <v>1</v>
      </c>
      <c r="N94" s="3" t="b">
        <f t="shared" si="0"/>
        <v>1</v>
      </c>
      <c r="O94" s="3" t="b">
        <f t="shared" si="1"/>
        <v>0</v>
      </c>
      <c r="P94" s="3" t="b">
        <f t="shared" si="2"/>
        <v>0</v>
      </c>
      <c r="Q94" s="3" t="b">
        <f t="shared" si="3"/>
        <v>0</v>
      </c>
      <c r="R94" s="3" t="b">
        <f t="shared" si="4"/>
        <v>0</v>
      </c>
      <c r="S94" s="3" t="b">
        <f t="shared" si="5"/>
        <v>0</v>
      </c>
      <c r="U94" s="3" t="s">
        <v>133</v>
      </c>
      <c r="V94" s="3" t="b">
        <v>1</v>
      </c>
      <c r="W94" s="3" t="b">
        <v>1</v>
      </c>
      <c r="X94" s="3" t="b">
        <v>1</v>
      </c>
      <c r="Y94" s="3" t="b">
        <v>1</v>
      </c>
      <c r="Z94" s="3" t="b">
        <v>1</v>
      </c>
      <c r="AA94" s="3"/>
      <c r="AB94" s="3"/>
      <c r="AC94" s="3"/>
      <c r="AD94" s="3"/>
      <c r="AE94" s="3"/>
      <c r="AF94" s="3" t="s">
        <v>133</v>
      </c>
      <c r="AG94" s="3" t="b">
        <v>1</v>
      </c>
      <c r="AH94" s="3" t="b">
        <v>1</v>
      </c>
      <c r="AI94" s="3" t="b">
        <v>1</v>
      </c>
      <c r="AJ94" s="3" t="b">
        <v>1</v>
      </c>
      <c r="AK94" s="3" t="b">
        <v>1</v>
      </c>
      <c r="AL94" s="3"/>
      <c r="AM94" s="3"/>
      <c r="AN94" s="3"/>
      <c r="AO94" s="3"/>
      <c r="AP94" s="3"/>
      <c r="AQ94" s="3" t="s">
        <v>133</v>
      </c>
      <c r="AR94" s="3" t="b">
        <v>1</v>
      </c>
      <c r="AS94" s="3" t="b">
        <v>1</v>
      </c>
      <c r="AT94" s="3" t="b">
        <v>1</v>
      </c>
      <c r="AU94" s="3" t="b">
        <v>1</v>
      </c>
      <c r="AV94" s="3" t="b">
        <v>1</v>
      </c>
      <c r="AW94" s="3" t="b">
        <f t="shared" si="6"/>
        <v>1</v>
      </c>
      <c r="AX94" s="3" t="b">
        <f t="shared" si="7"/>
        <v>0</v>
      </c>
      <c r="AY94" s="3" t="b">
        <f t="shared" si="8"/>
        <v>0</v>
      </c>
      <c r="AZ94" s="3" t="b">
        <f t="shared" si="9"/>
        <v>0</v>
      </c>
      <c r="BA94" s="3" t="b">
        <f t="shared" si="10"/>
        <v>0</v>
      </c>
      <c r="BB94" s="3" t="b">
        <f t="shared" si="11"/>
        <v>0</v>
      </c>
      <c r="BC94" s="3"/>
      <c r="BD94" s="3" t="s">
        <v>133</v>
      </c>
      <c r="BE94" s="3" t="b">
        <v>1</v>
      </c>
      <c r="BF94" s="3" t="b">
        <v>1</v>
      </c>
      <c r="BG94" s="3" t="b">
        <v>1</v>
      </c>
      <c r="BH94" s="3" t="b">
        <v>1</v>
      </c>
      <c r="BI94" s="3" t="b">
        <v>1</v>
      </c>
      <c r="BJ94" s="3"/>
      <c r="BK94" s="3"/>
      <c r="BL94" s="3"/>
      <c r="BM94" s="3"/>
      <c r="BN94" s="3"/>
      <c r="BO94" s="3" t="s">
        <v>133</v>
      </c>
      <c r="BP94" s="3" t="b">
        <v>1</v>
      </c>
      <c r="BQ94" s="3" t="b">
        <v>1</v>
      </c>
      <c r="BR94" s="3" t="b">
        <v>1</v>
      </c>
      <c r="BS94" s="3" t="b">
        <v>1</v>
      </c>
      <c r="BT94" s="3" t="b">
        <v>1</v>
      </c>
      <c r="BU94" s="3"/>
      <c r="BV94" s="3"/>
      <c r="BW94" s="3"/>
      <c r="BX94" s="3"/>
    </row>
    <row r="95" spans="1:76" x14ac:dyDescent="0.35">
      <c r="A95" s="3"/>
      <c r="B95" s="3"/>
      <c r="C95" s="3" t="s">
        <v>197</v>
      </c>
      <c r="D95" s="3"/>
      <c r="E95" s="3"/>
      <c r="F95" s="3"/>
      <c r="G95" s="3" t="s">
        <v>3593</v>
      </c>
      <c r="H95" s="3" t="s">
        <v>199</v>
      </c>
      <c r="I95" s="3" t="b">
        <v>1</v>
      </c>
      <c r="J95" s="3" t="b">
        <v>1</v>
      </c>
      <c r="K95" s="3" t="b">
        <v>1</v>
      </c>
      <c r="L95" s="3" t="b">
        <v>1</v>
      </c>
      <c r="M95" s="3" t="b">
        <v>1</v>
      </c>
      <c r="N95" s="3" t="b">
        <f t="shared" si="0"/>
        <v>1</v>
      </c>
      <c r="O95" s="3" t="b">
        <f t="shared" si="1"/>
        <v>0</v>
      </c>
      <c r="P95" s="3" t="b">
        <f t="shared" si="2"/>
        <v>0</v>
      </c>
      <c r="Q95" s="3" t="b">
        <f t="shared" si="3"/>
        <v>0</v>
      </c>
      <c r="R95" s="3" t="b">
        <f t="shared" si="4"/>
        <v>0</v>
      </c>
      <c r="S95" s="3" t="b">
        <f t="shared" si="5"/>
        <v>0</v>
      </c>
      <c r="U95" s="3" t="s">
        <v>199</v>
      </c>
      <c r="V95" s="3" t="b">
        <v>1</v>
      </c>
      <c r="W95" s="3" t="b">
        <v>1</v>
      </c>
      <c r="X95" s="3" t="b">
        <v>1</v>
      </c>
      <c r="Y95" s="3" t="b">
        <v>1</v>
      </c>
      <c r="Z95" s="3" t="b">
        <v>1</v>
      </c>
      <c r="AA95" s="3"/>
      <c r="AB95" s="3"/>
      <c r="AC95" s="3"/>
      <c r="AD95" s="3"/>
      <c r="AE95" s="3"/>
      <c r="AF95" s="3"/>
      <c r="AG95" s="3" t="b">
        <v>1</v>
      </c>
      <c r="AH95" s="3" t="b">
        <v>0</v>
      </c>
      <c r="AI95" s="3" t="b">
        <v>0</v>
      </c>
      <c r="AJ95" s="3" t="b">
        <v>0</v>
      </c>
      <c r="AK95" s="3" t="b">
        <v>0</v>
      </c>
      <c r="AL95" s="3"/>
      <c r="AM95" s="3"/>
      <c r="AN95" s="3"/>
      <c r="AO95" s="3"/>
      <c r="AP95" s="3"/>
      <c r="AQ95" s="3" t="s">
        <v>279</v>
      </c>
      <c r="AR95" s="3" t="b">
        <v>1</v>
      </c>
      <c r="AS95" s="3" t="b">
        <v>1</v>
      </c>
      <c r="AT95" s="3" t="b">
        <v>1</v>
      </c>
      <c r="AU95" s="3" t="b">
        <v>1</v>
      </c>
      <c r="AV95" s="3" t="b">
        <v>0</v>
      </c>
      <c r="AW95" s="3" t="b">
        <f t="shared" si="6"/>
        <v>0</v>
      </c>
      <c r="AX95" s="3" t="b">
        <f t="shared" si="7"/>
        <v>1</v>
      </c>
      <c r="AY95" s="3" t="b">
        <f t="shared" si="8"/>
        <v>0</v>
      </c>
      <c r="AZ95" s="3" t="b">
        <f t="shared" si="9"/>
        <v>0</v>
      </c>
      <c r="BA95" s="3" t="b">
        <f t="shared" si="10"/>
        <v>1</v>
      </c>
      <c r="BB95" s="3" t="b">
        <f t="shared" si="11"/>
        <v>0</v>
      </c>
      <c r="BC95" s="3"/>
      <c r="BD95" s="3" t="s">
        <v>199</v>
      </c>
      <c r="BE95" s="3" t="b">
        <v>1</v>
      </c>
      <c r="BF95" s="3" t="b">
        <v>1</v>
      </c>
      <c r="BG95" s="3" t="b">
        <v>1</v>
      </c>
      <c r="BH95" s="3" t="b">
        <v>1</v>
      </c>
      <c r="BI95" s="3" t="b">
        <v>1</v>
      </c>
      <c r="BJ95" s="3"/>
      <c r="BK95" s="3"/>
      <c r="BL95" s="3"/>
      <c r="BM95" s="3"/>
      <c r="BN95" s="3"/>
      <c r="BO95" s="3" t="s">
        <v>199</v>
      </c>
      <c r="BP95" s="3" t="b">
        <v>1</v>
      </c>
      <c r="BQ95" s="3" t="b">
        <v>1</v>
      </c>
      <c r="BR95" s="3" t="b">
        <v>1</v>
      </c>
      <c r="BS95" s="3" t="b">
        <v>1</v>
      </c>
      <c r="BT95" s="3" t="b">
        <v>1</v>
      </c>
      <c r="BU95" s="3"/>
      <c r="BV95" s="3"/>
      <c r="BW95" s="3"/>
      <c r="BX95" s="3"/>
    </row>
    <row r="96" spans="1:76" x14ac:dyDescent="0.35">
      <c r="A96" s="3"/>
      <c r="B96" s="3" t="s">
        <v>206</v>
      </c>
      <c r="C96" s="3" t="s">
        <v>207</v>
      </c>
      <c r="D96" s="3" t="s">
        <v>208</v>
      </c>
      <c r="E96" s="3" t="s">
        <v>209</v>
      </c>
      <c r="F96" s="3"/>
      <c r="G96" s="3" t="s">
        <v>3594</v>
      </c>
      <c r="H96" s="3" t="s">
        <v>210</v>
      </c>
      <c r="I96" s="3" t="b">
        <v>1</v>
      </c>
      <c r="J96" s="3" t="b">
        <v>1</v>
      </c>
      <c r="K96" s="3" t="b">
        <v>0</v>
      </c>
      <c r="L96" s="3" t="b">
        <v>1</v>
      </c>
      <c r="M96" s="3" t="b">
        <v>1</v>
      </c>
      <c r="N96" s="3" t="b">
        <f t="shared" si="0"/>
        <v>0</v>
      </c>
      <c r="O96" s="3" t="b">
        <f t="shared" si="1"/>
        <v>0</v>
      </c>
      <c r="P96" s="3" t="b">
        <f t="shared" si="2"/>
        <v>0</v>
      </c>
      <c r="Q96" s="3" t="b">
        <f t="shared" si="3"/>
        <v>1</v>
      </c>
      <c r="R96" s="3" t="b">
        <f t="shared" si="4"/>
        <v>0</v>
      </c>
      <c r="S96" s="3" t="b">
        <f t="shared" si="5"/>
        <v>1</v>
      </c>
      <c r="U96" s="3" t="s">
        <v>210</v>
      </c>
      <c r="V96" s="3" t="b">
        <v>1</v>
      </c>
      <c r="W96" s="3" t="b">
        <v>1</v>
      </c>
      <c r="X96" s="3" t="b">
        <v>0</v>
      </c>
      <c r="Y96" s="3" t="b">
        <v>1</v>
      </c>
      <c r="Z96" s="3" t="b">
        <v>1</v>
      </c>
      <c r="AA96" s="3"/>
      <c r="AB96" s="3"/>
      <c r="AC96" s="3"/>
      <c r="AD96" s="3"/>
      <c r="AE96" s="3"/>
      <c r="AF96" s="3" t="s">
        <v>210</v>
      </c>
      <c r="AG96" s="3" t="b">
        <v>1</v>
      </c>
      <c r="AH96" s="3" t="b">
        <v>1</v>
      </c>
      <c r="AI96" s="3" t="b">
        <v>0</v>
      </c>
      <c r="AJ96" s="3" t="b">
        <v>1</v>
      </c>
      <c r="AK96" s="3" t="b">
        <v>1</v>
      </c>
      <c r="AL96" s="3"/>
      <c r="AM96" s="3"/>
      <c r="AN96" s="3"/>
      <c r="AO96" s="3"/>
      <c r="AP96" s="3"/>
      <c r="AQ96" s="3" t="s">
        <v>210</v>
      </c>
      <c r="AR96" s="3" t="b">
        <v>1</v>
      </c>
      <c r="AS96" s="3" t="b">
        <v>1</v>
      </c>
      <c r="AT96" s="3" t="b">
        <v>0</v>
      </c>
      <c r="AU96" s="3" t="b">
        <v>1</v>
      </c>
      <c r="AV96" s="3" t="b">
        <v>1</v>
      </c>
      <c r="AW96" s="3" t="b">
        <f t="shared" si="6"/>
        <v>0</v>
      </c>
      <c r="AX96" s="3" t="b">
        <f t="shared" si="7"/>
        <v>0</v>
      </c>
      <c r="AY96" s="3" t="b">
        <f t="shared" si="8"/>
        <v>0</v>
      </c>
      <c r="AZ96" s="3" t="b">
        <f t="shared" si="9"/>
        <v>1</v>
      </c>
      <c r="BA96" s="3" t="b">
        <f t="shared" si="10"/>
        <v>0</v>
      </c>
      <c r="BB96" s="3" t="b">
        <f t="shared" si="11"/>
        <v>1</v>
      </c>
      <c r="BC96" s="3"/>
      <c r="BD96" s="3" t="s">
        <v>210</v>
      </c>
      <c r="BE96" s="3" t="b">
        <v>1</v>
      </c>
      <c r="BF96" s="3" t="b">
        <v>1</v>
      </c>
      <c r="BG96" s="3" t="b">
        <v>0</v>
      </c>
      <c r="BH96" s="3" t="b">
        <v>1</v>
      </c>
      <c r="BI96" s="3" t="b">
        <v>1</v>
      </c>
      <c r="BJ96" s="3"/>
      <c r="BK96" s="3"/>
      <c r="BL96" s="3"/>
      <c r="BM96" s="3"/>
      <c r="BN96" s="3"/>
      <c r="BO96" s="3" t="s">
        <v>210</v>
      </c>
      <c r="BP96" s="3" t="b">
        <v>1</v>
      </c>
      <c r="BQ96" s="3" t="b">
        <v>1</v>
      </c>
      <c r="BR96" s="3" t="b">
        <v>0</v>
      </c>
      <c r="BS96" s="3" t="b">
        <v>1</v>
      </c>
      <c r="BT96" s="3" t="b">
        <v>1</v>
      </c>
      <c r="BU96" s="3"/>
      <c r="BV96" s="3"/>
      <c r="BW96" s="3"/>
      <c r="BX96" s="3"/>
    </row>
    <row r="97" spans="1:76" x14ac:dyDescent="0.35">
      <c r="A97" s="3"/>
      <c r="B97" s="3"/>
      <c r="C97" s="3"/>
      <c r="D97" s="3"/>
      <c r="E97" s="3"/>
      <c r="F97" s="3"/>
      <c r="G97" s="3"/>
      <c r="H97" s="3"/>
      <c r="I97" s="3"/>
      <c r="J97" s="3"/>
      <c r="K97" s="3"/>
      <c r="L97" s="3"/>
      <c r="M97" s="3"/>
      <c r="N97" s="3">
        <f t="shared" si="0"/>
        <v>0</v>
      </c>
      <c r="O97" s="3">
        <f t="shared" si="1"/>
        <v>0</v>
      </c>
      <c r="P97" s="3">
        <f t="shared" si="2"/>
        <v>0</v>
      </c>
      <c r="Q97" s="3">
        <f t="shared" si="3"/>
        <v>0</v>
      </c>
      <c r="R97" s="3">
        <f t="shared" si="4"/>
        <v>0</v>
      </c>
      <c r="S97" s="3">
        <f t="shared" si="5"/>
        <v>0</v>
      </c>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f t="shared" si="6"/>
        <v>0</v>
      </c>
      <c r="AX97" s="3">
        <f t="shared" si="7"/>
        <v>0</v>
      </c>
      <c r="AY97" s="3">
        <f t="shared" si="8"/>
        <v>0</v>
      </c>
      <c r="AZ97" s="3">
        <f t="shared" si="9"/>
        <v>0</v>
      </c>
      <c r="BA97" s="3">
        <f t="shared" si="10"/>
        <v>0</v>
      </c>
      <c r="BB97" s="3">
        <f t="shared" si="11"/>
        <v>0</v>
      </c>
      <c r="BC97" s="3"/>
      <c r="BD97" s="3"/>
      <c r="BE97" s="3"/>
      <c r="BF97" s="3"/>
      <c r="BG97" s="3"/>
      <c r="BH97" s="3"/>
      <c r="BI97" s="3"/>
      <c r="BJ97" s="3"/>
      <c r="BK97" s="3"/>
      <c r="BL97" s="3"/>
      <c r="BM97" s="3"/>
      <c r="BN97" s="3"/>
      <c r="BO97" s="3"/>
      <c r="BP97" s="3"/>
      <c r="BQ97" s="3"/>
      <c r="BR97" s="3"/>
      <c r="BS97" s="3"/>
      <c r="BT97" s="3"/>
      <c r="BU97" s="3"/>
      <c r="BV97" s="3"/>
      <c r="BW97" s="3"/>
      <c r="BX97" s="3"/>
    </row>
    <row r="98" spans="1:76" x14ac:dyDescent="0.35">
      <c r="A98" s="3" t="s">
        <v>280</v>
      </c>
      <c r="B98" s="3" t="s">
        <v>281</v>
      </c>
      <c r="C98" s="3" t="s">
        <v>25</v>
      </c>
      <c r="D98" s="3"/>
      <c r="E98" s="3"/>
      <c r="F98" s="3"/>
      <c r="G98" s="3" t="s">
        <v>3595</v>
      </c>
      <c r="H98" s="3" t="s">
        <v>28</v>
      </c>
      <c r="I98" s="3" t="b">
        <v>1</v>
      </c>
      <c r="J98" s="3" t="b">
        <v>1</v>
      </c>
      <c r="K98" s="3" t="b">
        <v>1</v>
      </c>
      <c r="L98" s="3" t="b">
        <v>1</v>
      </c>
      <c r="M98" s="3" t="b">
        <v>1</v>
      </c>
      <c r="N98" s="3" t="b">
        <f t="shared" si="0"/>
        <v>1</v>
      </c>
      <c r="O98" s="3" t="b">
        <f t="shared" si="1"/>
        <v>0</v>
      </c>
      <c r="P98" s="3" t="b">
        <f t="shared" si="2"/>
        <v>0</v>
      </c>
      <c r="Q98" s="3" t="b">
        <f t="shared" si="3"/>
        <v>0</v>
      </c>
      <c r="R98" s="3" t="b">
        <f t="shared" si="4"/>
        <v>0</v>
      </c>
      <c r="S98" s="3" t="b">
        <f t="shared" si="5"/>
        <v>0</v>
      </c>
      <c r="U98" s="3" t="s">
        <v>28</v>
      </c>
      <c r="V98" s="3" t="b">
        <v>1</v>
      </c>
      <c r="W98" s="3" t="b">
        <v>1</v>
      </c>
      <c r="X98" s="3" t="b">
        <v>1</v>
      </c>
      <c r="Y98" s="3" t="b">
        <v>1</v>
      </c>
      <c r="Z98" s="3" t="b">
        <v>1</v>
      </c>
      <c r="AA98" s="3"/>
      <c r="AB98" s="3"/>
      <c r="AC98" s="3"/>
      <c r="AD98" s="3"/>
      <c r="AE98" s="3"/>
      <c r="AF98" s="3" t="s">
        <v>28</v>
      </c>
      <c r="AG98" s="3" t="b">
        <v>1</v>
      </c>
      <c r="AH98" s="3" t="b">
        <v>1</v>
      </c>
      <c r="AI98" s="3" t="b">
        <v>1</v>
      </c>
      <c r="AJ98" s="3" t="b">
        <v>1</v>
      </c>
      <c r="AK98" s="3" t="b">
        <v>1</v>
      </c>
      <c r="AL98" s="3"/>
      <c r="AM98" s="3"/>
      <c r="AN98" s="3"/>
      <c r="AO98" s="3"/>
      <c r="AP98" s="3"/>
      <c r="AQ98" s="3" t="s">
        <v>28</v>
      </c>
      <c r="AR98" s="3" t="b">
        <v>1</v>
      </c>
      <c r="AS98" s="3" t="b">
        <v>1</v>
      </c>
      <c r="AT98" s="3" t="b">
        <v>1</v>
      </c>
      <c r="AU98" s="3" t="b">
        <v>1</v>
      </c>
      <c r="AV98" s="3" t="b">
        <v>1</v>
      </c>
      <c r="AW98" s="3" t="b">
        <f t="shared" si="6"/>
        <v>1</v>
      </c>
      <c r="AX98" s="3" t="b">
        <f t="shared" si="7"/>
        <v>0</v>
      </c>
      <c r="AY98" s="3" t="b">
        <f t="shared" si="8"/>
        <v>0</v>
      </c>
      <c r="AZ98" s="3" t="b">
        <f t="shared" si="9"/>
        <v>0</v>
      </c>
      <c r="BA98" s="3" t="b">
        <f t="shared" si="10"/>
        <v>0</v>
      </c>
      <c r="BB98" s="3" t="b">
        <f t="shared" si="11"/>
        <v>0</v>
      </c>
      <c r="BC98" s="3"/>
      <c r="BD98" s="3" t="s">
        <v>28</v>
      </c>
      <c r="BE98" s="3" t="b">
        <v>1</v>
      </c>
      <c r="BF98" s="3" t="b">
        <v>1</v>
      </c>
      <c r="BG98" s="3" t="b">
        <v>1</v>
      </c>
      <c r="BH98" s="3" t="b">
        <v>1</v>
      </c>
      <c r="BI98" s="3" t="b">
        <v>1</v>
      </c>
      <c r="BJ98" s="3"/>
      <c r="BK98" s="3"/>
      <c r="BL98" s="3"/>
      <c r="BM98" s="3"/>
      <c r="BN98" s="3"/>
      <c r="BO98" s="3" t="s">
        <v>28</v>
      </c>
      <c r="BP98" s="3" t="b">
        <v>1</v>
      </c>
      <c r="BQ98" s="3" t="b">
        <v>1</v>
      </c>
      <c r="BR98" s="3" t="b">
        <v>1</v>
      </c>
      <c r="BS98" s="3" t="b">
        <v>1</v>
      </c>
      <c r="BT98" s="3" t="b">
        <v>1</v>
      </c>
      <c r="BU98" s="3"/>
      <c r="BV98" s="3"/>
      <c r="BW98" s="3"/>
      <c r="BX98" s="3"/>
    </row>
    <row r="99" spans="1:76" x14ac:dyDescent="0.35">
      <c r="A99" s="3"/>
      <c r="B99" s="3"/>
      <c r="C99" s="3" t="s">
        <v>29</v>
      </c>
      <c r="D99" s="3"/>
      <c r="E99" s="3"/>
      <c r="F99" s="3"/>
      <c r="G99" s="3" t="s">
        <v>3596</v>
      </c>
      <c r="H99" s="3" t="s">
        <v>31</v>
      </c>
      <c r="I99" s="3" t="b">
        <v>1</v>
      </c>
      <c r="J99" s="3" t="b">
        <v>1</v>
      </c>
      <c r="K99" s="3" t="b">
        <v>1</v>
      </c>
      <c r="L99" s="3" t="b">
        <v>1</v>
      </c>
      <c r="M99" s="3" t="b">
        <v>1</v>
      </c>
      <c r="N99" s="3" t="b">
        <f t="shared" si="0"/>
        <v>1</v>
      </c>
      <c r="O99" s="3" t="b">
        <f t="shared" si="1"/>
        <v>0</v>
      </c>
      <c r="P99" s="3" t="b">
        <f t="shared" si="2"/>
        <v>0</v>
      </c>
      <c r="Q99" s="3" t="b">
        <f t="shared" si="3"/>
        <v>0</v>
      </c>
      <c r="R99" s="3" t="b">
        <f t="shared" si="4"/>
        <v>0</v>
      </c>
      <c r="S99" s="3" t="b">
        <f t="shared" si="5"/>
        <v>0</v>
      </c>
      <c r="U99" s="3" t="s">
        <v>31</v>
      </c>
      <c r="V99" s="3" t="b">
        <v>1</v>
      </c>
      <c r="W99" s="3" t="b">
        <v>1</v>
      </c>
      <c r="X99" s="3" t="b">
        <v>1</v>
      </c>
      <c r="Y99" s="3" t="b">
        <v>1</v>
      </c>
      <c r="Z99" s="3" t="b">
        <v>1</v>
      </c>
      <c r="AA99" s="3"/>
      <c r="AB99" s="3"/>
      <c r="AC99" s="3"/>
      <c r="AD99" s="3"/>
      <c r="AE99" s="3"/>
      <c r="AF99" s="3" t="s">
        <v>31</v>
      </c>
      <c r="AG99" s="3" t="b">
        <v>1</v>
      </c>
      <c r="AH99" s="3" t="b">
        <v>1</v>
      </c>
      <c r="AI99" s="3" t="b">
        <v>1</v>
      </c>
      <c r="AJ99" s="3" t="b">
        <v>1</v>
      </c>
      <c r="AK99" s="3" t="b">
        <v>1</v>
      </c>
      <c r="AL99" s="3"/>
      <c r="AM99" s="3"/>
      <c r="AN99" s="3"/>
      <c r="AO99" s="3"/>
      <c r="AP99" s="3"/>
      <c r="AQ99" s="3" t="s">
        <v>31</v>
      </c>
      <c r="AR99" s="3" t="b">
        <v>1</v>
      </c>
      <c r="AS99" s="3" t="b">
        <v>1</v>
      </c>
      <c r="AT99" s="3" t="b">
        <v>1</v>
      </c>
      <c r="AU99" s="3" t="b">
        <v>1</v>
      </c>
      <c r="AV99" s="3" t="b">
        <v>1</v>
      </c>
      <c r="AW99" s="3" t="b">
        <f t="shared" si="6"/>
        <v>1</v>
      </c>
      <c r="AX99" s="3" t="b">
        <f t="shared" si="7"/>
        <v>0</v>
      </c>
      <c r="AY99" s="3" t="b">
        <f t="shared" si="8"/>
        <v>0</v>
      </c>
      <c r="AZ99" s="3" t="b">
        <f t="shared" si="9"/>
        <v>0</v>
      </c>
      <c r="BA99" s="3" t="b">
        <f t="shared" si="10"/>
        <v>0</v>
      </c>
      <c r="BB99" s="3" t="b">
        <f t="shared" si="11"/>
        <v>0</v>
      </c>
      <c r="BC99" s="3"/>
      <c r="BD99" s="3" t="s">
        <v>31</v>
      </c>
      <c r="BE99" s="3" t="b">
        <v>1</v>
      </c>
      <c r="BF99" s="3" t="b">
        <v>1</v>
      </c>
      <c r="BG99" s="3" t="b">
        <v>1</v>
      </c>
      <c r="BH99" s="3" t="b">
        <v>1</v>
      </c>
      <c r="BI99" s="3" t="b">
        <v>1</v>
      </c>
      <c r="BJ99" s="3"/>
      <c r="BK99" s="3"/>
      <c r="BL99" s="3"/>
      <c r="BM99" s="3"/>
      <c r="BN99" s="3"/>
      <c r="BO99" s="3" t="s">
        <v>31</v>
      </c>
      <c r="BP99" s="3" t="b">
        <v>1</v>
      </c>
      <c r="BQ99" s="3" t="b">
        <v>1</v>
      </c>
      <c r="BR99" s="3" t="b">
        <v>1</v>
      </c>
      <c r="BS99" s="3" t="b">
        <v>1</v>
      </c>
      <c r="BT99" s="3" t="b">
        <v>1</v>
      </c>
      <c r="BU99" s="3"/>
      <c r="BV99" s="3"/>
      <c r="BW99" s="3"/>
      <c r="BX99" s="3"/>
    </row>
    <row r="100" spans="1:76" x14ac:dyDescent="0.35">
      <c r="A100" s="3"/>
      <c r="B100" s="3" t="s">
        <v>284</v>
      </c>
      <c r="C100" s="3" t="s">
        <v>33</v>
      </c>
      <c r="D100" s="3" t="s">
        <v>34</v>
      </c>
      <c r="E100" s="3" t="s">
        <v>35</v>
      </c>
      <c r="F100" s="3"/>
      <c r="G100" s="3" t="s">
        <v>3597</v>
      </c>
      <c r="H100" s="3" t="s">
        <v>286</v>
      </c>
      <c r="I100" s="3" t="b">
        <v>1</v>
      </c>
      <c r="J100" s="3" t="b">
        <v>1</v>
      </c>
      <c r="K100" s="3" t="b">
        <v>1</v>
      </c>
      <c r="L100" s="3" t="b">
        <v>1</v>
      </c>
      <c r="M100" s="3" t="b">
        <v>1</v>
      </c>
      <c r="N100" s="3" t="b">
        <f t="shared" si="0"/>
        <v>1</v>
      </c>
      <c r="O100" s="3" t="b">
        <f t="shared" si="1"/>
        <v>0</v>
      </c>
      <c r="P100" s="3" t="b">
        <f t="shared" si="2"/>
        <v>0</v>
      </c>
      <c r="Q100" s="3" t="b">
        <f t="shared" si="3"/>
        <v>0</v>
      </c>
      <c r="R100" s="3" t="b">
        <f t="shared" si="4"/>
        <v>0</v>
      </c>
      <c r="S100" s="3" t="b">
        <f t="shared" si="5"/>
        <v>0</v>
      </c>
      <c r="U100" s="3" t="s">
        <v>286</v>
      </c>
      <c r="V100" s="3" t="b">
        <v>1</v>
      </c>
      <c r="W100" s="3" t="b">
        <v>1</v>
      </c>
      <c r="X100" s="3" t="b">
        <v>1</v>
      </c>
      <c r="Y100" s="3" t="b">
        <v>1</v>
      </c>
      <c r="Z100" s="3" t="b">
        <v>1</v>
      </c>
      <c r="AA100" s="3"/>
      <c r="AB100" s="3"/>
      <c r="AC100" s="3"/>
      <c r="AD100" s="3"/>
      <c r="AE100" s="3"/>
      <c r="AF100" s="3" t="s">
        <v>217</v>
      </c>
      <c r="AG100" s="3" t="b">
        <v>1</v>
      </c>
      <c r="AH100" s="3" t="b">
        <v>1</v>
      </c>
      <c r="AI100" s="3" t="b">
        <v>1</v>
      </c>
      <c r="AJ100" s="3" t="b">
        <v>1</v>
      </c>
      <c r="AK100" s="3" t="b">
        <v>1</v>
      </c>
      <c r="AL100" s="3"/>
      <c r="AM100" s="3"/>
      <c r="AN100" s="3"/>
      <c r="AO100" s="3"/>
      <c r="AP100" s="3"/>
      <c r="AQ100" s="3" t="s">
        <v>37</v>
      </c>
      <c r="AR100" s="3" t="b">
        <v>1</v>
      </c>
      <c r="AS100" s="3" t="b">
        <v>1</v>
      </c>
      <c r="AT100" s="3" t="b">
        <v>1</v>
      </c>
      <c r="AU100" s="3" t="b">
        <v>1</v>
      </c>
      <c r="AV100" s="3" t="b">
        <v>1</v>
      </c>
      <c r="AW100" s="3" t="b">
        <f t="shared" si="6"/>
        <v>1</v>
      </c>
      <c r="AX100" s="3" t="b">
        <f t="shared" si="7"/>
        <v>0</v>
      </c>
      <c r="AY100" s="3" t="b">
        <f t="shared" si="8"/>
        <v>0</v>
      </c>
      <c r="AZ100" s="3" t="b">
        <f t="shared" si="9"/>
        <v>0</v>
      </c>
      <c r="BA100" s="3" t="b">
        <f t="shared" si="10"/>
        <v>0</v>
      </c>
      <c r="BB100" s="3" t="b">
        <f t="shared" si="11"/>
        <v>0</v>
      </c>
      <c r="BC100" s="3"/>
      <c r="BD100" s="3" t="s">
        <v>37</v>
      </c>
      <c r="BE100" s="3" t="b">
        <v>1</v>
      </c>
      <c r="BF100" s="3" t="b">
        <v>1</v>
      </c>
      <c r="BG100" s="3" t="b">
        <v>1</v>
      </c>
      <c r="BH100" s="3" t="b">
        <v>1</v>
      </c>
      <c r="BI100" s="3" t="b">
        <v>1</v>
      </c>
      <c r="BJ100" s="3"/>
      <c r="BK100" s="3"/>
      <c r="BL100" s="3"/>
      <c r="BM100" s="3"/>
      <c r="BN100" s="3"/>
      <c r="BO100" s="3" t="s">
        <v>37</v>
      </c>
      <c r="BP100" s="3" t="b">
        <v>1</v>
      </c>
      <c r="BQ100" s="3" t="b">
        <v>1</v>
      </c>
      <c r="BR100" s="3" t="b">
        <v>1</v>
      </c>
      <c r="BS100" s="3" t="b">
        <v>1</v>
      </c>
      <c r="BT100" s="3" t="b">
        <v>1</v>
      </c>
      <c r="BU100" s="3"/>
      <c r="BV100" s="3"/>
      <c r="BW100" s="3"/>
      <c r="BX100" s="3"/>
    </row>
    <row r="101" spans="1:76" x14ac:dyDescent="0.35">
      <c r="A101" s="3"/>
      <c r="B101" s="3"/>
      <c r="C101" s="3" t="s">
        <v>287</v>
      </c>
      <c r="D101" s="3"/>
      <c r="E101" s="3"/>
      <c r="F101" s="3"/>
      <c r="G101" s="3" t="s">
        <v>3598</v>
      </c>
      <c r="H101" s="3" t="s">
        <v>289</v>
      </c>
      <c r="I101" s="3" t="b">
        <v>1</v>
      </c>
      <c r="J101" s="3" t="b">
        <v>1</v>
      </c>
      <c r="K101" s="3" t="b">
        <v>1</v>
      </c>
      <c r="L101" s="3" t="b">
        <v>1</v>
      </c>
      <c r="M101" s="3" t="b">
        <v>0</v>
      </c>
      <c r="N101" s="3" t="b">
        <f t="shared" si="0"/>
        <v>0</v>
      </c>
      <c r="O101" s="3" t="b">
        <f t="shared" si="1"/>
        <v>1</v>
      </c>
      <c r="P101" s="3" t="b">
        <f t="shared" si="2"/>
        <v>0</v>
      </c>
      <c r="Q101" s="3" t="b">
        <f t="shared" si="3"/>
        <v>0</v>
      </c>
      <c r="R101" s="3" t="b">
        <f t="shared" si="4"/>
        <v>1</v>
      </c>
      <c r="S101" s="3" t="b">
        <f t="shared" si="5"/>
        <v>0</v>
      </c>
      <c r="U101" s="3" t="s">
        <v>40</v>
      </c>
      <c r="V101" s="3" t="b">
        <v>1</v>
      </c>
      <c r="W101" s="3" t="b">
        <v>1</v>
      </c>
      <c r="X101" s="3" t="b">
        <v>1</v>
      </c>
      <c r="Y101" s="3" t="b">
        <v>1</v>
      </c>
      <c r="Z101" s="3" t="b">
        <v>0</v>
      </c>
      <c r="AA101" s="3"/>
      <c r="AB101" s="3"/>
      <c r="AC101" s="3"/>
      <c r="AD101" s="3"/>
      <c r="AE101" s="3"/>
      <c r="AF101" s="3" t="s">
        <v>290</v>
      </c>
      <c r="AG101" s="3" t="b">
        <v>1</v>
      </c>
      <c r="AH101" s="3" t="b">
        <v>1</v>
      </c>
      <c r="AI101" s="3" t="b">
        <v>1</v>
      </c>
      <c r="AJ101" s="3" t="b">
        <v>1</v>
      </c>
      <c r="AK101" s="3" t="b">
        <v>0</v>
      </c>
      <c r="AL101" s="3"/>
      <c r="AM101" s="3"/>
      <c r="AN101" s="3"/>
      <c r="AO101" s="3"/>
      <c r="AP101" s="3"/>
      <c r="AQ101" s="3" t="s">
        <v>291</v>
      </c>
      <c r="AR101" s="3" t="b">
        <v>1</v>
      </c>
      <c r="AS101" s="3" t="b">
        <v>1</v>
      </c>
      <c r="AT101" s="3" t="b">
        <v>1</v>
      </c>
      <c r="AU101" s="3" t="b">
        <v>1</v>
      </c>
      <c r="AV101" s="3" t="b">
        <v>0</v>
      </c>
      <c r="AW101" s="3" t="b">
        <f t="shared" si="6"/>
        <v>0</v>
      </c>
      <c r="AX101" s="3" t="b">
        <f t="shared" si="7"/>
        <v>1</v>
      </c>
      <c r="AY101" s="3" t="b">
        <f t="shared" si="8"/>
        <v>0</v>
      </c>
      <c r="AZ101" s="3" t="b">
        <f t="shared" si="9"/>
        <v>0</v>
      </c>
      <c r="BA101" s="3" t="b">
        <f t="shared" si="10"/>
        <v>1</v>
      </c>
      <c r="BB101" s="3" t="b">
        <f t="shared" si="11"/>
        <v>0</v>
      </c>
      <c r="BC101" s="3"/>
      <c r="BD101" s="3" t="s">
        <v>291</v>
      </c>
      <c r="BE101" s="3" t="b">
        <v>1</v>
      </c>
      <c r="BF101" s="3" t="b">
        <v>1</v>
      </c>
      <c r="BG101" s="3" t="b">
        <v>1</v>
      </c>
      <c r="BH101" s="3" t="b">
        <v>1</v>
      </c>
      <c r="BI101" s="3" t="b">
        <v>0</v>
      </c>
      <c r="BJ101" s="3"/>
      <c r="BK101" s="3"/>
      <c r="BL101" s="3"/>
      <c r="BM101" s="3"/>
      <c r="BN101" s="3"/>
      <c r="BO101" s="3" t="s">
        <v>291</v>
      </c>
      <c r="BP101" s="3" t="b">
        <v>1</v>
      </c>
      <c r="BQ101" s="3" t="b">
        <v>1</v>
      </c>
      <c r="BR101" s="3" t="b">
        <v>1</v>
      </c>
      <c r="BS101" s="3" t="b">
        <v>1</v>
      </c>
      <c r="BT101" s="3" t="b">
        <v>0</v>
      </c>
      <c r="BU101" s="3"/>
      <c r="BV101" s="3"/>
      <c r="BW101" s="3"/>
      <c r="BX101" s="3"/>
    </row>
    <row r="102" spans="1:76" x14ac:dyDescent="0.35">
      <c r="A102" s="3"/>
      <c r="B102" s="3"/>
      <c r="C102" s="3" t="s">
        <v>43</v>
      </c>
      <c r="D102" s="3"/>
      <c r="E102" s="3"/>
      <c r="F102" s="3"/>
      <c r="G102" s="3" t="s">
        <v>3599</v>
      </c>
      <c r="H102" s="3" t="s">
        <v>45</v>
      </c>
      <c r="I102" s="3" t="b">
        <v>1</v>
      </c>
      <c r="J102" s="3" t="b">
        <v>1</v>
      </c>
      <c r="K102" s="3" t="b">
        <v>1</v>
      </c>
      <c r="L102" s="3" t="b">
        <v>1</v>
      </c>
      <c r="M102" s="3" t="b">
        <v>1</v>
      </c>
      <c r="N102" s="3" t="b">
        <f t="shared" si="0"/>
        <v>1</v>
      </c>
      <c r="O102" s="3" t="b">
        <f t="shared" si="1"/>
        <v>0</v>
      </c>
      <c r="P102" s="3" t="b">
        <f t="shared" si="2"/>
        <v>0</v>
      </c>
      <c r="Q102" s="3" t="b">
        <f t="shared" si="3"/>
        <v>0</v>
      </c>
      <c r="R102" s="3" t="b">
        <f t="shared" si="4"/>
        <v>0</v>
      </c>
      <c r="S102" s="3" t="b">
        <f t="shared" si="5"/>
        <v>0</v>
      </c>
      <c r="U102" s="3" t="s">
        <v>45</v>
      </c>
      <c r="V102" s="3" t="b">
        <v>1</v>
      </c>
      <c r="W102" s="3" t="b">
        <v>1</v>
      </c>
      <c r="X102" s="3" t="b">
        <v>1</v>
      </c>
      <c r="Y102" s="3" t="b">
        <v>1</v>
      </c>
      <c r="Z102" s="3" t="b">
        <v>1</v>
      </c>
      <c r="AA102" s="3"/>
      <c r="AB102" s="3"/>
      <c r="AC102" s="3"/>
      <c r="AD102" s="3"/>
      <c r="AE102" s="3"/>
      <c r="AF102" s="3" t="s">
        <v>45</v>
      </c>
      <c r="AG102" s="3" t="b">
        <v>1</v>
      </c>
      <c r="AH102" s="3" t="b">
        <v>1</v>
      </c>
      <c r="AI102" s="3" t="b">
        <v>1</v>
      </c>
      <c r="AJ102" s="3" t="b">
        <v>1</v>
      </c>
      <c r="AK102" s="3" t="b">
        <v>1</v>
      </c>
      <c r="AL102" s="3"/>
      <c r="AM102" s="3"/>
      <c r="AN102" s="3"/>
      <c r="AO102" s="3"/>
      <c r="AP102" s="3"/>
      <c r="AQ102" s="3" t="s">
        <v>293</v>
      </c>
      <c r="AR102" s="3" t="b">
        <v>1</v>
      </c>
      <c r="AS102" s="3" t="b">
        <v>1</v>
      </c>
      <c r="AT102" s="3" t="b">
        <v>1</v>
      </c>
      <c r="AU102" s="3" t="b">
        <v>1</v>
      </c>
      <c r="AV102" s="3" t="b">
        <v>1</v>
      </c>
      <c r="AW102" s="3" t="b">
        <f t="shared" si="6"/>
        <v>1</v>
      </c>
      <c r="AX102" s="3" t="b">
        <f t="shared" si="7"/>
        <v>0</v>
      </c>
      <c r="AY102" s="3" t="b">
        <f t="shared" si="8"/>
        <v>0</v>
      </c>
      <c r="AZ102" s="3" t="b">
        <f t="shared" si="9"/>
        <v>0</v>
      </c>
      <c r="BA102" s="3" t="b">
        <f t="shared" si="10"/>
        <v>0</v>
      </c>
      <c r="BB102" s="3" t="b">
        <f t="shared" si="11"/>
        <v>0</v>
      </c>
      <c r="BC102" s="3"/>
      <c r="BD102" s="3" t="s">
        <v>293</v>
      </c>
      <c r="BE102" s="3" t="b">
        <v>1</v>
      </c>
      <c r="BF102" s="3" t="b">
        <v>1</v>
      </c>
      <c r="BG102" s="3" t="b">
        <v>1</v>
      </c>
      <c r="BH102" s="3" t="b">
        <v>1</v>
      </c>
      <c r="BI102" s="3" t="b">
        <v>1</v>
      </c>
      <c r="BJ102" s="3"/>
      <c r="BK102" s="3"/>
      <c r="BL102" s="3"/>
      <c r="BM102" s="3"/>
      <c r="BN102" s="3"/>
      <c r="BO102" s="3" t="s">
        <v>294</v>
      </c>
      <c r="BP102" s="3" t="b">
        <v>1</v>
      </c>
      <c r="BQ102" s="3" t="b">
        <v>1</v>
      </c>
      <c r="BR102" s="3" t="b">
        <v>1</v>
      </c>
      <c r="BS102" s="3" t="b">
        <v>0</v>
      </c>
      <c r="BT102" s="3" t="b">
        <v>1</v>
      </c>
      <c r="BU102" s="3"/>
      <c r="BV102" s="3"/>
      <c r="BW102" s="3"/>
      <c r="BX102" s="3"/>
    </row>
    <row r="103" spans="1:76" x14ac:dyDescent="0.35">
      <c r="A103" s="3"/>
      <c r="B103" s="3" t="s">
        <v>295</v>
      </c>
      <c r="C103" s="3" t="s">
        <v>50</v>
      </c>
      <c r="D103" s="3" t="s">
        <v>51</v>
      </c>
      <c r="E103" s="3" t="s">
        <v>52</v>
      </c>
      <c r="F103" s="3"/>
      <c r="G103" s="3" t="s">
        <v>3600</v>
      </c>
      <c r="H103" s="3" t="s">
        <v>55</v>
      </c>
      <c r="I103" s="3" t="b">
        <v>1</v>
      </c>
      <c r="J103" s="3" t="b">
        <v>1</v>
      </c>
      <c r="K103" s="3" t="b">
        <v>1</v>
      </c>
      <c r="L103" s="3" t="b">
        <v>1</v>
      </c>
      <c r="M103" s="3" t="b">
        <v>1</v>
      </c>
      <c r="N103" s="3" t="b">
        <f t="shared" si="0"/>
        <v>1</v>
      </c>
      <c r="O103" s="3" t="b">
        <f t="shared" si="1"/>
        <v>0</v>
      </c>
      <c r="P103" s="3" t="b">
        <f t="shared" si="2"/>
        <v>0</v>
      </c>
      <c r="Q103" s="3" t="b">
        <f t="shared" si="3"/>
        <v>0</v>
      </c>
      <c r="R103" s="3" t="b">
        <f t="shared" si="4"/>
        <v>0</v>
      </c>
      <c r="S103" s="3" t="b">
        <f t="shared" si="5"/>
        <v>0</v>
      </c>
      <c r="U103" s="3" t="s">
        <v>297</v>
      </c>
      <c r="V103" s="3" t="b">
        <v>1</v>
      </c>
      <c r="W103" s="3" t="b">
        <v>1</v>
      </c>
      <c r="X103" s="3" t="b">
        <v>1</v>
      </c>
      <c r="Y103" s="3" t="b">
        <v>1</v>
      </c>
      <c r="Z103" s="3" t="b">
        <v>1</v>
      </c>
      <c r="AA103" s="3"/>
      <c r="AB103" s="3"/>
      <c r="AC103" s="3"/>
      <c r="AD103" s="3"/>
      <c r="AE103" s="3"/>
      <c r="AF103" s="3" t="s">
        <v>54</v>
      </c>
      <c r="AG103" s="3" t="b">
        <v>1</v>
      </c>
      <c r="AH103" s="3" t="b">
        <v>1</v>
      </c>
      <c r="AI103" s="3" t="b">
        <v>1</v>
      </c>
      <c r="AJ103" s="3" t="b">
        <v>1</v>
      </c>
      <c r="AK103" s="3" t="b">
        <v>1</v>
      </c>
      <c r="AL103" s="3"/>
      <c r="AM103" s="3"/>
      <c r="AN103" s="3"/>
      <c r="AO103" s="3"/>
      <c r="AP103" s="3"/>
      <c r="AQ103" s="3" t="s">
        <v>55</v>
      </c>
      <c r="AR103" s="3" t="b">
        <v>1</v>
      </c>
      <c r="AS103" s="3" t="b">
        <v>1</v>
      </c>
      <c r="AT103" s="3" t="b">
        <v>1</v>
      </c>
      <c r="AU103" s="3" t="b">
        <v>1</v>
      </c>
      <c r="AV103" s="3" t="b">
        <v>1</v>
      </c>
      <c r="AW103" s="3" t="b">
        <f t="shared" si="6"/>
        <v>1</v>
      </c>
      <c r="AX103" s="3" t="b">
        <f t="shared" si="7"/>
        <v>0</v>
      </c>
      <c r="AY103" s="3" t="b">
        <f t="shared" si="8"/>
        <v>0</v>
      </c>
      <c r="AZ103" s="3" t="b">
        <f t="shared" si="9"/>
        <v>0</v>
      </c>
      <c r="BA103" s="3" t="b">
        <f t="shared" si="10"/>
        <v>0</v>
      </c>
      <c r="BB103" s="3" t="b">
        <f t="shared" si="11"/>
        <v>0</v>
      </c>
      <c r="BC103" s="3"/>
      <c r="BD103" s="3" t="s">
        <v>55</v>
      </c>
      <c r="BE103" s="3" t="b">
        <v>1</v>
      </c>
      <c r="BF103" s="3" t="b">
        <v>1</v>
      </c>
      <c r="BG103" s="3" t="b">
        <v>1</v>
      </c>
      <c r="BH103" s="3" t="b">
        <v>1</v>
      </c>
      <c r="BI103" s="3" t="b">
        <v>1</v>
      </c>
      <c r="BJ103" s="3"/>
      <c r="BK103" s="3"/>
      <c r="BL103" s="3"/>
      <c r="BM103" s="3"/>
      <c r="BN103" s="3"/>
      <c r="BO103" s="3" t="s">
        <v>55</v>
      </c>
      <c r="BP103" s="3" t="b">
        <v>1</v>
      </c>
      <c r="BQ103" s="3" t="b">
        <v>1</v>
      </c>
      <c r="BR103" s="3" t="b">
        <v>1</v>
      </c>
      <c r="BS103" s="3" t="b">
        <v>1</v>
      </c>
      <c r="BT103" s="3" t="b">
        <v>1</v>
      </c>
      <c r="BU103" s="3"/>
      <c r="BV103" s="3"/>
      <c r="BW103" s="3"/>
      <c r="BX103" s="3"/>
    </row>
    <row r="104" spans="1:76" x14ac:dyDescent="0.35">
      <c r="A104" s="3"/>
      <c r="B104" s="3"/>
      <c r="C104" s="3" t="s">
        <v>57</v>
      </c>
      <c r="D104" s="3"/>
      <c r="E104" s="3"/>
      <c r="F104" s="3"/>
      <c r="G104" s="3" t="s">
        <v>3601</v>
      </c>
      <c r="H104" s="3" t="s">
        <v>297</v>
      </c>
      <c r="I104" s="3" t="b">
        <v>1</v>
      </c>
      <c r="J104" s="3" t="b">
        <v>1</v>
      </c>
      <c r="K104" s="3" t="b">
        <v>1</v>
      </c>
      <c r="L104" s="3" t="b">
        <v>1</v>
      </c>
      <c r="M104" s="3" t="b">
        <v>1</v>
      </c>
      <c r="N104" s="3" t="b">
        <f t="shared" si="0"/>
        <v>1</v>
      </c>
      <c r="O104" s="3" t="b">
        <f t="shared" si="1"/>
        <v>0</v>
      </c>
      <c r="P104" s="3" t="b">
        <f t="shared" si="2"/>
        <v>0</v>
      </c>
      <c r="Q104" s="3" t="b">
        <f t="shared" si="3"/>
        <v>0</v>
      </c>
      <c r="R104" s="3" t="b">
        <f t="shared" si="4"/>
        <v>0</v>
      </c>
      <c r="S104" s="3" t="b">
        <f t="shared" si="5"/>
        <v>0</v>
      </c>
      <c r="U104" s="3" t="s">
        <v>59</v>
      </c>
      <c r="V104" s="3" t="b">
        <v>1</v>
      </c>
      <c r="W104" s="3" t="b">
        <v>1</v>
      </c>
      <c r="X104" s="3" t="b">
        <v>1</v>
      </c>
      <c r="Y104" s="3" t="b">
        <v>1</v>
      </c>
      <c r="Z104" s="3" t="b">
        <v>1</v>
      </c>
      <c r="AA104" s="3"/>
      <c r="AB104" s="3"/>
      <c r="AC104" s="3"/>
      <c r="AD104" s="3"/>
      <c r="AE104" s="3"/>
      <c r="AF104" s="3" t="s">
        <v>299</v>
      </c>
      <c r="AG104" s="3" t="b">
        <v>1</v>
      </c>
      <c r="AH104" s="3" t="b">
        <v>1</v>
      </c>
      <c r="AI104" s="3" t="b">
        <v>1</v>
      </c>
      <c r="AJ104" s="3" t="b">
        <v>1</v>
      </c>
      <c r="AK104" s="3" t="b">
        <v>1</v>
      </c>
      <c r="AL104" s="3"/>
      <c r="AM104" s="3"/>
      <c r="AN104" s="3"/>
      <c r="AO104" s="3"/>
      <c r="AP104" s="3"/>
      <c r="AQ104" s="3" t="s">
        <v>59</v>
      </c>
      <c r="AR104" s="3" t="b">
        <v>1</v>
      </c>
      <c r="AS104" s="3" t="b">
        <v>1</v>
      </c>
      <c r="AT104" s="3" t="b">
        <v>1</v>
      </c>
      <c r="AU104" s="3" t="b">
        <v>1</v>
      </c>
      <c r="AV104" s="3" t="b">
        <v>1</v>
      </c>
      <c r="AW104" s="3" t="b">
        <f t="shared" si="6"/>
        <v>1</v>
      </c>
      <c r="AX104" s="3" t="b">
        <f t="shared" si="7"/>
        <v>0</v>
      </c>
      <c r="AY104" s="3" t="b">
        <f t="shared" si="8"/>
        <v>0</v>
      </c>
      <c r="AZ104" s="3" t="b">
        <f t="shared" si="9"/>
        <v>0</v>
      </c>
      <c r="BA104" s="3" t="b">
        <f t="shared" si="10"/>
        <v>0</v>
      </c>
      <c r="BB104" s="3" t="b">
        <f t="shared" si="11"/>
        <v>0</v>
      </c>
      <c r="BC104" s="3"/>
      <c r="BD104" s="3" t="s">
        <v>59</v>
      </c>
      <c r="BE104" s="3" t="b">
        <v>1</v>
      </c>
      <c r="BF104" s="3" t="b">
        <v>1</v>
      </c>
      <c r="BG104" s="3" t="b">
        <v>1</v>
      </c>
      <c r="BH104" s="3" t="b">
        <v>1</v>
      </c>
      <c r="BI104" s="3" t="b">
        <v>1</v>
      </c>
      <c r="BJ104" s="3"/>
      <c r="BK104" s="3"/>
      <c r="BL104" s="3"/>
      <c r="BM104" s="3"/>
      <c r="BN104" s="3"/>
      <c r="BO104" s="3" t="s">
        <v>59</v>
      </c>
      <c r="BP104" s="3" t="b">
        <v>1</v>
      </c>
      <c r="BQ104" s="3" t="b">
        <v>1</v>
      </c>
      <c r="BR104" s="3" t="b">
        <v>1</v>
      </c>
      <c r="BS104" s="3" t="b">
        <v>1</v>
      </c>
      <c r="BT104" s="3" t="b">
        <v>1</v>
      </c>
      <c r="BU104" s="3"/>
      <c r="BV104" s="3"/>
      <c r="BW104" s="3"/>
      <c r="BX104" s="3"/>
    </row>
    <row r="105" spans="1:76" x14ac:dyDescent="0.35">
      <c r="A105" s="3"/>
      <c r="B105" s="3" t="s">
        <v>300</v>
      </c>
      <c r="C105" s="3" t="s">
        <v>301</v>
      </c>
      <c r="D105" s="3" t="s">
        <v>51</v>
      </c>
      <c r="E105" s="3" t="s">
        <v>52</v>
      </c>
      <c r="F105" s="3"/>
      <c r="G105" s="3" t="s">
        <v>3602</v>
      </c>
      <c r="H105" s="3" t="s">
        <v>303</v>
      </c>
      <c r="I105" s="3" t="b">
        <v>1</v>
      </c>
      <c r="J105" s="3" t="b">
        <v>1</v>
      </c>
      <c r="K105" s="3" t="b">
        <v>1</v>
      </c>
      <c r="L105" s="3" t="b">
        <v>1</v>
      </c>
      <c r="M105" s="3" t="b">
        <v>1</v>
      </c>
      <c r="N105" s="3" t="b">
        <f t="shared" si="0"/>
        <v>1</v>
      </c>
      <c r="O105" s="3" t="b">
        <f t="shared" si="1"/>
        <v>0</v>
      </c>
      <c r="P105" s="3" t="b">
        <f t="shared" si="2"/>
        <v>0</v>
      </c>
      <c r="Q105" s="3" t="b">
        <f t="shared" si="3"/>
        <v>0</v>
      </c>
      <c r="R105" s="3" t="b">
        <f t="shared" si="4"/>
        <v>0</v>
      </c>
      <c r="S105" s="3" t="b">
        <f t="shared" si="5"/>
        <v>0</v>
      </c>
      <c r="U105" s="3" t="s">
        <v>304</v>
      </c>
      <c r="V105" s="3" t="b">
        <v>1</v>
      </c>
      <c r="W105" s="3" t="b">
        <v>1</v>
      </c>
      <c r="X105" s="3" t="b">
        <v>1</v>
      </c>
      <c r="Y105" s="3" t="b">
        <v>1</v>
      </c>
      <c r="Z105" s="3" t="b">
        <v>1</v>
      </c>
      <c r="AA105" s="3"/>
      <c r="AB105" s="3"/>
      <c r="AC105" s="3"/>
      <c r="AD105" s="3"/>
      <c r="AE105" s="3"/>
      <c r="AF105" s="3" t="s">
        <v>304</v>
      </c>
      <c r="AG105" s="3" t="b">
        <v>1</v>
      </c>
      <c r="AH105" s="3" t="b">
        <v>1</v>
      </c>
      <c r="AI105" s="3" t="b">
        <v>1</v>
      </c>
      <c r="AJ105" s="3" t="b">
        <v>1</v>
      </c>
      <c r="AK105" s="3" t="b">
        <v>1</v>
      </c>
      <c r="AL105" s="3"/>
      <c r="AM105" s="3"/>
      <c r="AN105" s="3"/>
      <c r="AO105" s="3"/>
      <c r="AP105" s="3"/>
      <c r="AQ105" s="3" t="s">
        <v>305</v>
      </c>
      <c r="AR105" s="3" t="b">
        <v>1</v>
      </c>
      <c r="AS105" s="3" t="b">
        <v>1</v>
      </c>
      <c r="AT105" s="3" t="b">
        <v>1</v>
      </c>
      <c r="AU105" s="3" t="b">
        <v>1</v>
      </c>
      <c r="AV105" s="3" t="b">
        <v>1</v>
      </c>
      <c r="AW105" s="3" t="b">
        <f t="shared" si="6"/>
        <v>1</v>
      </c>
      <c r="AX105" s="3" t="b">
        <f t="shared" si="7"/>
        <v>0</v>
      </c>
      <c r="AY105" s="3" t="b">
        <f t="shared" si="8"/>
        <v>0</v>
      </c>
      <c r="AZ105" s="3" t="b">
        <f t="shared" si="9"/>
        <v>0</v>
      </c>
      <c r="BA105" s="3" t="b">
        <f t="shared" si="10"/>
        <v>0</v>
      </c>
      <c r="BB105" s="3" t="b">
        <f t="shared" si="11"/>
        <v>0</v>
      </c>
      <c r="BC105" s="3"/>
      <c r="BD105" s="3" t="s">
        <v>305</v>
      </c>
      <c r="BE105" s="3" t="b">
        <v>1</v>
      </c>
      <c r="BF105" s="3" t="b">
        <v>1</v>
      </c>
      <c r="BG105" s="3" t="b">
        <v>1</v>
      </c>
      <c r="BH105" s="3" t="b">
        <v>1</v>
      </c>
      <c r="BI105" s="3" t="b">
        <v>1</v>
      </c>
      <c r="BJ105" s="3"/>
      <c r="BK105" s="3"/>
      <c r="BL105" s="3"/>
      <c r="BM105" s="3"/>
      <c r="BN105" s="3"/>
      <c r="BO105" s="3" t="s">
        <v>305</v>
      </c>
      <c r="BP105" s="3" t="b">
        <v>1</v>
      </c>
      <c r="BQ105" s="3" t="b">
        <v>1</v>
      </c>
      <c r="BR105" s="3" t="b">
        <v>1</v>
      </c>
      <c r="BS105" s="3" t="b">
        <v>1</v>
      </c>
      <c r="BT105" s="3" t="b">
        <v>1</v>
      </c>
      <c r="BU105" s="3"/>
      <c r="BV105" s="3"/>
      <c r="BW105" s="3"/>
      <c r="BX105" s="3"/>
    </row>
    <row r="106" spans="1:76" x14ac:dyDescent="0.35">
      <c r="A106" s="3"/>
      <c r="B106" s="3"/>
      <c r="C106" s="3" t="s">
        <v>306</v>
      </c>
      <c r="D106" s="3"/>
      <c r="E106" s="3" t="s">
        <v>307</v>
      </c>
      <c r="F106" s="3"/>
      <c r="G106" s="3" t="s">
        <v>3603</v>
      </c>
      <c r="H106" s="3" t="s">
        <v>304</v>
      </c>
      <c r="I106" s="3" t="b">
        <v>1</v>
      </c>
      <c r="J106" s="3" t="b">
        <v>1</v>
      </c>
      <c r="K106" s="3" t="b">
        <v>1</v>
      </c>
      <c r="L106" s="3" t="b">
        <v>1</v>
      </c>
      <c r="M106" s="3" t="b">
        <v>1</v>
      </c>
      <c r="N106" s="3" t="b">
        <f t="shared" si="0"/>
        <v>1</v>
      </c>
      <c r="O106" s="3" t="b">
        <f t="shared" si="1"/>
        <v>0</v>
      </c>
      <c r="P106" s="3" t="b">
        <f t="shared" si="2"/>
        <v>0</v>
      </c>
      <c r="Q106" s="3" t="b">
        <f t="shared" si="3"/>
        <v>0</v>
      </c>
      <c r="R106" s="3" t="b">
        <f t="shared" si="4"/>
        <v>0</v>
      </c>
      <c r="S106" s="3" t="b">
        <f t="shared" si="5"/>
        <v>0</v>
      </c>
      <c r="U106" s="3" t="s">
        <v>304</v>
      </c>
      <c r="V106" s="3" t="b">
        <v>1</v>
      </c>
      <c r="W106" s="3" t="b">
        <v>1</v>
      </c>
      <c r="X106" s="3" t="b">
        <v>1</v>
      </c>
      <c r="Y106" s="3" t="b">
        <v>1</v>
      </c>
      <c r="Z106" s="3" t="b">
        <v>1</v>
      </c>
      <c r="AA106" s="3"/>
      <c r="AB106" s="3"/>
      <c r="AC106" s="3"/>
      <c r="AD106" s="3"/>
      <c r="AE106" s="3"/>
      <c r="AF106" s="3" t="s">
        <v>304</v>
      </c>
      <c r="AG106" s="3" t="b">
        <v>1</v>
      </c>
      <c r="AH106" s="3" t="b">
        <v>1</v>
      </c>
      <c r="AI106" s="3" t="b">
        <v>1</v>
      </c>
      <c r="AJ106" s="3" t="b">
        <v>1</v>
      </c>
      <c r="AK106" s="3" t="b">
        <v>1</v>
      </c>
      <c r="AL106" s="3"/>
      <c r="AM106" s="3"/>
      <c r="AN106" s="3"/>
      <c r="AO106" s="3"/>
      <c r="AP106" s="3"/>
      <c r="AQ106" s="3" t="s">
        <v>304</v>
      </c>
      <c r="AR106" s="3" t="b">
        <v>1</v>
      </c>
      <c r="AS106" s="3" t="b">
        <v>1</v>
      </c>
      <c r="AT106" s="3" t="b">
        <v>1</v>
      </c>
      <c r="AU106" s="3" t="b">
        <v>1</v>
      </c>
      <c r="AV106" s="3" t="b">
        <v>1</v>
      </c>
      <c r="AW106" s="3" t="b">
        <f t="shared" si="6"/>
        <v>1</v>
      </c>
      <c r="AX106" s="3" t="b">
        <f t="shared" si="7"/>
        <v>0</v>
      </c>
      <c r="AY106" s="3" t="b">
        <f t="shared" si="8"/>
        <v>0</v>
      </c>
      <c r="AZ106" s="3" t="b">
        <f t="shared" si="9"/>
        <v>0</v>
      </c>
      <c r="BA106" s="3" t="b">
        <f t="shared" si="10"/>
        <v>0</v>
      </c>
      <c r="BB106" s="3" t="b">
        <f t="shared" si="11"/>
        <v>0</v>
      </c>
      <c r="BC106" s="3"/>
      <c r="BD106" s="3" t="s">
        <v>304</v>
      </c>
      <c r="BE106" s="3" t="b">
        <v>1</v>
      </c>
      <c r="BF106" s="3" t="b">
        <v>1</v>
      </c>
      <c r="BG106" s="3" t="b">
        <v>1</v>
      </c>
      <c r="BH106" s="3" t="b">
        <v>1</v>
      </c>
      <c r="BI106" s="3" t="b">
        <v>1</v>
      </c>
      <c r="BJ106" s="3"/>
      <c r="BK106" s="3"/>
      <c r="BL106" s="3"/>
      <c r="BM106" s="3"/>
      <c r="BN106" s="3"/>
      <c r="BO106" s="3" t="s">
        <v>309</v>
      </c>
      <c r="BP106" s="3" t="b">
        <v>1</v>
      </c>
      <c r="BQ106" s="3" t="b">
        <v>1</v>
      </c>
      <c r="BR106" s="3" t="b">
        <v>1</v>
      </c>
      <c r="BS106" s="3" t="b">
        <v>1</v>
      </c>
      <c r="BT106" s="3" t="b">
        <v>1</v>
      </c>
      <c r="BU106" s="3"/>
      <c r="BV106" s="3"/>
      <c r="BW106" s="3"/>
      <c r="BX106" s="3"/>
    </row>
    <row r="107" spans="1:76" x14ac:dyDescent="0.35">
      <c r="A107" s="3"/>
      <c r="B107" s="3" t="s">
        <v>60</v>
      </c>
      <c r="C107" s="3" t="s">
        <v>61</v>
      </c>
      <c r="D107" s="3"/>
      <c r="E107" s="3"/>
      <c r="F107" s="3"/>
      <c r="G107" s="3" t="s">
        <v>3604</v>
      </c>
      <c r="H107" s="3" t="s">
        <v>63</v>
      </c>
      <c r="I107" s="3" t="b">
        <v>1</v>
      </c>
      <c r="J107" s="3" t="b">
        <v>1</v>
      </c>
      <c r="K107" s="3" t="b">
        <v>1</v>
      </c>
      <c r="L107" s="3" t="b">
        <v>1</v>
      </c>
      <c r="M107" s="3" t="b">
        <v>1</v>
      </c>
      <c r="N107" s="3" t="b">
        <f t="shared" si="0"/>
        <v>1</v>
      </c>
      <c r="O107" s="3" t="b">
        <f t="shared" si="1"/>
        <v>0</v>
      </c>
      <c r="P107" s="3" t="b">
        <f t="shared" si="2"/>
        <v>0</v>
      </c>
      <c r="Q107" s="3" t="b">
        <f t="shared" si="3"/>
        <v>0</v>
      </c>
      <c r="R107" s="3" t="b">
        <f t="shared" si="4"/>
        <v>0</v>
      </c>
      <c r="S107" s="3" t="b">
        <f t="shared" si="5"/>
        <v>0</v>
      </c>
      <c r="U107" s="3" t="s">
        <v>63</v>
      </c>
      <c r="V107" s="3" t="b">
        <v>1</v>
      </c>
      <c r="W107" s="3" t="b">
        <v>1</v>
      </c>
      <c r="X107" s="3" t="b">
        <v>1</v>
      </c>
      <c r="Y107" s="3" t="b">
        <v>1</v>
      </c>
      <c r="Z107" s="3" t="b">
        <v>1</v>
      </c>
      <c r="AA107" s="3"/>
      <c r="AB107" s="3"/>
      <c r="AC107" s="3"/>
      <c r="AD107" s="3"/>
      <c r="AE107" s="3"/>
      <c r="AF107" s="3" t="s">
        <v>63</v>
      </c>
      <c r="AG107" s="3" t="b">
        <v>1</v>
      </c>
      <c r="AH107" s="3" t="b">
        <v>1</v>
      </c>
      <c r="AI107" s="3" t="b">
        <v>1</v>
      </c>
      <c r="AJ107" s="3" t="b">
        <v>1</v>
      </c>
      <c r="AK107" s="3" t="b">
        <v>1</v>
      </c>
      <c r="AL107" s="3"/>
      <c r="AM107" s="3"/>
      <c r="AN107" s="3"/>
      <c r="AO107" s="3"/>
      <c r="AP107" s="3"/>
      <c r="AQ107" s="3" t="s">
        <v>63</v>
      </c>
      <c r="AR107" s="3" t="b">
        <v>1</v>
      </c>
      <c r="AS107" s="3" t="b">
        <v>1</v>
      </c>
      <c r="AT107" s="3" t="b">
        <v>1</v>
      </c>
      <c r="AU107" s="3" t="b">
        <v>1</v>
      </c>
      <c r="AV107" s="3" t="b">
        <v>1</v>
      </c>
      <c r="AW107" s="3" t="b">
        <f t="shared" si="6"/>
        <v>1</v>
      </c>
      <c r="AX107" s="3" t="b">
        <f t="shared" si="7"/>
        <v>0</v>
      </c>
      <c r="AY107" s="3" t="b">
        <f t="shared" si="8"/>
        <v>0</v>
      </c>
      <c r="AZ107" s="3" t="b">
        <f t="shared" si="9"/>
        <v>0</v>
      </c>
      <c r="BA107" s="3" t="b">
        <f t="shared" si="10"/>
        <v>0</v>
      </c>
      <c r="BB107" s="3" t="b">
        <f t="shared" si="11"/>
        <v>0</v>
      </c>
      <c r="BC107" s="3"/>
      <c r="BD107" s="3" t="s">
        <v>63</v>
      </c>
      <c r="BE107" s="3" t="b">
        <v>1</v>
      </c>
      <c r="BF107" s="3" t="b">
        <v>1</v>
      </c>
      <c r="BG107" s="3" t="b">
        <v>1</v>
      </c>
      <c r="BH107" s="3" t="b">
        <v>1</v>
      </c>
      <c r="BI107" s="3" t="b">
        <v>1</v>
      </c>
      <c r="BJ107" s="3"/>
      <c r="BK107" s="3"/>
      <c r="BL107" s="3"/>
      <c r="BM107" s="3"/>
      <c r="BN107" s="3"/>
      <c r="BO107" s="3" t="s">
        <v>63</v>
      </c>
      <c r="BP107" s="3" t="b">
        <v>1</v>
      </c>
      <c r="BQ107" s="3" t="b">
        <v>1</v>
      </c>
      <c r="BR107" s="3" t="b">
        <v>1</v>
      </c>
      <c r="BS107" s="3" t="b">
        <v>1</v>
      </c>
      <c r="BT107" s="3" t="b">
        <v>1</v>
      </c>
      <c r="BU107" s="3"/>
      <c r="BV107" s="3"/>
      <c r="BW107" s="3"/>
      <c r="BX107" s="3"/>
    </row>
    <row r="108" spans="1:76" x14ac:dyDescent="0.35">
      <c r="A108" s="3"/>
      <c r="B108" s="3"/>
      <c r="C108" s="3" t="s">
        <v>64</v>
      </c>
      <c r="D108" s="3"/>
      <c r="E108" s="3"/>
      <c r="F108" s="3"/>
      <c r="G108" s="3" t="s">
        <v>3605</v>
      </c>
      <c r="H108" s="3" t="s">
        <v>67</v>
      </c>
      <c r="I108" s="3" t="b">
        <v>1</v>
      </c>
      <c r="J108" s="3" t="b">
        <v>1</v>
      </c>
      <c r="K108" s="3" t="b">
        <v>1</v>
      </c>
      <c r="L108" s="3" t="b">
        <v>1</v>
      </c>
      <c r="M108" s="3" t="b">
        <v>1</v>
      </c>
      <c r="N108" s="3" t="b">
        <f t="shared" si="0"/>
        <v>1</v>
      </c>
      <c r="O108" s="3" t="b">
        <f t="shared" si="1"/>
        <v>0</v>
      </c>
      <c r="P108" s="3" t="b">
        <f t="shared" si="2"/>
        <v>0</v>
      </c>
      <c r="Q108" s="3" t="b">
        <f t="shared" si="3"/>
        <v>0</v>
      </c>
      <c r="R108" s="3" t="b">
        <f t="shared" si="4"/>
        <v>0</v>
      </c>
      <c r="S108" s="3" t="b">
        <f t="shared" si="5"/>
        <v>0</v>
      </c>
      <c r="U108" s="3" t="s">
        <v>67</v>
      </c>
      <c r="V108" s="3" t="b">
        <v>1</v>
      </c>
      <c r="W108" s="3" t="b">
        <v>1</v>
      </c>
      <c r="X108" s="3" t="b">
        <v>1</v>
      </c>
      <c r="Y108" s="3" t="b">
        <v>1</v>
      </c>
      <c r="Z108" s="3" t="b">
        <v>1</v>
      </c>
      <c r="AA108" s="3"/>
      <c r="AB108" s="3"/>
      <c r="AC108" s="3"/>
      <c r="AD108" s="3"/>
      <c r="AE108" s="3"/>
      <c r="AF108" s="3" t="s">
        <v>67</v>
      </c>
      <c r="AG108" s="3" t="b">
        <v>1</v>
      </c>
      <c r="AH108" s="3" t="b">
        <v>1</v>
      </c>
      <c r="AI108" s="3" t="b">
        <v>1</v>
      </c>
      <c r="AJ108" s="3" t="b">
        <v>1</v>
      </c>
      <c r="AK108" s="3" t="b">
        <v>1</v>
      </c>
      <c r="AL108" s="3"/>
      <c r="AM108" s="3"/>
      <c r="AN108" s="3"/>
      <c r="AO108" s="3"/>
      <c r="AP108" s="3"/>
      <c r="AQ108" s="3" t="s">
        <v>66</v>
      </c>
      <c r="AR108" s="3" t="b">
        <v>1</v>
      </c>
      <c r="AS108" s="3" t="b">
        <v>1</v>
      </c>
      <c r="AT108" s="3" t="b">
        <v>1</v>
      </c>
      <c r="AU108" s="3" t="b">
        <v>1</v>
      </c>
      <c r="AV108" s="3" t="b">
        <v>1</v>
      </c>
      <c r="AW108" s="3" t="b">
        <f t="shared" si="6"/>
        <v>1</v>
      </c>
      <c r="AX108" s="3" t="b">
        <f t="shared" si="7"/>
        <v>0</v>
      </c>
      <c r="AY108" s="3" t="b">
        <f t="shared" si="8"/>
        <v>0</v>
      </c>
      <c r="AZ108" s="3" t="b">
        <f t="shared" si="9"/>
        <v>0</v>
      </c>
      <c r="BA108" s="3" t="b">
        <f t="shared" si="10"/>
        <v>0</v>
      </c>
      <c r="BB108" s="3" t="b">
        <f t="shared" si="11"/>
        <v>0</v>
      </c>
      <c r="BC108" s="3"/>
      <c r="BD108" s="3" t="s">
        <v>66</v>
      </c>
      <c r="BE108" s="3" t="b">
        <v>1</v>
      </c>
      <c r="BF108" s="3" t="b">
        <v>1</v>
      </c>
      <c r="BG108" s="3" t="b">
        <v>1</v>
      </c>
      <c r="BH108" s="3" t="b">
        <v>1</v>
      </c>
      <c r="BI108" s="3" t="b">
        <v>1</v>
      </c>
      <c r="BJ108" s="3"/>
      <c r="BK108" s="3"/>
      <c r="BL108" s="3"/>
      <c r="BM108" s="3"/>
      <c r="BN108" s="3"/>
      <c r="BO108" s="3" t="s">
        <v>66</v>
      </c>
      <c r="BP108" s="3" t="b">
        <v>1</v>
      </c>
      <c r="BQ108" s="3" t="b">
        <v>1</v>
      </c>
      <c r="BR108" s="3" t="b">
        <v>1</v>
      </c>
      <c r="BS108" s="3" t="b">
        <v>1</v>
      </c>
      <c r="BT108" s="3" t="b">
        <v>1</v>
      </c>
      <c r="BU108" s="3"/>
      <c r="BV108" s="3"/>
      <c r="BW108" s="3"/>
      <c r="BX108" s="3"/>
    </row>
    <row r="109" spans="1:76" x14ac:dyDescent="0.35">
      <c r="A109" s="3"/>
      <c r="B109" s="3"/>
      <c r="C109" s="3" t="s">
        <v>68</v>
      </c>
      <c r="D109" s="3"/>
      <c r="E109" s="3"/>
      <c r="F109" s="3"/>
      <c r="G109" s="3" t="s">
        <v>3606</v>
      </c>
      <c r="H109" s="3" t="s">
        <v>73</v>
      </c>
      <c r="I109" s="3" t="b">
        <v>1</v>
      </c>
      <c r="J109" s="3" t="b">
        <v>0</v>
      </c>
      <c r="K109" s="3" t="b">
        <v>0</v>
      </c>
      <c r="L109" s="3" t="b">
        <v>1</v>
      </c>
      <c r="M109" s="3" t="b">
        <v>0</v>
      </c>
      <c r="N109" s="3" t="b">
        <f t="shared" si="0"/>
        <v>0</v>
      </c>
      <c r="O109" s="3" t="b">
        <f t="shared" si="1"/>
        <v>0</v>
      </c>
      <c r="P109" s="3" t="b">
        <f t="shared" si="2"/>
        <v>1</v>
      </c>
      <c r="Q109" s="3" t="b">
        <f t="shared" si="3"/>
        <v>0</v>
      </c>
      <c r="R109" s="3" t="b">
        <f t="shared" si="4"/>
        <v>0</v>
      </c>
      <c r="S109" s="3" t="b">
        <f t="shared" si="5"/>
        <v>0</v>
      </c>
      <c r="U109" s="3" t="s">
        <v>312</v>
      </c>
      <c r="V109" s="3" t="b">
        <v>1</v>
      </c>
      <c r="W109" s="3" t="b">
        <v>1</v>
      </c>
      <c r="X109" s="3" t="b">
        <v>1</v>
      </c>
      <c r="Y109" s="3" t="b">
        <v>1</v>
      </c>
      <c r="Z109" s="3" t="b">
        <v>1</v>
      </c>
      <c r="AA109" s="3"/>
      <c r="AB109" s="3"/>
      <c r="AC109" s="3"/>
      <c r="AD109" s="3"/>
      <c r="AE109" s="3"/>
      <c r="AF109" s="3" t="s">
        <v>313</v>
      </c>
      <c r="AG109" s="3" t="b">
        <v>1</v>
      </c>
      <c r="AH109" s="3" t="b">
        <v>1</v>
      </c>
      <c r="AI109" s="3" t="b">
        <v>1</v>
      </c>
      <c r="AJ109" s="3" t="b">
        <v>1</v>
      </c>
      <c r="AK109" s="3" t="b">
        <v>1</v>
      </c>
      <c r="AL109" s="3"/>
      <c r="AM109" s="3"/>
      <c r="AN109" s="3"/>
      <c r="AO109" s="3"/>
      <c r="AP109" s="3"/>
      <c r="AQ109" s="3" t="s">
        <v>313</v>
      </c>
      <c r="AR109" s="3" t="b">
        <v>1</v>
      </c>
      <c r="AS109" s="3" t="b">
        <v>1</v>
      </c>
      <c r="AT109" s="3" t="b">
        <v>1</v>
      </c>
      <c r="AU109" s="3" t="b">
        <v>1</v>
      </c>
      <c r="AV109" s="3" t="b">
        <v>1</v>
      </c>
      <c r="AW109" s="3" t="b">
        <f t="shared" si="6"/>
        <v>1</v>
      </c>
      <c r="AX109" s="3" t="b">
        <f t="shared" si="7"/>
        <v>0</v>
      </c>
      <c r="AY109" s="3" t="b">
        <f t="shared" si="8"/>
        <v>0</v>
      </c>
      <c r="AZ109" s="3" t="b">
        <f t="shared" si="9"/>
        <v>0</v>
      </c>
      <c r="BA109" s="3" t="b">
        <f t="shared" si="10"/>
        <v>0</v>
      </c>
      <c r="BB109" s="3" t="b">
        <f t="shared" si="11"/>
        <v>0</v>
      </c>
      <c r="BC109" s="3"/>
      <c r="BD109" s="3" t="s">
        <v>314</v>
      </c>
      <c r="BE109" s="3" t="b">
        <v>1</v>
      </c>
      <c r="BF109" s="3" t="b">
        <v>0</v>
      </c>
      <c r="BG109" s="3" t="b">
        <v>0</v>
      </c>
      <c r="BH109" s="3" t="b">
        <v>1</v>
      </c>
      <c r="BI109" s="3" t="b">
        <v>0</v>
      </c>
      <c r="BJ109" s="3"/>
      <c r="BK109" s="3"/>
      <c r="BL109" s="3"/>
      <c r="BM109" s="3"/>
      <c r="BN109" s="3"/>
      <c r="BO109" s="3" t="s">
        <v>314</v>
      </c>
      <c r="BP109" s="3" t="b">
        <v>1</v>
      </c>
      <c r="BQ109" s="3" t="b">
        <v>0</v>
      </c>
      <c r="BR109" s="3" t="b">
        <v>0</v>
      </c>
      <c r="BS109" s="3" t="b">
        <v>1</v>
      </c>
      <c r="BT109" s="3" t="b">
        <v>0</v>
      </c>
      <c r="BU109" s="3"/>
      <c r="BV109" s="3"/>
      <c r="BW109" s="3"/>
      <c r="BX109" s="3"/>
    </row>
    <row r="110" spans="1:76" x14ac:dyDescent="0.35">
      <c r="A110" s="3"/>
      <c r="B110" s="3" t="s">
        <v>74</v>
      </c>
      <c r="C110" s="3" t="s">
        <v>75</v>
      </c>
      <c r="D110" s="3" t="s">
        <v>315</v>
      </c>
      <c r="E110" s="3" t="s">
        <v>77</v>
      </c>
      <c r="F110" s="3"/>
      <c r="G110" s="3" t="s">
        <v>3607</v>
      </c>
      <c r="H110" s="3" t="s">
        <v>80</v>
      </c>
      <c r="I110" s="3" t="b">
        <v>1</v>
      </c>
      <c r="J110" s="3" t="b">
        <v>1</v>
      </c>
      <c r="K110" s="3" t="b">
        <v>1</v>
      </c>
      <c r="L110" s="3" t="b">
        <v>1</v>
      </c>
      <c r="M110" s="3" t="b">
        <v>1</v>
      </c>
      <c r="N110" s="3" t="b">
        <f t="shared" si="0"/>
        <v>1</v>
      </c>
      <c r="O110" s="3" t="b">
        <f t="shared" si="1"/>
        <v>0</v>
      </c>
      <c r="P110" s="3" t="b">
        <f t="shared" si="2"/>
        <v>0</v>
      </c>
      <c r="Q110" s="3" t="b">
        <f t="shared" si="3"/>
        <v>0</v>
      </c>
      <c r="R110" s="3" t="b">
        <f t="shared" si="4"/>
        <v>0</v>
      </c>
      <c r="S110" s="3" t="b">
        <f t="shared" si="5"/>
        <v>0</v>
      </c>
      <c r="U110" s="3" t="s">
        <v>80</v>
      </c>
      <c r="V110" s="3" t="b">
        <v>1</v>
      </c>
      <c r="W110" s="3" t="b">
        <v>1</v>
      </c>
      <c r="X110" s="3" t="b">
        <v>1</v>
      </c>
      <c r="Y110" s="3" t="b">
        <v>1</v>
      </c>
      <c r="Z110" s="3" t="b">
        <v>1</v>
      </c>
      <c r="AA110" s="3"/>
      <c r="AB110" s="3"/>
      <c r="AC110" s="3"/>
      <c r="AD110" s="3"/>
      <c r="AE110" s="3"/>
      <c r="AF110" s="3"/>
      <c r="AG110" s="3" t="b">
        <v>1</v>
      </c>
      <c r="AH110" s="3" t="b">
        <v>0</v>
      </c>
      <c r="AI110" s="3" t="b">
        <v>0</v>
      </c>
      <c r="AJ110" s="3" t="b">
        <v>0</v>
      </c>
      <c r="AK110" s="3" t="b">
        <v>0</v>
      </c>
      <c r="AL110" s="3"/>
      <c r="AM110" s="3"/>
      <c r="AN110" s="3"/>
      <c r="AO110" s="3"/>
      <c r="AP110" s="3"/>
      <c r="AQ110" s="3" t="s">
        <v>317</v>
      </c>
      <c r="AR110" s="3" t="b">
        <v>1</v>
      </c>
      <c r="AS110" s="3" t="b">
        <v>1</v>
      </c>
      <c r="AT110" s="3" t="b">
        <v>1</v>
      </c>
      <c r="AU110" s="3" t="b">
        <v>1</v>
      </c>
      <c r="AV110" s="3" t="b">
        <v>1</v>
      </c>
      <c r="AW110" s="3" t="b">
        <f t="shared" si="6"/>
        <v>1</v>
      </c>
      <c r="AX110" s="3" t="b">
        <f t="shared" si="7"/>
        <v>0</v>
      </c>
      <c r="AY110" s="3" t="b">
        <f t="shared" si="8"/>
        <v>0</v>
      </c>
      <c r="AZ110" s="3" t="b">
        <f t="shared" si="9"/>
        <v>0</v>
      </c>
      <c r="BA110" s="3" t="b">
        <f t="shared" si="10"/>
        <v>0</v>
      </c>
      <c r="BB110" s="3" t="b">
        <f t="shared" si="11"/>
        <v>0</v>
      </c>
      <c r="BC110" s="3"/>
      <c r="BD110" s="3" t="s">
        <v>317</v>
      </c>
      <c r="BE110" s="3" t="b">
        <v>1</v>
      </c>
      <c r="BF110" s="3" t="b">
        <v>1</v>
      </c>
      <c r="BG110" s="3" t="b">
        <v>1</v>
      </c>
      <c r="BH110" s="3" t="b">
        <v>1</v>
      </c>
      <c r="BI110" s="3" t="b">
        <v>1</v>
      </c>
      <c r="BJ110" s="3"/>
      <c r="BK110" s="3"/>
      <c r="BL110" s="3"/>
      <c r="BM110" s="3"/>
      <c r="BN110" s="3"/>
      <c r="BO110" s="3" t="s">
        <v>317</v>
      </c>
      <c r="BP110" s="3" t="b">
        <v>1</v>
      </c>
      <c r="BQ110" s="3" t="b">
        <v>1</v>
      </c>
      <c r="BR110" s="3" t="b">
        <v>1</v>
      </c>
      <c r="BS110" s="3" t="b">
        <v>1</v>
      </c>
      <c r="BT110" s="3" t="b">
        <v>1</v>
      </c>
      <c r="BU110" s="3"/>
      <c r="BV110" s="3"/>
      <c r="BW110" s="3"/>
      <c r="BX110" s="3"/>
    </row>
    <row r="111" spans="1:76" x14ac:dyDescent="0.35">
      <c r="A111" s="3"/>
      <c r="B111" s="3"/>
      <c r="C111" s="3" t="s">
        <v>318</v>
      </c>
      <c r="D111" s="3"/>
      <c r="E111" s="3"/>
      <c r="F111" s="3"/>
      <c r="G111" s="3" t="s">
        <v>3608</v>
      </c>
      <c r="H111" s="3" t="s">
        <v>320</v>
      </c>
      <c r="I111" s="3" t="b">
        <v>1</v>
      </c>
      <c r="J111" s="3" t="b">
        <v>0</v>
      </c>
      <c r="K111" s="3" t="b">
        <v>0</v>
      </c>
      <c r="L111" s="3" t="b">
        <v>0</v>
      </c>
      <c r="M111" s="3" t="b">
        <v>0</v>
      </c>
      <c r="N111" s="3" t="b">
        <f t="shared" si="0"/>
        <v>0</v>
      </c>
      <c r="O111" s="3" t="b">
        <f t="shared" si="1"/>
        <v>0</v>
      </c>
      <c r="P111" s="3" t="b">
        <f t="shared" si="2"/>
        <v>1</v>
      </c>
      <c r="Q111" s="3" t="b">
        <f t="shared" si="3"/>
        <v>0</v>
      </c>
      <c r="R111" s="3" t="b">
        <f t="shared" si="4"/>
        <v>0</v>
      </c>
      <c r="S111" s="3" t="b">
        <f t="shared" si="5"/>
        <v>0</v>
      </c>
      <c r="U111" s="3" t="s">
        <v>321</v>
      </c>
      <c r="V111" s="3" t="b">
        <v>1</v>
      </c>
      <c r="W111" s="3" t="b">
        <v>0</v>
      </c>
      <c r="X111" s="3" t="b">
        <v>0</v>
      </c>
      <c r="Y111" s="3" t="b">
        <v>0</v>
      </c>
      <c r="Z111" s="3" t="b">
        <v>0</v>
      </c>
      <c r="AA111" s="3"/>
      <c r="AB111" s="3"/>
      <c r="AC111" s="3"/>
      <c r="AD111" s="3"/>
      <c r="AE111" s="3"/>
      <c r="AF111" s="3" t="s">
        <v>85</v>
      </c>
      <c r="AG111" s="3" t="b">
        <v>1</v>
      </c>
      <c r="AH111" s="3" t="b">
        <v>0</v>
      </c>
      <c r="AI111" s="3" t="b">
        <v>0</v>
      </c>
      <c r="AJ111" s="3" t="b">
        <v>0</v>
      </c>
      <c r="AK111" s="3" t="b">
        <v>0</v>
      </c>
      <c r="AL111" s="3"/>
      <c r="AM111" s="3"/>
      <c r="AN111" s="3"/>
      <c r="AO111" s="3"/>
      <c r="AP111" s="3"/>
      <c r="AQ111" s="3" t="s">
        <v>321</v>
      </c>
      <c r="AR111" s="3" t="b">
        <v>1</v>
      </c>
      <c r="AS111" s="3" t="b">
        <v>0</v>
      </c>
      <c r="AT111" s="3" t="b">
        <v>0</v>
      </c>
      <c r="AU111" s="3" t="b">
        <v>1</v>
      </c>
      <c r="AV111" s="3" t="b">
        <v>0</v>
      </c>
      <c r="AW111" s="3" t="b">
        <f t="shared" si="6"/>
        <v>0</v>
      </c>
      <c r="AX111" s="3" t="b">
        <f t="shared" si="7"/>
        <v>0</v>
      </c>
      <c r="AY111" s="3" t="b">
        <f t="shared" si="8"/>
        <v>1</v>
      </c>
      <c r="AZ111" s="3" t="b">
        <f t="shared" si="9"/>
        <v>0</v>
      </c>
      <c r="BA111" s="3" t="b">
        <f t="shared" si="10"/>
        <v>0</v>
      </c>
      <c r="BB111" s="3" t="b">
        <f t="shared" si="11"/>
        <v>0</v>
      </c>
      <c r="BC111" s="3"/>
      <c r="BD111" s="3" t="s">
        <v>321</v>
      </c>
      <c r="BE111" s="3" t="b">
        <v>1</v>
      </c>
      <c r="BF111" s="3" t="b">
        <v>0</v>
      </c>
      <c r="BG111" s="3" t="b">
        <v>0</v>
      </c>
      <c r="BH111" s="3" t="b">
        <v>1</v>
      </c>
      <c r="BI111" s="3" t="b">
        <v>0</v>
      </c>
      <c r="BJ111" s="3"/>
      <c r="BK111" s="3"/>
      <c r="BL111" s="3"/>
      <c r="BM111" s="3"/>
      <c r="BN111" s="3"/>
      <c r="BO111" s="3" t="s">
        <v>321</v>
      </c>
      <c r="BP111" s="3" t="b">
        <v>1</v>
      </c>
      <c r="BQ111" s="3" t="b">
        <v>0</v>
      </c>
      <c r="BR111" s="3" t="b">
        <v>0</v>
      </c>
      <c r="BS111" s="3" t="b">
        <v>1</v>
      </c>
      <c r="BT111" s="3" t="b">
        <v>0</v>
      </c>
      <c r="BU111" s="3"/>
      <c r="BV111" s="3"/>
      <c r="BW111" s="3"/>
      <c r="BX111" s="3"/>
    </row>
    <row r="112" spans="1:76" x14ac:dyDescent="0.35">
      <c r="A112" s="3"/>
      <c r="B112" s="3"/>
      <c r="C112" s="3" t="s">
        <v>89</v>
      </c>
      <c r="D112" s="3"/>
      <c r="E112" s="3"/>
      <c r="F112" s="3"/>
      <c r="G112" s="3" t="s">
        <v>3609</v>
      </c>
      <c r="H112" s="3" t="s">
        <v>323</v>
      </c>
      <c r="I112" s="3" t="b">
        <v>1</v>
      </c>
      <c r="J112" s="3" t="b">
        <v>1</v>
      </c>
      <c r="K112" s="3" t="b">
        <v>1</v>
      </c>
      <c r="L112" s="3" t="b">
        <v>1</v>
      </c>
      <c r="M112" s="3" t="b">
        <v>1</v>
      </c>
      <c r="N112" s="3" t="b">
        <f t="shared" si="0"/>
        <v>1</v>
      </c>
      <c r="O112" s="3" t="b">
        <f t="shared" si="1"/>
        <v>0</v>
      </c>
      <c r="P112" s="3" t="b">
        <f t="shared" si="2"/>
        <v>0</v>
      </c>
      <c r="Q112" s="3" t="b">
        <f t="shared" si="3"/>
        <v>0</v>
      </c>
      <c r="R112" s="3" t="b">
        <f t="shared" si="4"/>
        <v>0</v>
      </c>
      <c r="S112" s="3" t="b">
        <f t="shared" si="5"/>
        <v>0</v>
      </c>
      <c r="U112" s="3" t="s">
        <v>324</v>
      </c>
      <c r="V112" s="3" t="b">
        <v>1</v>
      </c>
      <c r="W112" s="3" t="b">
        <v>1</v>
      </c>
      <c r="X112" s="3" t="b">
        <v>1</v>
      </c>
      <c r="Y112" s="3" t="b">
        <v>1</v>
      </c>
      <c r="Z112" s="3" t="b">
        <v>1</v>
      </c>
      <c r="AA112" s="3"/>
      <c r="AB112" s="3"/>
      <c r="AC112" s="3"/>
      <c r="AD112" s="3"/>
      <c r="AE112" s="3"/>
      <c r="AF112" s="3" t="s">
        <v>325</v>
      </c>
      <c r="AG112" s="3" t="b">
        <v>1</v>
      </c>
      <c r="AH112" s="3" t="b">
        <v>1</v>
      </c>
      <c r="AI112" s="3" t="b">
        <v>1</v>
      </c>
      <c r="AJ112" s="3" t="b">
        <v>1</v>
      </c>
      <c r="AK112" s="3" t="b">
        <v>1</v>
      </c>
      <c r="AL112" s="3"/>
      <c r="AM112" s="3"/>
      <c r="AN112" s="3"/>
      <c r="AO112" s="3"/>
      <c r="AP112" s="3"/>
      <c r="AQ112" s="3" t="s">
        <v>326</v>
      </c>
      <c r="AR112" s="3" t="b">
        <v>1</v>
      </c>
      <c r="AS112" s="3" t="b">
        <v>0</v>
      </c>
      <c r="AT112" s="3" t="b">
        <v>0</v>
      </c>
      <c r="AU112" s="3" t="b">
        <v>1</v>
      </c>
      <c r="AV112" s="3" t="b">
        <v>0</v>
      </c>
      <c r="AW112" s="3" t="b">
        <f t="shared" si="6"/>
        <v>0</v>
      </c>
      <c r="AX112" s="3" t="b">
        <f t="shared" si="7"/>
        <v>0</v>
      </c>
      <c r="AY112" s="3" t="b">
        <f t="shared" si="8"/>
        <v>1</v>
      </c>
      <c r="AZ112" s="3" t="b">
        <f t="shared" si="9"/>
        <v>0</v>
      </c>
      <c r="BA112" s="3" t="b">
        <f t="shared" si="10"/>
        <v>0</v>
      </c>
      <c r="BB112" s="3" t="b">
        <f t="shared" si="11"/>
        <v>0</v>
      </c>
      <c r="BC112" s="3"/>
      <c r="BD112" s="3" t="s">
        <v>327</v>
      </c>
      <c r="BE112" s="3" t="b">
        <v>1</v>
      </c>
      <c r="BF112" s="3" t="b">
        <v>0</v>
      </c>
      <c r="BG112" s="3" t="b">
        <v>0</v>
      </c>
      <c r="BH112" s="3" t="b">
        <v>1</v>
      </c>
      <c r="BI112" s="3" t="b">
        <v>0</v>
      </c>
      <c r="BJ112" s="3"/>
      <c r="BK112" s="3"/>
      <c r="BL112" s="3"/>
      <c r="BM112" s="3"/>
      <c r="BN112" s="3"/>
      <c r="BO112" s="3" t="s">
        <v>327</v>
      </c>
      <c r="BP112" s="3" t="b">
        <v>1</v>
      </c>
      <c r="BQ112" s="3" t="b">
        <v>0</v>
      </c>
      <c r="BR112" s="3" t="b">
        <v>0</v>
      </c>
      <c r="BS112" s="3" t="b">
        <v>1</v>
      </c>
      <c r="BT112" s="3" t="b">
        <v>0</v>
      </c>
      <c r="BU112" s="3"/>
      <c r="BV112" s="3"/>
      <c r="BW112" s="3"/>
      <c r="BX112" s="3"/>
    </row>
    <row r="113" spans="1:76" x14ac:dyDescent="0.35">
      <c r="A113" s="3"/>
      <c r="B113" s="3"/>
      <c r="C113" s="3" t="s">
        <v>97</v>
      </c>
      <c r="D113" s="3"/>
      <c r="E113" s="3"/>
      <c r="F113" s="3"/>
      <c r="G113" s="3" t="s">
        <v>3610</v>
      </c>
      <c r="H113" s="3" t="s">
        <v>329</v>
      </c>
      <c r="I113" s="3" t="b">
        <v>1</v>
      </c>
      <c r="J113" s="3" t="b">
        <v>1</v>
      </c>
      <c r="K113" s="3" t="b">
        <v>1</v>
      </c>
      <c r="L113" s="3" t="b">
        <v>1</v>
      </c>
      <c r="M113" s="3" t="b">
        <v>1</v>
      </c>
      <c r="N113" s="3" t="b">
        <f t="shared" si="0"/>
        <v>1</v>
      </c>
      <c r="O113" s="3" t="b">
        <f t="shared" si="1"/>
        <v>0</v>
      </c>
      <c r="P113" s="3" t="b">
        <f t="shared" si="2"/>
        <v>0</v>
      </c>
      <c r="Q113" s="3" t="b">
        <f t="shared" si="3"/>
        <v>0</v>
      </c>
      <c r="R113" s="3" t="b">
        <f t="shared" si="4"/>
        <v>0</v>
      </c>
      <c r="S113" s="3" t="b">
        <f t="shared" si="5"/>
        <v>0</v>
      </c>
      <c r="U113" s="3" t="s">
        <v>330</v>
      </c>
      <c r="V113" s="3" t="b">
        <v>1</v>
      </c>
      <c r="W113" s="3" t="b">
        <v>1</v>
      </c>
      <c r="X113" s="3" t="b">
        <v>1</v>
      </c>
      <c r="Y113" s="3" t="b">
        <v>1</v>
      </c>
      <c r="Z113" s="3" t="b">
        <v>1</v>
      </c>
      <c r="AA113" s="3"/>
      <c r="AB113" s="3"/>
      <c r="AC113" s="3"/>
      <c r="AD113" s="3"/>
      <c r="AE113" s="3"/>
      <c r="AF113" s="3" t="s">
        <v>331</v>
      </c>
      <c r="AG113" s="3" t="b">
        <v>1</v>
      </c>
      <c r="AH113" s="3" t="b">
        <v>1</v>
      </c>
      <c r="AI113" s="3" t="b">
        <v>1</v>
      </c>
      <c r="AJ113" s="3" t="b">
        <v>1</v>
      </c>
      <c r="AK113" s="3" t="b">
        <v>1</v>
      </c>
      <c r="AL113" s="3"/>
      <c r="AM113" s="3"/>
      <c r="AN113" s="3"/>
      <c r="AO113" s="3"/>
      <c r="AP113" s="3"/>
      <c r="AQ113" s="3" t="s">
        <v>332</v>
      </c>
      <c r="AR113" s="3" t="b">
        <v>1</v>
      </c>
      <c r="AS113" s="3" t="b">
        <v>1</v>
      </c>
      <c r="AT113" s="3" t="b">
        <v>1</v>
      </c>
      <c r="AU113" s="3" t="b">
        <v>0</v>
      </c>
      <c r="AV113" s="3" t="b">
        <v>1</v>
      </c>
      <c r="AW113" s="3" t="b">
        <f t="shared" si="6"/>
        <v>0</v>
      </c>
      <c r="AX113" s="3" t="b">
        <f t="shared" si="7"/>
        <v>0</v>
      </c>
      <c r="AY113" s="3" t="b">
        <f t="shared" si="8"/>
        <v>0</v>
      </c>
      <c r="AZ113" s="3" t="b">
        <f t="shared" si="9"/>
        <v>1</v>
      </c>
      <c r="BA113" s="3" t="b">
        <f t="shared" si="10"/>
        <v>0</v>
      </c>
      <c r="BB113" s="3" t="b">
        <f t="shared" si="11"/>
        <v>0</v>
      </c>
      <c r="BC113" s="3"/>
      <c r="BD113" s="3" t="s">
        <v>332</v>
      </c>
      <c r="BE113" s="3" t="b">
        <v>1</v>
      </c>
      <c r="BF113" s="3" t="b">
        <v>1</v>
      </c>
      <c r="BG113" s="3" t="b">
        <v>1</v>
      </c>
      <c r="BH113" s="3" t="b">
        <v>0</v>
      </c>
      <c r="BI113" s="3" t="b">
        <v>1</v>
      </c>
      <c r="BJ113" s="3"/>
      <c r="BK113" s="3"/>
      <c r="BL113" s="3"/>
      <c r="BM113" s="3"/>
      <c r="BN113" s="3"/>
      <c r="BO113" s="3" t="s">
        <v>332</v>
      </c>
      <c r="BP113" s="3" t="b">
        <v>1</v>
      </c>
      <c r="BQ113" s="3" t="b">
        <v>1</v>
      </c>
      <c r="BR113" s="3" t="b">
        <v>1</v>
      </c>
      <c r="BS113" s="3" t="b">
        <v>0</v>
      </c>
      <c r="BT113" s="3" t="b">
        <v>1</v>
      </c>
      <c r="BU113" s="3"/>
      <c r="BV113" s="3"/>
      <c r="BW113" s="3"/>
      <c r="BX113" s="3"/>
    </row>
    <row r="114" spans="1:76" x14ac:dyDescent="0.35">
      <c r="A114" s="3"/>
      <c r="B114" s="3" t="s">
        <v>103</v>
      </c>
      <c r="C114" s="3"/>
      <c r="D114" s="3" t="s">
        <v>34</v>
      </c>
      <c r="E114" s="3" t="s">
        <v>35</v>
      </c>
      <c r="F114" s="3"/>
      <c r="G114" s="3"/>
      <c r="H114" s="3"/>
      <c r="I114" s="3"/>
      <c r="J114" s="3"/>
      <c r="K114" s="3"/>
      <c r="L114" s="3"/>
      <c r="M114" s="3"/>
      <c r="N114" s="3">
        <f t="shared" si="0"/>
        <v>0</v>
      </c>
      <c r="O114" s="3">
        <f t="shared" si="1"/>
        <v>0</v>
      </c>
      <c r="P114" s="3">
        <f t="shared" si="2"/>
        <v>0</v>
      </c>
      <c r="Q114" s="3">
        <f t="shared" si="3"/>
        <v>0</v>
      </c>
      <c r="R114" s="3">
        <f t="shared" si="4"/>
        <v>0</v>
      </c>
      <c r="S114" s="3">
        <f t="shared" si="5"/>
        <v>0</v>
      </c>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f t="shared" si="6"/>
        <v>0</v>
      </c>
      <c r="AX114" s="3">
        <f t="shared" si="7"/>
        <v>0</v>
      </c>
      <c r="AY114" s="3">
        <f t="shared" si="8"/>
        <v>0</v>
      </c>
      <c r="AZ114" s="3">
        <f t="shared" si="9"/>
        <v>0</v>
      </c>
      <c r="BA114" s="3">
        <f t="shared" si="10"/>
        <v>0</v>
      </c>
      <c r="BB114" s="3">
        <f t="shared" si="11"/>
        <v>0</v>
      </c>
      <c r="BC114" s="3"/>
      <c r="BD114" s="3"/>
      <c r="BE114" s="3"/>
      <c r="BF114" s="3"/>
      <c r="BG114" s="3"/>
      <c r="BH114" s="3"/>
      <c r="BI114" s="3"/>
      <c r="BJ114" s="3"/>
      <c r="BK114" s="3"/>
      <c r="BL114" s="3"/>
      <c r="BM114" s="3"/>
      <c r="BN114" s="3"/>
      <c r="BO114" s="3"/>
      <c r="BP114" s="3"/>
      <c r="BQ114" s="3"/>
      <c r="BR114" s="3"/>
      <c r="BS114" s="3"/>
      <c r="BT114" s="3"/>
      <c r="BU114" s="3"/>
      <c r="BV114" s="3"/>
      <c r="BW114" s="3"/>
      <c r="BX114" s="3"/>
    </row>
    <row r="115" spans="1:76" x14ac:dyDescent="0.35">
      <c r="A115" s="3"/>
      <c r="B115" s="3" t="s">
        <v>104</v>
      </c>
      <c r="C115" s="3"/>
      <c r="D115" s="3" t="s">
        <v>34</v>
      </c>
      <c r="E115" s="3" t="s">
        <v>35</v>
      </c>
      <c r="F115" s="3"/>
      <c r="G115" s="3"/>
      <c r="H115" s="3"/>
      <c r="I115" s="3"/>
      <c r="J115" s="3"/>
      <c r="K115" s="3"/>
      <c r="L115" s="3"/>
      <c r="M115" s="3"/>
      <c r="N115" s="3">
        <f t="shared" si="0"/>
        <v>0</v>
      </c>
      <c r="O115" s="3">
        <f t="shared" si="1"/>
        <v>0</v>
      </c>
      <c r="P115" s="3">
        <f t="shared" si="2"/>
        <v>0</v>
      </c>
      <c r="Q115" s="3">
        <f t="shared" si="3"/>
        <v>0</v>
      </c>
      <c r="R115" s="3">
        <f t="shared" si="4"/>
        <v>0</v>
      </c>
      <c r="S115" s="3">
        <f t="shared" si="5"/>
        <v>0</v>
      </c>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f t="shared" si="6"/>
        <v>0</v>
      </c>
      <c r="AX115" s="3">
        <f t="shared" si="7"/>
        <v>0</v>
      </c>
      <c r="AY115" s="3">
        <f t="shared" si="8"/>
        <v>0</v>
      </c>
      <c r="AZ115" s="3">
        <f t="shared" si="9"/>
        <v>0</v>
      </c>
      <c r="BA115" s="3">
        <f t="shared" si="10"/>
        <v>0</v>
      </c>
      <c r="BB115" s="3">
        <f t="shared" si="11"/>
        <v>0</v>
      </c>
      <c r="BC115" s="3"/>
      <c r="BD115" s="3"/>
      <c r="BE115" s="3"/>
      <c r="BF115" s="3"/>
      <c r="BG115" s="3"/>
      <c r="BH115" s="3"/>
      <c r="BI115" s="3"/>
      <c r="BJ115" s="3"/>
      <c r="BK115" s="3"/>
      <c r="BL115" s="3"/>
      <c r="BM115" s="3"/>
      <c r="BN115" s="3"/>
      <c r="BO115" s="3"/>
      <c r="BP115" s="3"/>
      <c r="BQ115" s="3"/>
      <c r="BR115" s="3"/>
      <c r="BS115" s="3"/>
      <c r="BT115" s="3"/>
      <c r="BU115" s="3"/>
      <c r="BV115" s="3"/>
      <c r="BW115" s="3"/>
      <c r="BX115" s="3"/>
    </row>
    <row r="116" spans="1:76" x14ac:dyDescent="0.35">
      <c r="A116" s="3"/>
      <c r="B116" s="3"/>
      <c r="C116" s="3"/>
      <c r="D116" s="3" t="s">
        <v>315</v>
      </c>
      <c r="E116" s="3" t="s">
        <v>77</v>
      </c>
      <c r="F116" s="3"/>
      <c r="G116" s="3"/>
      <c r="H116" s="3"/>
      <c r="I116" s="3"/>
      <c r="J116" s="3"/>
      <c r="K116" s="3"/>
      <c r="L116" s="3"/>
      <c r="M116" s="3"/>
      <c r="N116" s="3">
        <f t="shared" si="0"/>
        <v>0</v>
      </c>
      <c r="O116" s="3">
        <f t="shared" si="1"/>
        <v>0</v>
      </c>
      <c r="P116" s="3">
        <f t="shared" si="2"/>
        <v>0</v>
      </c>
      <c r="Q116" s="3">
        <f t="shared" si="3"/>
        <v>0</v>
      </c>
      <c r="R116" s="3">
        <f t="shared" si="4"/>
        <v>0</v>
      </c>
      <c r="S116" s="3">
        <f t="shared" si="5"/>
        <v>0</v>
      </c>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f t="shared" si="6"/>
        <v>0</v>
      </c>
      <c r="AX116" s="3">
        <f t="shared" si="7"/>
        <v>0</v>
      </c>
      <c r="AY116" s="3">
        <f t="shared" si="8"/>
        <v>0</v>
      </c>
      <c r="AZ116" s="3">
        <f t="shared" si="9"/>
        <v>0</v>
      </c>
      <c r="BA116" s="3">
        <f t="shared" si="10"/>
        <v>0</v>
      </c>
      <c r="BB116" s="3">
        <f t="shared" si="11"/>
        <v>0</v>
      </c>
      <c r="BC116" s="3"/>
      <c r="BD116" s="3"/>
      <c r="BE116" s="3"/>
      <c r="BF116" s="3"/>
      <c r="BG116" s="3"/>
      <c r="BH116" s="3"/>
      <c r="BI116" s="3"/>
      <c r="BJ116" s="3"/>
      <c r="BK116" s="3"/>
      <c r="BL116" s="3"/>
      <c r="BM116" s="3"/>
      <c r="BN116" s="3"/>
      <c r="BO116" s="3"/>
      <c r="BP116" s="3"/>
      <c r="BQ116" s="3"/>
      <c r="BR116" s="3"/>
      <c r="BS116" s="3"/>
      <c r="BT116" s="3"/>
      <c r="BU116" s="3"/>
      <c r="BV116" s="3"/>
      <c r="BW116" s="3"/>
      <c r="BX116" s="3"/>
    </row>
    <row r="117" spans="1:76" x14ac:dyDescent="0.35">
      <c r="A117" s="3"/>
      <c r="B117" s="3" t="s">
        <v>333</v>
      </c>
      <c r="C117" s="3" t="s">
        <v>334</v>
      </c>
      <c r="D117" s="3"/>
      <c r="E117" s="3"/>
      <c r="F117" s="3"/>
      <c r="G117" s="3" t="s">
        <v>3611</v>
      </c>
      <c r="H117" s="3" t="s">
        <v>336</v>
      </c>
      <c r="I117" s="3" t="b">
        <v>1</v>
      </c>
      <c r="J117" s="3" t="b">
        <v>1</v>
      </c>
      <c r="K117" s="3" t="b">
        <v>1</v>
      </c>
      <c r="L117" s="3" t="b">
        <v>1</v>
      </c>
      <c r="M117" s="3" t="b">
        <v>1</v>
      </c>
      <c r="N117" s="3" t="b">
        <f t="shared" si="0"/>
        <v>1</v>
      </c>
      <c r="O117" s="3" t="b">
        <f t="shared" si="1"/>
        <v>0</v>
      </c>
      <c r="P117" s="3" t="b">
        <f t="shared" si="2"/>
        <v>0</v>
      </c>
      <c r="Q117" s="3" t="b">
        <f t="shared" si="3"/>
        <v>0</v>
      </c>
      <c r="R117" s="3" t="b">
        <f t="shared" si="4"/>
        <v>0</v>
      </c>
      <c r="S117" s="3" t="b">
        <f t="shared" si="5"/>
        <v>0</v>
      </c>
      <c r="U117" s="3" t="s">
        <v>336</v>
      </c>
      <c r="V117" s="3" t="b">
        <v>1</v>
      </c>
      <c r="W117" s="3" t="b">
        <v>1</v>
      </c>
      <c r="X117" s="3" t="b">
        <v>1</v>
      </c>
      <c r="Y117" s="3" t="b">
        <v>1</v>
      </c>
      <c r="Z117" s="3" t="b">
        <v>1</v>
      </c>
      <c r="AA117" s="3"/>
      <c r="AB117" s="3"/>
      <c r="AC117" s="3"/>
      <c r="AD117" s="3"/>
      <c r="AE117" s="3"/>
      <c r="AF117" s="3" t="s">
        <v>336</v>
      </c>
      <c r="AG117" s="3" t="b">
        <v>1</v>
      </c>
      <c r="AH117" s="3" t="b">
        <v>1</v>
      </c>
      <c r="AI117" s="3" t="b">
        <v>1</v>
      </c>
      <c r="AJ117" s="3" t="b">
        <v>1</v>
      </c>
      <c r="AK117" s="3" t="b">
        <v>1</v>
      </c>
      <c r="AL117" s="3"/>
      <c r="AM117" s="3"/>
      <c r="AN117" s="3"/>
      <c r="AO117" s="3"/>
      <c r="AP117" s="3"/>
      <c r="AQ117" s="3" t="s">
        <v>336</v>
      </c>
      <c r="AR117" s="3" t="b">
        <v>1</v>
      </c>
      <c r="AS117" s="3" t="b">
        <v>1</v>
      </c>
      <c r="AT117" s="3" t="b">
        <v>1</v>
      </c>
      <c r="AU117" s="3" t="b">
        <v>1</v>
      </c>
      <c r="AV117" s="3" t="b">
        <v>1</v>
      </c>
      <c r="AW117" s="3" t="b">
        <f t="shared" si="6"/>
        <v>1</v>
      </c>
      <c r="AX117" s="3" t="b">
        <f t="shared" si="7"/>
        <v>0</v>
      </c>
      <c r="AY117" s="3" t="b">
        <f t="shared" si="8"/>
        <v>0</v>
      </c>
      <c r="AZ117" s="3" t="b">
        <f t="shared" si="9"/>
        <v>0</v>
      </c>
      <c r="BA117" s="3" t="b">
        <f t="shared" si="10"/>
        <v>0</v>
      </c>
      <c r="BB117" s="3" t="b">
        <f t="shared" si="11"/>
        <v>0</v>
      </c>
      <c r="BC117" s="3"/>
      <c r="BD117" s="3" t="s">
        <v>336</v>
      </c>
      <c r="BE117" s="3" t="b">
        <v>1</v>
      </c>
      <c r="BF117" s="3" t="b">
        <v>1</v>
      </c>
      <c r="BG117" s="3" t="b">
        <v>1</v>
      </c>
      <c r="BH117" s="3" t="b">
        <v>1</v>
      </c>
      <c r="BI117" s="3" t="b">
        <v>1</v>
      </c>
      <c r="BJ117" s="3"/>
      <c r="BK117" s="3"/>
      <c r="BL117" s="3"/>
      <c r="BM117" s="3"/>
      <c r="BN117" s="3"/>
      <c r="BO117" s="3" t="s">
        <v>336</v>
      </c>
      <c r="BP117" s="3" t="b">
        <v>1</v>
      </c>
      <c r="BQ117" s="3" t="b">
        <v>1</v>
      </c>
      <c r="BR117" s="3" t="b">
        <v>1</v>
      </c>
      <c r="BS117" s="3" t="b">
        <v>1</v>
      </c>
      <c r="BT117" s="3" t="b">
        <v>1</v>
      </c>
      <c r="BU117" s="3"/>
      <c r="BV117" s="3"/>
      <c r="BW117" s="3"/>
      <c r="BX117" s="3"/>
    </row>
    <row r="118" spans="1:76" x14ac:dyDescent="0.35">
      <c r="A118" s="3"/>
      <c r="B118" s="3" t="s">
        <v>105</v>
      </c>
      <c r="C118" s="3" t="s">
        <v>25</v>
      </c>
      <c r="D118" s="3"/>
      <c r="E118" s="3"/>
      <c r="F118" s="3"/>
      <c r="G118" s="3" t="s">
        <v>3612</v>
      </c>
      <c r="H118" s="3" t="s">
        <v>28</v>
      </c>
      <c r="I118" s="3" t="b">
        <v>1</v>
      </c>
      <c r="J118" s="3" t="b">
        <v>1</v>
      </c>
      <c r="K118" s="3" t="b">
        <v>1</v>
      </c>
      <c r="L118" s="3" t="b">
        <v>1</v>
      </c>
      <c r="M118" s="3" t="b">
        <v>1</v>
      </c>
      <c r="N118" s="3" t="b">
        <f t="shared" si="0"/>
        <v>1</v>
      </c>
      <c r="O118" s="3" t="b">
        <f t="shared" si="1"/>
        <v>0</v>
      </c>
      <c r="P118" s="3" t="b">
        <f t="shared" si="2"/>
        <v>0</v>
      </c>
      <c r="Q118" s="3" t="b">
        <f t="shared" si="3"/>
        <v>0</v>
      </c>
      <c r="R118" s="3" t="b">
        <f t="shared" si="4"/>
        <v>0</v>
      </c>
      <c r="S118" s="3" t="b">
        <f t="shared" si="5"/>
        <v>0</v>
      </c>
      <c r="U118" s="3" t="s">
        <v>28</v>
      </c>
      <c r="V118" s="3" t="b">
        <v>1</v>
      </c>
      <c r="W118" s="3" t="b">
        <v>1</v>
      </c>
      <c r="X118" s="3" t="b">
        <v>1</v>
      </c>
      <c r="Y118" s="3" t="b">
        <v>1</v>
      </c>
      <c r="Z118" s="3" t="b">
        <v>1</v>
      </c>
      <c r="AA118" s="3"/>
      <c r="AB118" s="3"/>
      <c r="AC118" s="3"/>
      <c r="AD118" s="3"/>
      <c r="AE118" s="3"/>
      <c r="AF118" s="3" t="s">
        <v>28</v>
      </c>
      <c r="AG118" s="3" t="b">
        <v>1</v>
      </c>
      <c r="AH118" s="3" t="b">
        <v>1</v>
      </c>
      <c r="AI118" s="3" t="b">
        <v>1</v>
      </c>
      <c r="AJ118" s="3" t="b">
        <v>1</v>
      </c>
      <c r="AK118" s="3" t="b">
        <v>1</v>
      </c>
      <c r="AL118" s="3"/>
      <c r="AM118" s="3"/>
      <c r="AN118" s="3"/>
      <c r="AO118" s="3"/>
      <c r="AP118" s="3"/>
      <c r="AQ118" s="3" t="s">
        <v>28</v>
      </c>
      <c r="AR118" s="3" t="b">
        <v>1</v>
      </c>
      <c r="AS118" s="3" t="b">
        <v>1</v>
      </c>
      <c r="AT118" s="3" t="b">
        <v>1</v>
      </c>
      <c r="AU118" s="3" t="b">
        <v>1</v>
      </c>
      <c r="AV118" s="3" t="b">
        <v>1</v>
      </c>
      <c r="AW118" s="3" t="b">
        <f t="shared" si="6"/>
        <v>1</v>
      </c>
      <c r="AX118" s="3" t="b">
        <f t="shared" si="7"/>
        <v>0</v>
      </c>
      <c r="AY118" s="3" t="b">
        <f t="shared" si="8"/>
        <v>0</v>
      </c>
      <c r="AZ118" s="3" t="b">
        <f t="shared" si="9"/>
        <v>0</v>
      </c>
      <c r="BA118" s="3" t="b">
        <f t="shared" si="10"/>
        <v>0</v>
      </c>
      <c r="BB118" s="3" t="b">
        <f t="shared" si="11"/>
        <v>0</v>
      </c>
      <c r="BC118" s="3"/>
      <c r="BD118" s="3" t="s">
        <v>28</v>
      </c>
      <c r="BE118" s="3" t="b">
        <v>1</v>
      </c>
      <c r="BF118" s="3" t="b">
        <v>1</v>
      </c>
      <c r="BG118" s="3" t="b">
        <v>1</v>
      </c>
      <c r="BH118" s="3" t="b">
        <v>1</v>
      </c>
      <c r="BI118" s="3" t="b">
        <v>1</v>
      </c>
      <c r="BJ118" s="3"/>
      <c r="BK118" s="3"/>
      <c r="BL118" s="3"/>
      <c r="BM118" s="3"/>
      <c r="BN118" s="3"/>
      <c r="BO118" s="3" t="s">
        <v>28</v>
      </c>
      <c r="BP118" s="3" t="b">
        <v>1</v>
      </c>
      <c r="BQ118" s="3" t="b">
        <v>1</v>
      </c>
      <c r="BR118" s="3" t="b">
        <v>1</v>
      </c>
      <c r="BS118" s="3" t="b">
        <v>1</v>
      </c>
      <c r="BT118" s="3" t="b">
        <v>1</v>
      </c>
      <c r="BU118" s="3"/>
      <c r="BV118" s="3"/>
      <c r="BW118" s="3"/>
      <c r="BX118" s="3"/>
    </row>
    <row r="119" spans="1:76" x14ac:dyDescent="0.35">
      <c r="A119" s="3"/>
      <c r="B119" s="3"/>
      <c r="C119" s="3" t="s">
        <v>29</v>
      </c>
      <c r="D119" s="3"/>
      <c r="E119" s="3"/>
      <c r="F119" s="3"/>
      <c r="G119" s="3" t="s">
        <v>3613</v>
      </c>
      <c r="H119" s="3" t="s">
        <v>31</v>
      </c>
      <c r="I119" s="3" t="b">
        <v>1</v>
      </c>
      <c r="J119" s="3" t="b">
        <v>1</v>
      </c>
      <c r="K119" s="3" t="b">
        <v>1</v>
      </c>
      <c r="L119" s="3" t="b">
        <v>1</v>
      </c>
      <c r="M119" s="3" t="b">
        <v>1</v>
      </c>
      <c r="N119" s="3" t="b">
        <f t="shared" si="0"/>
        <v>1</v>
      </c>
      <c r="O119" s="3" t="b">
        <f t="shared" si="1"/>
        <v>0</v>
      </c>
      <c r="P119" s="3" t="b">
        <f t="shared" si="2"/>
        <v>0</v>
      </c>
      <c r="Q119" s="3" t="b">
        <f t="shared" si="3"/>
        <v>0</v>
      </c>
      <c r="R119" s="3" t="b">
        <f t="shared" si="4"/>
        <v>0</v>
      </c>
      <c r="S119" s="3" t="b">
        <f t="shared" si="5"/>
        <v>0</v>
      </c>
      <c r="U119" s="3" t="s">
        <v>31</v>
      </c>
      <c r="V119" s="3" t="b">
        <v>1</v>
      </c>
      <c r="W119" s="3" t="b">
        <v>1</v>
      </c>
      <c r="X119" s="3" t="b">
        <v>1</v>
      </c>
      <c r="Y119" s="3" t="b">
        <v>1</v>
      </c>
      <c r="Z119" s="3" t="b">
        <v>1</v>
      </c>
      <c r="AA119" s="3"/>
      <c r="AB119" s="3"/>
      <c r="AC119" s="3"/>
      <c r="AD119" s="3"/>
      <c r="AE119" s="3"/>
      <c r="AF119" s="3" t="s">
        <v>31</v>
      </c>
      <c r="AG119" s="3" t="b">
        <v>1</v>
      </c>
      <c r="AH119" s="3" t="b">
        <v>1</v>
      </c>
      <c r="AI119" s="3" t="b">
        <v>1</v>
      </c>
      <c r="AJ119" s="3" t="b">
        <v>1</v>
      </c>
      <c r="AK119" s="3" t="b">
        <v>1</v>
      </c>
      <c r="AL119" s="3"/>
      <c r="AM119" s="3"/>
      <c r="AN119" s="3"/>
      <c r="AO119" s="3"/>
      <c r="AP119" s="3"/>
      <c r="AQ119" s="3" t="s">
        <v>31</v>
      </c>
      <c r="AR119" s="3" t="b">
        <v>1</v>
      </c>
      <c r="AS119" s="3" t="b">
        <v>1</v>
      </c>
      <c r="AT119" s="3" t="b">
        <v>1</v>
      </c>
      <c r="AU119" s="3" t="b">
        <v>1</v>
      </c>
      <c r="AV119" s="3" t="b">
        <v>1</v>
      </c>
      <c r="AW119" s="3" t="b">
        <f t="shared" si="6"/>
        <v>1</v>
      </c>
      <c r="AX119" s="3" t="b">
        <f t="shared" si="7"/>
        <v>0</v>
      </c>
      <c r="AY119" s="3" t="b">
        <f t="shared" si="8"/>
        <v>0</v>
      </c>
      <c r="AZ119" s="3" t="b">
        <f t="shared" si="9"/>
        <v>0</v>
      </c>
      <c r="BA119" s="3" t="b">
        <f t="shared" si="10"/>
        <v>0</v>
      </c>
      <c r="BB119" s="3" t="b">
        <f t="shared" si="11"/>
        <v>0</v>
      </c>
      <c r="BC119" s="3"/>
      <c r="BD119" s="3" t="s">
        <v>31</v>
      </c>
      <c r="BE119" s="3" t="b">
        <v>1</v>
      </c>
      <c r="BF119" s="3" t="b">
        <v>1</v>
      </c>
      <c r="BG119" s="3" t="b">
        <v>1</v>
      </c>
      <c r="BH119" s="3" t="b">
        <v>1</v>
      </c>
      <c r="BI119" s="3" t="b">
        <v>1</v>
      </c>
      <c r="BJ119" s="3"/>
      <c r="BK119" s="3"/>
      <c r="BL119" s="3"/>
      <c r="BM119" s="3"/>
      <c r="BN119" s="3"/>
      <c r="BO119" s="3" t="s">
        <v>31</v>
      </c>
      <c r="BP119" s="3" t="b">
        <v>1</v>
      </c>
      <c r="BQ119" s="3" t="b">
        <v>1</v>
      </c>
      <c r="BR119" s="3" t="b">
        <v>1</v>
      </c>
      <c r="BS119" s="3" t="b">
        <v>1</v>
      </c>
      <c r="BT119" s="3" t="b">
        <v>1</v>
      </c>
      <c r="BU119" s="3"/>
      <c r="BV119" s="3"/>
      <c r="BW119" s="3"/>
      <c r="BX119" s="3"/>
    </row>
    <row r="120" spans="1:76" x14ac:dyDescent="0.35">
      <c r="A120" s="3"/>
      <c r="B120" s="3" t="s">
        <v>108</v>
      </c>
      <c r="C120" s="3" t="s">
        <v>109</v>
      </c>
      <c r="D120" s="3"/>
      <c r="E120" s="3"/>
      <c r="F120" s="3"/>
      <c r="G120" s="3" t="s">
        <v>3614</v>
      </c>
      <c r="H120" s="3" t="s">
        <v>111</v>
      </c>
      <c r="I120" s="3" t="b">
        <v>1</v>
      </c>
      <c r="J120" s="3" t="b">
        <v>1</v>
      </c>
      <c r="K120" s="3" t="b">
        <v>1</v>
      </c>
      <c r="L120" s="3" t="b">
        <v>1</v>
      </c>
      <c r="M120" s="3" t="b">
        <v>1</v>
      </c>
      <c r="N120" s="3" t="b">
        <f t="shared" si="0"/>
        <v>1</v>
      </c>
      <c r="O120" s="3" t="b">
        <f t="shared" si="1"/>
        <v>0</v>
      </c>
      <c r="P120" s="3" t="b">
        <f t="shared" si="2"/>
        <v>0</v>
      </c>
      <c r="Q120" s="3" t="b">
        <f t="shared" si="3"/>
        <v>0</v>
      </c>
      <c r="R120" s="3" t="b">
        <f t="shared" si="4"/>
        <v>0</v>
      </c>
      <c r="S120" s="3" t="b">
        <f t="shared" si="5"/>
        <v>0</v>
      </c>
      <c r="U120" s="3" t="s">
        <v>112</v>
      </c>
      <c r="V120" s="3" t="b">
        <v>1</v>
      </c>
      <c r="W120" s="3" t="b">
        <v>1</v>
      </c>
      <c r="X120" s="3" t="b">
        <v>1</v>
      </c>
      <c r="Y120" s="3" t="b">
        <v>1</v>
      </c>
      <c r="Z120" s="3" t="b">
        <v>1</v>
      </c>
      <c r="AA120" s="3"/>
      <c r="AB120" s="3"/>
      <c r="AC120" s="3"/>
      <c r="AD120" s="3"/>
      <c r="AE120" s="3"/>
      <c r="AF120" s="3" t="s">
        <v>111</v>
      </c>
      <c r="AG120" s="3" t="b">
        <v>1</v>
      </c>
      <c r="AH120" s="3" t="b">
        <v>1</v>
      </c>
      <c r="AI120" s="3" t="b">
        <v>1</v>
      </c>
      <c r="AJ120" s="3" t="b">
        <v>1</v>
      </c>
      <c r="AK120" s="3" t="b">
        <v>1</v>
      </c>
      <c r="AL120" s="3"/>
      <c r="AM120" s="3"/>
      <c r="AN120" s="3"/>
      <c r="AO120" s="3"/>
      <c r="AP120" s="3"/>
      <c r="AQ120" s="3" t="s">
        <v>112</v>
      </c>
      <c r="AR120" s="3" t="b">
        <v>1</v>
      </c>
      <c r="AS120" s="3" t="b">
        <v>1</v>
      </c>
      <c r="AT120" s="3" t="b">
        <v>1</v>
      </c>
      <c r="AU120" s="3" t="b">
        <v>1</v>
      </c>
      <c r="AV120" s="3" t="b">
        <v>1</v>
      </c>
      <c r="AW120" s="3" t="b">
        <f t="shared" si="6"/>
        <v>1</v>
      </c>
      <c r="AX120" s="3" t="b">
        <f t="shared" si="7"/>
        <v>0</v>
      </c>
      <c r="AY120" s="3" t="b">
        <f t="shared" si="8"/>
        <v>0</v>
      </c>
      <c r="AZ120" s="3" t="b">
        <f t="shared" si="9"/>
        <v>0</v>
      </c>
      <c r="BA120" s="3" t="b">
        <f t="shared" si="10"/>
        <v>0</v>
      </c>
      <c r="BB120" s="3" t="b">
        <f t="shared" si="11"/>
        <v>0</v>
      </c>
      <c r="BC120" s="3"/>
      <c r="BD120" s="3" t="s">
        <v>111</v>
      </c>
      <c r="BE120" s="3" t="b">
        <v>1</v>
      </c>
      <c r="BF120" s="3" t="b">
        <v>1</v>
      </c>
      <c r="BG120" s="3" t="b">
        <v>1</v>
      </c>
      <c r="BH120" s="3" t="b">
        <v>1</v>
      </c>
      <c r="BI120" s="3" t="b">
        <v>1</v>
      </c>
      <c r="BJ120" s="3"/>
      <c r="BK120" s="3"/>
      <c r="BL120" s="3"/>
      <c r="BM120" s="3"/>
      <c r="BN120" s="3"/>
      <c r="BO120" s="3" t="s">
        <v>111</v>
      </c>
      <c r="BP120" s="3" t="b">
        <v>1</v>
      </c>
      <c r="BQ120" s="3" t="b">
        <v>1</v>
      </c>
      <c r="BR120" s="3" t="b">
        <v>1</v>
      </c>
      <c r="BS120" s="3" t="b">
        <v>1</v>
      </c>
      <c r="BT120" s="3" t="b">
        <v>1</v>
      </c>
      <c r="BU120" s="3"/>
      <c r="BV120" s="3"/>
      <c r="BW120" s="3"/>
      <c r="BX120" s="3"/>
    </row>
    <row r="121" spans="1:76" x14ac:dyDescent="0.35">
      <c r="A121" s="3"/>
      <c r="B121" s="3"/>
      <c r="C121" s="3" t="s">
        <v>113</v>
      </c>
      <c r="D121" s="3"/>
      <c r="E121" s="3"/>
      <c r="F121" s="3"/>
      <c r="G121" s="3" t="s">
        <v>3615</v>
      </c>
      <c r="H121" s="3" t="s">
        <v>118</v>
      </c>
      <c r="I121" s="3" t="b">
        <v>1</v>
      </c>
      <c r="J121" s="3" t="b">
        <v>1</v>
      </c>
      <c r="K121" s="3" t="b">
        <v>1</v>
      </c>
      <c r="L121" s="3" t="b">
        <v>1</v>
      </c>
      <c r="M121" s="3" t="b">
        <v>1</v>
      </c>
      <c r="N121" s="3" t="b">
        <f t="shared" si="0"/>
        <v>1</v>
      </c>
      <c r="O121" s="3" t="b">
        <f t="shared" si="1"/>
        <v>0</v>
      </c>
      <c r="P121" s="3" t="b">
        <f t="shared" si="2"/>
        <v>0</v>
      </c>
      <c r="Q121" s="3" t="b">
        <f t="shared" si="3"/>
        <v>0</v>
      </c>
      <c r="R121" s="3" t="b">
        <f t="shared" si="4"/>
        <v>0</v>
      </c>
      <c r="S121" s="3" t="b">
        <f t="shared" si="5"/>
        <v>0</v>
      </c>
      <c r="U121" s="3" t="s">
        <v>118</v>
      </c>
      <c r="V121" s="3" t="b">
        <v>1</v>
      </c>
      <c r="W121" s="3" t="b">
        <v>1</v>
      </c>
      <c r="X121" s="3" t="b">
        <v>1</v>
      </c>
      <c r="Y121" s="3" t="b">
        <v>1</v>
      </c>
      <c r="Z121" s="3" t="b">
        <v>1</v>
      </c>
      <c r="AA121" s="3"/>
      <c r="AB121" s="3"/>
      <c r="AC121" s="3"/>
      <c r="AD121" s="3"/>
      <c r="AE121" s="3"/>
      <c r="AF121" s="3" t="s">
        <v>118</v>
      </c>
      <c r="AG121" s="3" t="b">
        <v>1</v>
      </c>
      <c r="AH121" s="3" t="b">
        <v>1</v>
      </c>
      <c r="AI121" s="3" t="b">
        <v>1</v>
      </c>
      <c r="AJ121" s="3" t="b">
        <v>1</v>
      </c>
      <c r="AK121" s="3" t="b">
        <v>1</v>
      </c>
      <c r="AL121" s="3"/>
      <c r="AM121" s="3"/>
      <c r="AN121" s="3"/>
      <c r="AO121" s="3"/>
      <c r="AP121" s="3"/>
      <c r="AQ121" s="3" t="s">
        <v>118</v>
      </c>
      <c r="AR121" s="3" t="b">
        <v>1</v>
      </c>
      <c r="AS121" s="3" t="b">
        <v>1</v>
      </c>
      <c r="AT121" s="3" t="b">
        <v>1</v>
      </c>
      <c r="AU121" s="3" t="b">
        <v>1</v>
      </c>
      <c r="AV121" s="3" t="b">
        <v>1</v>
      </c>
      <c r="AW121" s="3" t="b">
        <f t="shared" si="6"/>
        <v>1</v>
      </c>
      <c r="AX121" s="3" t="b">
        <f t="shared" si="7"/>
        <v>0</v>
      </c>
      <c r="AY121" s="3" t="b">
        <f t="shared" si="8"/>
        <v>0</v>
      </c>
      <c r="AZ121" s="3" t="b">
        <f t="shared" si="9"/>
        <v>0</v>
      </c>
      <c r="BA121" s="3" t="b">
        <f t="shared" si="10"/>
        <v>0</v>
      </c>
      <c r="BB121" s="3" t="b">
        <f t="shared" si="11"/>
        <v>0</v>
      </c>
      <c r="BC121" s="3"/>
      <c r="BD121" s="3" t="s">
        <v>118</v>
      </c>
      <c r="BE121" s="3" t="b">
        <v>1</v>
      </c>
      <c r="BF121" s="3" t="b">
        <v>1</v>
      </c>
      <c r="BG121" s="3" t="b">
        <v>1</v>
      </c>
      <c r="BH121" s="3" t="b">
        <v>1</v>
      </c>
      <c r="BI121" s="3" t="b">
        <v>1</v>
      </c>
      <c r="BJ121" s="3"/>
      <c r="BK121" s="3"/>
      <c r="BL121" s="3"/>
      <c r="BM121" s="3"/>
      <c r="BN121" s="3"/>
      <c r="BO121" s="3" t="s">
        <v>118</v>
      </c>
      <c r="BP121" s="3" t="b">
        <v>1</v>
      </c>
      <c r="BQ121" s="3" t="b">
        <v>1</v>
      </c>
      <c r="BR121" s="3" t="b">
        <v>1</v>
      </c>
      <c r="BS121" s="3" t="b">
        <v>1</v>
      </c>
      <c r="BT121" s="3" t="b">
        <v>1</v>
      </c>
      <c r="BU121" s="3"/>
      <c r="BV121" s="3"/>
      <c r="BW121" s="3"/>
      <c r="BX121" s="3"/>
    </row>
    <row r="122" spans="1:76" x14ac:dyDescent="0.35">
      <c r="A122" s="3"/>
      <c r="B122" s="3"/>
      <c r="C122" s="3" t="s">
        <v>341</v>
      </c>
      <c r="D122" s="3"/>
      <c r="E122" s="3"/>
      <c r="F122" s="3"/>
      <c r="G122" s="3" t="s">
        <v>3616</v>
      </c>
      <c r="H122" s="3"/>
      <c r="I122" s="3" t="b">
        <v>1</v>
      </c>
      <c r="J122" s="3" t="b">
        <v>0</v>
      </c>
      <c r="K122" s="3" t="b">
        <v>0</v>
      </c>
      <c r="L122" s="3" t="b">
        <v>0</v>
      </c>
      <c r="M122" s="3" t="b">
        <v>0</v>
      </c>
      <c r="N122" s="3" t="b">
        <f t="shared" si="0"/>
        <v>0</v>
      </c>
      <c r="O122" s="3" t="b">
        <f t="shared" si="1"/>
        <v>0</v>
      </c>
      <c r="P122" s="3" t="b">
        <f t="shared" si="2"/>
        <v>1</v>
      </c>
      <c r="Q122" s="3" t="b">
        <f t="shared" si="3"/>
        <v>0</v>
      </c>
      <c r="R122" s="3" t="b">
        <f t="shared" si="4"/>
        <v>0</v>
      </c>
      <c r="S122" s="3" t="b">
        <f t="shared" si="5"/>
        <v>0</v>
      </c>
      <c r="U122" s="3" t="s">
        <v>343</v>
      </c>
      <c r="V122" s="3" t="b">
        <v>1</v>
      </c>
      <c r="W122" s="3" t="b">
        <v>1</v>
      </c>
      <c r="X122" s="3" t="b">
        <v>1</v>
      </c>
      <c r="Y122" s="3" t="b">
        <v>1</v>
      </c>
      <c r="Z122" s="3" t="b">
        <v>1</v>
      </c>
      <c r="AA122" s="3"/>
      <c r="AB122" s="3"/>
      <c r="AC122" s="3"/>
      <c r="AD122" s="3"/>
      <c r="AE122" s="3"/>
      <c r="AF122" s="3" t="s">
        <v>343</v>
      </c>
      <c r="AG122" s="3" t="b">
        <v>1</v>
      </c>
      <c r="AH122" s="3" t="b">
        <v>1</v>
      </c>
      <c r="AI122" s="3" t="b">
        <v>1</v>
      </c>
      <c r="AJ122" s="3" t="b">
        <v>1</v>
      </c>
      <c r="AK122" s="3" t="b">
        <v>1</v>
      </c>
      <c r="AL122" s="3"/>
      <c r="AM122" s="3"/>
      <c r="AN122" s="3"/>
      <c r="AO122" s="3"/>
      <c r="AP122" s="3"/>
      <c r="AQ122" s="3" t="s">
        <v>122</v>
      </c>
      <c r="AR122" s="3" t="b">
        <v>1</v>
      </c>
      <c r="AS122" s="3" t="b">
        <v>0</v>
      </c>
      <c r="AT122" s="3" t="b">
        <v>0</v>
      </c>
      <c r="AU122" s="3" t="b">
        <v>1</v>
      </c>
      <c r="AV122" s="3" t="b">
        <v>0</v>
      </c>
      <c r="AW122" s="3" t="b">
        <f t="shared" si="6"/>
        <v>0</v>
      </c>
      <c r="AX122" s="3" t="b">
        <f t="shared" si="7"/>
        <v>0</v>
      </c>
      <c r="AY122" s="3" t="b">
        <f t="shared" si="8"/>
        <v>1</v>
      </c>
      <c r="AZ122" s="3" t="b">
        <f t="shared" si="9"/>
        <v>0</v>
      </c>
      <c r="BA122" s="3" t="b">
        <f t="shared" si="10"/>
        <v>0</v>
      </c>
      <c r="BB122" s="3" t="b">
        <f t="shared" si="11"/>
        <v>0</v>
      </c>
      <c r="BC122" s="3"/>
      <c r="BD122" s="3" t="s">
        <v>240</v>
      </c>
      <c r="BE122" s="3" t="b">
        <v>1</v>
      </c>
      <c r="BF122" s="3" t="b">
        <v>1</v>
      </c>
      <c r="BG122" s="3" t="b">
        <v>1</v>
      </c>
      <c r="BH122" s="3" t="b">
        <v>1</v>
      </c>
      <c r="BI122" s="3" t="b">
        <v>0</v>
      </c>
      <c r="BJ122" s="3"/>
      <c r="BK122" s="3"/>
      <c r="BL122" s="3"/>
      <c r="BM122" s="3"/>
      <c r="BN122" s="3"/>
      <c r="BO122" s="3" t="s">
        <v>240</v>
      </c>
      <c r="BP122" s="3" t="b">
        <v>1</v>
      </c>
      <c r="BQ122" s="3" t="b">
        <v>1</v>
      </c>
      <c r="BR122" s="3" t="b">
        <v>1</v>
      </c>
      <c r="BS122" s="3" t="b">
        <v>1</v>
      </c>
      <c r="BT122" s="3" t="b">
        <v>0</v>
      </c>
      <c r="BU122" s="3"/>
      <c r="BV122" s="3"/>
      <c r="BW122" s="3"/>
      <c r="BX122" s="3"/>
    </row>
    <row r="123" spans="1:76" x14ac:dyDescent="0.35">
      <c r="A123" s="3"/>
      <c r="B123" s="3"/>
      <c r="C123" s="3" t="s">
        <v>344</v>
      </c>
      <c r="D123" s="3"/>
      <c r="E123" s="3"/>
      <c r="F123" s="3"/>
      <c r="G123" s="3" t="s">
        <v>3617</v>
      </c>
      <c r="H123" s="3"/>
      <c r="I123" s="3" t="b">
        <v>1</v>
      </c>
      <c r="J123" s="3" t="b">
        <v>0</v>
      </c>
      <c r="K123" s="3" t="b">
        <v>0</v>
      </c>
      <c r="L123" s="3" t="b">
        <v>0</v>
      </c>
      <c r="M123" s="3" t="b">
        <v>0</v>
      </c>
      <c r="N123" s="3" t="b">
        <f t="shared" si="0"/>
        <v>0</v>
      </c>
      <c r="O123" s="3" t="b">
        <f t="shared" si="1"/>
        <v>0</v>
      </c>
      <c r="P123" s="3" t="b">
        <f t="shared" si="2"/>
        <v>1</v>
      </c>
      <c r="Q123" s="3" t="b">
        <f t="shared" si="3"/>
        <v>0</v>
      </c>
      <c r="R123" s="3" t="b">
        <f t="shared" si="4"/>
        <v>0</v>
      </c>
      <c r="S123" s="3" t="b">
        <f t="shared" si="5"/>
        <v>0</v>
      </c>
      <c r="U123" s="3" t="s">
        <v>346</v>
      </c>
      <c r="V123" s="3" t="b">
        <v>1</v>
      </c>
      <c r="W123" s="3" t="b">
        <v>1</v>
      </c>
      <c r="X123" s="3" t="b">
        <v>1</v>
      </c>
      <c r="Y123" s="3" t="b">
        <v>1</v>
      </c>
      <c r="Z123" s="3" t="b">
        <v>1</v>
      </c>
      <c r="AA123" s="3"/>
      <c r="AB123" s="3"/>
      <c r="AC123" s="3"/>
      <c r="AD123" s="3"/>
      <c r="AE123" s="3"/>
      <c r="AF123" s="3" t="s">
        <v>346</v>
      </c>
      <c r="AG123" s="3" t="b">
        <v>1</v>
      </c>
      <c r="AH123" s="3" t="b">
        <v>1</v>
      </c>
      <c r="AI123" s="3" t="b">
        <v>1</v>
      </c>
      <c r="AJ123" s="3" t="b">
        <v>1</v>
      </c>
      <c r="AK123" s="3" t="b">
        <v>1</v>
      </c>
      <c r="AL123" s="3"/>
      <c r="AM123" s="3"/>
      <c r="AN123" s="3"/>
      <c r="AO123" s="3"/>
      <c r="AP123" s="3"/>
      <c r="AQ123" s="3" t="s">
        <v>347</v>
      </c>
      <c r="AR123" s="3" t="b">
        <v>1</v>
      </c>
      <c r="AS123" s="3" t="b">
        <v>0</v>
      </c>
      <c r="AT123" s="3" t="b">
        <v>0</v>
      </c>
      <c r="AU123" s="3" t="b">
        <v>1</v>
      </c>
      <c r="AV123" s="3" t="b">
        <v>0</v>
      </c>
      <c r="AW123" s="3" t="b">
        <f t="shared" si="6"/>
        <v>0</v>
      </c>
      <c r="AX123" s="3" t="b">
        <f t="shared" si="7"/>
        <v>0</v>
      </c>
      <c r="AY123" s="3" t="b">
        <f t="shared" si="8"/>
        <v>1</v>
      </c>
      <c r="AZ123" s="3" t="b">
        <f t="shared" si="9"/>
        <v>0</v>
      </c>
      <c r="BA123" s="3" t="b">
        <f t="shared" si="10"/>
        <v>0</v>
      </c>
      <c r="BB123" s="3" t="b">
        <f t="shared" si="11"/>
        <v>0</v>
      </c>
      <c r="BC123" s="3"/>
      <c r="BD123" s="3" t="s">
        <v>347</v>
      </c>
      <c r="BE123" s="3" t="b">
        <v>1</v>
      </c>
      <c r="BF123" s="3" t="b">
        <v>0</v>
      </c>
      <c r="BG123" s="3" t="b">
        <v>0</v>
      </c>
      <c r="BH123" s="3" t="b">
        <v>1</v>
      </c>
      <c r="BI123" s="3" t="b">
        <v>0</v>
      </c>
      <c r="BJ123" s="3"/>
      <c r="BK123" s="3"/>
      <c r="BL123" s="3"/>
      <c r="BM123" s="3"/>
      <c r="BN123" s="3"/>
      <c r="BO123" s="3" t="s">
        <v>348</v>
      </c>
      <c r="BP123" s="3" t="b">
        <v>1</v>
      </c>
      <c r="BQ123" s="3" t="b">
        <v>0</v>
      </c>
      <c r="BR123" s="3" t="b">
        <v>0</v>
      </c>
      <c r="BS123" s="3" t="b">
        <v>1</v>
      </c>
      <c r="BT123" s="3" t="b">
        <v>0</v>
      </c>
      <c r="BU123" s="3"/>
      <c r="BV123" s="3"/>
      <c r="BW123" s="3"/>
      <c r="BX123" s="3"/>
    </row>
    <row r="124" spans="1:76" x14ac:dyDescent="0.35">
      <c r="A124" s="3"/>
      <c r="B124" s="3"/>
      <c r="C124" s="3" t="s">
        <v>131</v>
      </c>
      <c r="D124" s="3"/>
      <c r="E124" s="3"/>
      <c r="F124" s="3"/>
      <c r="G124" s="3" t="s">
        <v>3618</v>
      </c>
      <c r="H124" s="3" t="s">
        <v>133</v>
      </c>
      <c r="I124" s="3" t="b">
        <v>1</v>
      </c>
      <c r="J124" s="3" t="b">
        <v>1</v>
      </c>
      <c r="K124" s="3" t="b">
        <v>1</v>
      </c>
      <c r="L124" s="3" t="b">
        <v>1</v>
      </c>
      <c r="M124" s="3" t="b">
        <v>1</v>
      </c>
      <c r="N124" s="3" t="b">
        <f t="shared" si="0"/>
        <v>1</v>
      </c>
      <c r="O124" s="3" t="b">
        <f t="shared" si="1"/>
        <v>0</v>
      </c>
      <c r="P124" s="3" t="b">
        <f t="shared" si="2"/>
        <v>0</v>
      </c>
      <c r="Q124" s="3" t="b">
        <f t="shared" si="3"/>
        <v>0</v>
      </c>
      <c r="R124" s="3" t="b">
        <f t="shared" si="4"/>
        <v>0</v>
      </c>
      <c r="S124" s="3" t="b">
        <f t="shared" si="5"/>
        <v>0</v>
      </c>
      <c r="U124" s="3" t="s">
        <v>133</v>
      </c>
      <c r="V124" s="3" t="b">
        <v>1</v>
      </c>
      <c r="W124" s="3" t="b">
        <v>1</v>
      </c>
      <c r="X124" s="3" t="b">
        <v>1</v>
      </c>
      <c r="Y124" s="3" t="b">
        <v>1</v>
      </c>
      <c r="Z124" s="3" t="b">
        <v>1</v>
      </c>
      <c r="AA124" s="3"/>
      <c r="AB124" s="3"/>
      <c r="AC124" s="3"/>
      <c r="AD124" s="3"/>
      <c r="AE124" s="3"/>
      <c r="AF124" s="3" t="s">
        <v>133</v>
      </c>
      <c r="AG124" s="3" t="b">
        <v>1</v>
      </c>
      <c r="AH124" s="3" t="b">
        <v>1</v>
      </c>
      <c r="AI124" s="3" t="b">
        <v>1</v>
      </c>
      <c r="AJ124" s="3" t="b">
        <v>1</v>
      </c>
      <c r="AK124" s="3" t="b">
        <v>1</v>
      </c>
      <c r="AL124" s="3"/>
      <c r="AM124" s="3"/>
      <c r="AN124" s="3"/>
      <c r="AO124" s="3"/>
      <c r="AP124" s="3"/>
      <c r="AQ124" s="3" t="s">
        <v>133</v>
      </c>
      <c r="AR124" s="3" t="b">
        <v>1</v>
      </c>
      <c r="AS124" s="3" t="b">
        <v>1</v>
      </c>
      <c r="AT124" s="3" t="b">
        <v>1</v>
      </c>
      <c r="AU124" s="3" t="b">
        <v>1</v>
      </c>
      <c r="AV124" s="3" t="b">
        <v>1</v>
      </c>
      <c r="AW124" s="3" t="b">
        <f t="shared" si="6"/>
        <v>1</v>
      </c>
      <c r="AX124" s="3" t="b">
        <f t="shared" si="7"/>
        <v>0</v>
      </c>
      <c r="AY124" s="3" t="b">
        <f t="shared" si="8"/>
        <v>0</v>
      </c>
      <c r="AZ124" s="3" t="b">
        <f t="shared" si="9"/>
        <v>0</v>
      </c>
      <c r="BA124" s="3" t="b">
        <f t="shared" si="10"/>
        <v>0</v>
      </c>
      <c r="BB124" s="3" t="b">
        <f t="shared" si="11"/>
        <v>0</v>
      </c>
      <c r="BC124" s="3"/>
      <c r="BD124" s="3" t="s">
        <v>133</v>
      </c>
      <c r="BE124" s="3" t="b">
        <v>1</v>
      </c>
      <c r="BF124" s="3" t="b">
        <v>1</v>
      </c>
      <c r="BG124" s="3" t="b">
        <v>1</v>
      </c>
      <c r="BH124" s="3" t="b">
        <v>1</v>
      </c>
      <c r="BI124" s="3" t="b">
        <v>1</v>
      </c>
      <c r="BJ124" s="3"/>
      <c r="BK124" s="3"/>
      <c r="BL124" s="3"/>
      <c r="BM124" s="3"/>
      <c r="BN124" s="3"/>
      <c r="BO124" s="3" t="s">
        <v>133</v>
      </c>
      <c r="BP124" s="3" t="b">
        <v>1</v>
      </c>
      <c r="BQ124" s="3" t="b">
        <v>1</v>
      </c>
      <c r="BR124" s="3" t="b">
        <v>1</v>
      </c>
      <c r="BS124" s="3" t="b">
        <v>1</v>
      </c>
      <c r="BT124" s="3" t="b">
        <v>1</v>
      </c>
      <c r="BU124" s="3"/>
      <c r="BV124" s="3"/>
      <c r="BW124" s="3"/>
      <c r="BX124" s="3"/>
    </row>
    <row r="125" spans="1:76" x14ac:dyDescent="0.35">
      <c r="A125" s="3"/>
      <c r="B125" s="3" t="s">
        <v>350</v>
      </c>
      <c r="C125" s="3"/>
      <c r="D125" s="3"/>
      <c r="E125" s="3"/>
      <c r="F125" s="3"/>
      <c r="G125" s="3"/>
      <c r="H125" s="3"/>
      <c r="I125" s="3"/>
      <c r="J125" s="3"/>
      <c r="K125" s="3"/>
      <c r="L125" s="3"/>
      <c r="M125" s="3"/>
      <c r="N125" s="3">
        <f t="shared" si="0"/>
        <v>0</v>
      </c>
      <c r="O125" s="3">
        <f t="shared" si="1"/>
        <v>0</v>
      </c>
      <c r="P125" s="3">
        <f t="shared" si="2"/>
        <v>0</v>
      </c>
      <c r="Q125" s="3">
        <f t="shared" si="3"/>
        <v>0</v>
      </c>
      <c r="R125" s="3">
        <f t="shared" si="4"/>
        <v>0</v>
      </c>
      <c r="S125" s="3">
        <f t="shared" si="5"/>
        <v>0</v>
      </c>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f t="shared" si="6"/>
        <v>0</v>
      </c>
      <c r="AX125" s="3">
        <f t="shared" si="7"/>
        <v>0</v>
      </c>
      <c r="AY125" s="3">
        <f t="shared" si="8"/>
        <v>0</v>
      </c>
      <c r="AZ125" s="3">
        <f t="shared" si="9"/>
        <v>0</v>
      </c>
      <c r="BA125" s="3">
        <f t="shared" si="10"/>
        <v>0</v>
      </c>
      <c r="BB125" s="3">
        <f t="shared" si="11"/>
        <v>0</v>
      </c>
      <c r="BC125" s="3"/>
      <c r="BD125" s="3"/>
      <c r="BE125" s="3"/>
      <c r="BF125" s="3"/>
      <c r="BG125" s="3"/>
      <c r="BH125" s="3"/>
      <c r="BI125" s="3"/>
      <c r="BJ125" s="3"/>
      <c r="BK125" s="3"/>
      <c r="BL125" s="3"/>
      <c r="BM125" s="3"/>
      <c r="BN125" s="3"/>
      <c r="BO125" s="3"/>
      <c r="BP125" s="3"/>
      <c r="BQ125" s="3"/>
      <c r="BR125" s="3"/>
      <c r="BS125" s="3"/>
      <c r="BT125" s="3"/>
      <c r="BU125" s="3"/>
      <c r="BV125" s="3"/>
      <c r="BW125" s="3"/>
      <c r="BX125" s="3"/>
    </row>
    <row r="126" spans="1:76" x14ac:dyDescent="0.35">
      <c r="A126" s="3"/>
      <c r="B126" s="3" t="s">
        <v>351</v>
      </c>
      <c r="C126" s="3"/>
      <c r="D126" s="3" t="s">
        <v>352</v>
      </c>
      <c r="E126" s="3" t="s">
        <v>353</v>
      </c>
      <c r="F126" s="3"/>
      <c r="G126" s="3"/>
      <c r="H126" s="3"/>
      <c r="I126" s="3"/>
      <c r="J126" s="3"/>
      <c r="K126" s="3"/>
      <c r="L126" s="3"/>
      <c r="M126" s="3"/>
      <c r="N126" s="3">
        <f t="shared" si="0"/>
        <v>0</v>
      </c>
      <c r="O126" s="3">
        <f t="shared" si="1"/>
        <v>0</v>
      </c>
      <c r="P126" s="3">
        <f t="shared" si="2"/>
        <v>0</v>
      </c>
      <c r="Q126" s="3">
        <f t="shared" si="3"/>
        <v>0</v>
      </c>
      <c r="R126" s="3">
        <f t="shared" si="4"/>
        <v>0</v>
      </c>
      <c r="S126" s="3">
        <f t="shared" si="5"/>
        <v>0</v>
      </c>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f t="shared" si="6"/>
        <v>0</v>
      </c>
      <c r="AX126" s="3">
        <f t="shared" si="7"/>
        <v>0</v>
      </c>
      <c r="AY126" s="3">
        <f t="shared" si="8"/>
        <v>0</v>
      </c>
      <c r="AZ126" s="3">
        <f t="shared" si="9"/>
        <v>0</v>
      </c>
      <c r="BA126" s="3">
        <f t="shared" si="10"/>
        <v>0</v>
      </c>
      <c r="BB126" s="3">
        <f t="shared" si="11"/>
        <v>0</v>
      </c>
      <c r="BC126" s="3"/>
      <c r="BD126" s="3"/>
      <c r="BE126" s="3"/>
      <c r="BF126" s="3"/>
      <c r="BG126" s="3"/>
      <c r="BH126" s="3"/>
      <c r="BI126" s="3"/>
      <c r="BJ126" s="3"/>
      <c r="BK126" s="3"/>
      <c r="BL126" s="3"/>
      <c r="BM126" s="3"/>
      <c r="BN126" s="3"/>
      <c r="BO126" s="3"/>
      <c r="BP126" s="3"/>
      <c r="BQ126" s="3"/>
      <c r="BR126" s="3"/>
      <c r="BS126" s="3"/>
      <c r="BT126" s="3"/>
      <c r="BU126" s="3"/>
      <c r="BV126" s="3"/>
      <c r="BW126" s="3"/>
      <c r="BX126" s="3"/>
    </row>
    <row r="127" spans="1:76" x14ac:dyDescent="0.35">
      <c r="A127" s="3"/>
      <c r="B127" s="3" t="s">
        <v>354</v>
      </c>
      <c r="C127" s="3"/>
      <c r="D127" s="3"/>
      <c r="E127" s="3"/>
      <c r="F127" s="3"/>
      <c r="G127" s="3"/>
      <c r="H127" s="3"/>
      <c r="I127" s="3"/>
      <c r="J127" s="3"/>
      <c r="K127" s="3"/>
      <c r="L127" s="3"/>
      <c r="M127" s="3"/>
      <c r="N127" s="3">
        <f t="shared" si="0"/>
        <v>0</v>
      </c>
      <c r="O127" s="3">
        <f t="shared" si="1"/>
        <v>0</v>
      </c>
      <c r="P127" s="3">
        <f t="shared" si="2"/>
        <v>0</v>
      </c>
      <c r="Q127" s="3">
        <f t="shared" si="3"/>
        <v>0</v>
      </c>
      <c r="R127" s="3">
        <f t="shared" si="4"/>
        <v>0</v>
      </c>
      <c r="S127" s="3">
        <f t="shared" si="5"/>
        <v>0</v>
      </c>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f t="shared" si="6"/>
        <v>0</v>
      </c>
      <c r="AX127" s="3">
        <f t="shared" si="7"/>
        <v>0</v>
      </c>
      <c r="AY127" s="3">
        <f t="shared" si="8"/>
        <v>0</v>
      </c>
      <c r="AZ127" s="3">
        <f t="shared" si="9"/>
        <v>0</v>
      </c>
      <c r="BA127" s="3">
        <f t="shared" si="10"/>
        <v>0</v>
      </c>
      <c r="BB127" s="3">
        <f t="shared" si="11"/>
        <v>0</v>
      </c>
      <c r="BC127" s="3"/>
      <c r="BD127" s="3"/>
      <c r="BE127" s="3"/>
      <c r="BF127" s="3"/>
      <c r="BG127" s="3"/>
      <c r="BH127" s="3"/>
      <c r="BI127" s="3"/>
      <c r="BJ127" s="3"/>
      <c r="BK127" s="3"/>
      <c r="BL127" s="3"/>
      <c r="BM127" s="3"/>
      <c r="BN127" s="3"/>
      <c r="BO127" s="3"/>
      <c r="BP127" s="3"/>
      <c r="BQ127" s="3"/>
      <c r="BR127" s="3"/>
      <c r="BS127" s="3"/>
      <c r="BT127" s="3"/>
      <c r="BU127" s="3"/>
      <c r="BV127" s="3"/>
      <c r="BW127" s="3"/>
      <c r="BX127" s="3"/>
    </row>
    <row r="128" spans="1:76" x14ac:dyDescent="0.35">
      <c r="A128" s="3"/>
      <c r="B128" s="5" t="s">
        <v>355</v>
      </c>
      <c r="C128" s="5" t="s">
        <v>131</v>
      </c>
      <c r="D128" s="3"/>
      <c r="E128" s="3"/>
      <c r="F128" s="3"/>
      <c r="G128" s="3"/>
      <c r="H128" s="3"/>
      <c r="I128" s="3"/>
      <c r="J128" s="3"/>
      <c r="K128" s="3"/>
      <c r="L128" s="3"/>
      <c r="M128" s="3"/>
      <c r="N128" s="3">
        <f t="shared" si="0"/>
        <v>0</v>
      </c>
      <c r="O128" s="3">
        <f t="shared" si="1"/>
        <v>0</v>
      </c>
      <c r="P128" s="3">
        <f t="shared" si="2"/>
        <v>0</v>
      </c>
      <c r="Q128" s="3">
        <f t="shared" si="3"/>
        <v>0</v>
      </c>
      <c r="R128" s="3">
        <f t="shared" si="4"/>
        <v>0</v>
      </c>
      <c r="S128" s="3">
        <f t="shared" si="5"/>
        <v>0</v>
      </c>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f t="shared" si="6"/>
        <v>0</v>
      </c>
      <c r="AX128" s="3">
        <f t="shared" si="7"/>
        <v>0</v>
      </c>
      <c r="AY128" s="3">
        <f t="shared" si="8"/>
        <v>0</v>
      </c>
      <c r="AZ128" s="3">
        <f t="shared" si="9"/>
        <v>0</v>
      </c>
      <c r="BA128" s="3">
        <f t="shared" si="10"/>
        <v>0</v>
      </c>
      <c r="BB128" s="3">
        <f t="shared" si="11"/>
        <v>0</v>
      </c>
      <c r="BC128" s="3"/>
      <c r="BD128" s="3"/>
      <c r="BE128" s="3"/>
      <c r="BF128" s="3"/>
      <c r="BG128" s="3"/>
      <c r="BH128" s="3"/>
      <c r="BI128" s="3"/>
      <c r="BJ128" s="3"/>
      <c r="BK128" s="3"/>
      <c r="BL128" s="3"/>
      <c r="BM128" s="3"/>
      <c r="BN128" s="3"/>
      <c r="BO128" s="3"/>
      <c r="BP128" s="3"/>
      <c r="BQ128" s="3"/>
      <c r="BR128" s="3"/>
      <c r="BS128" s="3"/>
      <c r="BT128" s="3"/>
      <c r="BU128" s="3"/>
      <c r="BV128" s="3"/>
      <c r="BW128" s="3"/>
      <c r="BX128" s="3"/>
    </row>
    <row r="129" spans="1:76" x14ac:dyDescent="0.35">
      <c r="A129" s="3"/>
      <c r="B129" s="3" t="s">
        <v>356</v>
      </c>
      <c r="C129" s="3"/>
      <c r="D129" s="3"/>
      <c r="E129" s="3"/>
      <c r="F129" s="3"/>
      <c r="G129" s="3"/>
      <c r="H129" s="3"/>
      <c r="I129" s="3"/>
      <c r="J129" s="3"/>
      <c r="K129" s="3"/>
      <c r="L129" s="3"/>
      <c r="M129" s="3"/>
      <c r="N129" s="3">
        <f t="shared" si="0"/>
        <v>0</v>
      </c>
      <c r="O129" s="3">
        <f t="shared" si="1"/>
        <v>0</v>
      </c>
      <c r="P129" s="3">
        <f t="shared" si="2"/>
        <v>0</v>
      </c>
      <c r="Q129" s="3">
        <f t="shared" si="3"/>
        <v>0</v>
      </c>
      <c r="R129" s="3">
        <f t="shared" si="4"/>
        <v>0</v>
      </c>
      <c r="S129" s="3">
        <f t="shared" si="5"/>
        <v>0</v>
      </c>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f t="shared" si="6"/>
        <v>0</v>
      </c>
      <c r="AX129" s="3">
        <f t="shared" si="7"/>
        <v>0</v>
      </c>
      <c r="AY129" s="3">
        <f t="shared" si="8"/>
        <v>0</v>
      </c>
      <c r="AZ129" s="3">
        <f t="shared" si="9"/>
        <v>0</v>
      </c>
      <c r="BA129" s="3">
        <f t="shared" si="10"/>
        <v>0</v>
      </c>
      <c r="BB129" s="3">
        <f t="shared" si="11"/>
        <v>0</v>
      </c>
      <c r="BC129" s="3"/>
      <c r="BD129" s="3"/>
      <c r="BE129" s="3"/>
      <c r="BF129" s="3"/>
      <c r="BG129" s="3"/>
      <c r="BH129" s="3"/>
      <c r="BI129" s="3"/>
      <c r="BJ129" s="3"/>
      <c r="BK129" s="3"/>
      <c r="BL129" s="3"/>
      <c r="BM129" s="3"/>
      <c r="BN129" s="3"/>
      <c r="BO129" s="3"/>
      <c r="BP129" s="3"/>
      <c r="BQ129" s="3"/>
      <c r="BR129" s="3"/>
      <c r="BS129" s="3"/>
      <c r="BT129" s="3"/>
      <c r="BU129" s="3"/>
      <c r="BV129" s="3"/>
      <c r="BW129" s="3"/>
      <c r="BX129" s="3"/>
    </row>
    <row r="130" spans="1:76" x14ac:dyDescent="0.35">
      <c r="A130" s="3"/>
      <c r="B130" s="3" t="s">
        <v>134</v>
      </c>
      <c r="C130" s="3"/>
      <c r="D130" s="3"/>
      <c r="E130" s="3"/>
      <c r="F130" s="3"/>
      <c r="G130" s="3"/>
      <c r="H130" s="3"/>
      <c r="I130" s="3"/>
      <c r="J130" s="3"/>
      <c r="K130" s="3"/>
      <c r="L130" s="3"/>
      <c r="M130" s="3"/>
      <c r="N130" s="3">
        <f t="shared" si="0"/>
        <v>0</v>
      </c>
      <c r="O130" s="3">
        <f t="shared" si="1"/>
        <v>0</v>
      </c>
      <c r="P130" s="3">
        <f t="shared" si="2"/>
        <v>0</v>
      </c>
      <c r="Q130" s="3">
        <f t="shared" si="3"/>
        <v>0</v>
      </c>
      <c r="R130" s="3">
        <f t="shared" si="4"/>
        <v>0</v>
      </c>
      <c r="S130" s="3">
        <f t="shared" si="5"/>
        <v>0</v>
      </c>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f t="shared" si="6"/>
        <v>0</v>
      </c>
      <c r="AX130" s="3">
        <f t="shared" si="7"/>
        <v>0</v>
      </c>
      <c r="AY130" s="3">
        <f t="shared" si="8"/>
        <v>0</v>
      </c>
      <c r="AZ130" s="3">
        <f t="shared" si="9"/>
        <v>0</v>
      </c>
      <c r="BA130" s="3">
        <f t="shared" si="10"/>
        <v>0</v>
      </c>
      <c r="BB130" s="3">
        <f t="shared" si="11"/>
        <v>0</v>
      </c>
      <c r="BC130" s="3"/>
      <c r="BD130" s="3"/>
      <c r="BE130" s="3"/>
      <c r="BF130" s="3"/>
      <c r="BG130" s="3"/>
      <c r="BH130" s="3"/>
      <c r="BI130" s="3"/>
      <c r="BJ130" s="3"/>
      <c r="BK130" s="3"/>
      <c r="BL130" s="3"/>
      <c r="BM130" s="3"/>
      <c r="BN130" s="3"/>
      <c r="BO130" s="3"/>
      <c r="BP130" s="3"/>
      <c r="BQ130" s="3"/>
      <c r="BR130" s="3"/>
      <c r="BS130" s="3"/>
      <c r="BT130" s="3"/>
      <c r="BU130" s="3"/>
      <c r="BV130" s="3"/>
      <c r="BW130" s="3"/>
      <c r="BX130" s="3"/>
    </row>
    <row r="131" spans="1:76" x14ac:dyDescent="0.35">
      <c r="A131" s="3"/>
      <c r="B131" s="3" t="s">
        <v>135</v>
      </c>
      <c r="C131" s="3"/>
      <c r="D131" s="3"/>
      <c r="E131" s="3"/>
      <c r="F131" s="3"/>
      <c r="G131" s="3"/>
      <c r="H131" s="3"/>
      <c r="I131" s="3"/>
      <c r="J131" s="3"/>
      <c r="K131" s="3"/>
      <c r="L131" s="3"/>
      <c r="M131" s="3"/>
      <c r="N131" s="3">
        <f t="shared" si="0"/>
        <v>0</v>
      </c>
      <c r="O131" s="3">
        <f t="shared" si="1"/>
        <v>0</v>
      </c>
      <c r="P131" s="3">
        <f t="shared" si="2"/>
        <v>0</v>
      </c>
      <c r="Q131" s="3">
        <f t="shared" si="3"/>
        <v>0</v>
      </c>
      <c r="R131" s="3">
        <f t="shared" si="4"/>
        <v>0</v>
      </c>
      <c r="S131" s="3">
        <f t="shared" si="5"/>
        <v>0</v>
      </c>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f t="shared" si="6"/>
        <v>0</v>
      </c>
      <c r="AX131" s="3">
        <f t="shared" si="7"/>
        <v>0</v>
      </c>
      <c r="AY131" s="3">
        <f t="shared" si="8"/>
        <v>0</v>
      </c>
      <c r="AZ131" s="3">
        <f t="shared" si="9"/>
        <v>0</v>
      </c>
      <c r="BA131" s="3">
        <f t="shared" si="10"/>
        <v>0</v>
      </c>
      <c r="BB131" s="3">
        <f t="shared" si="11"/>
        <v>0</v>
      </c>
      <c r="BC131" s="3"/>
      <c r="BD131" s="3"/>
      <c r="BE131" s="3"/>
      <c r="BF131" s="3"/>
      <c r="BG131" s="3"/>
      <c r="BH131" s="3"/>
      <c r="BI131" s="3"/>
      <c r="BJ131" s="3"/>
      <c r="BK131" s="3"/>
      <c r="BL131" s="3"/>
      <c r="BM131" s="3"/>
      <c r="BN131" s="3"/>
      <c r="BO131" s="3"/>
      <c r="BP131" s="3"/>
      <c r="BQ131" s="3"/>
      <c r="BR131" s="3"/>
      <c r="BS131" s="3"/>
      <c r="BT131" s="3"/>
      <c r="BU131" s="3"/>
      <c r="BV131" s="3"/>
      <c r="BW131" s="3"/>
      <c r="BX131" s="3"/>
    </row>
    <row r="132" spans="1:76" x14ac:dyDescent="0.35">
      <c r="A132" s="3"/>
      <c r="B132" s="3" t="s">
        <v>357</v>
      </c>
      <c r="C132" s="3"/>
      <c r="D132" s="3"/>
      <c r="E132" s="3"/>
      <c r="F132" s="3"/>
      <c r="G132" s="3"/>
      <c r="H132" s="3"/>
      <c r="I132" s="3"/>
      <c r="J132" s="3"/>
      <c r="K132" s="3"/>
      <c r="L132" s="3"/>
      <c r="M132" s="3"/>
      <c r="N132" s="3">
        <f t="shared" si="0"/>
        <v>0</v>
      </c>
      <c r="O132" s="3">
        <f t="shared" si="1"/>
        <v>0</v>
      </c>
      <c r="P132" s="3">
        <f t="shared" si="2"/>
        <v>0</v>
      </c>
      <c r="Q132" s="3">
        <f t="shared" si="3"/>
        <v>0</v>
      </c>
      <c r="R132" s="3">
        <f t="shared" si="4"/>
        <v>0</v>
      </c>
      <c r="S132" s="3">
        <f t="shared" si="5"/>
        <v>0</v>
      </c>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f t="shared" si="6"/>
        <v>0</v>
      </c>
      <c r="AX132" s="3">
        <f t="shared" si="7"/>
        <v>0</v>
      </c>
      <c r="AY132" s="3">
        <f t="shared" si="8"/>
        <v>0</v>
      </c>
      <c r="AZ132" s="3">
        <f t="shared" si="9"/>
        <v>0</v>
      </c>
      <c r="BA132" s="3">
        <f t="shared" si="10"/>
        <v>0</v>
      </c>
      <c r="BB132" s="3">
        <f t="shared" si="11"/>
        <v>0</v>
      </c>
      <c r="BC132" s="3"/>
      <c r="BD132" s="3"/>
      <c r="BE132" s="3"/>
      <c r="BF132" s="3"/>
      <c r="BG132" s="3"/>
      <c r="BH132" s="3"/>
      <c r="BI132" s="3"/>
      <c r="BJ132" s="3"/>
      <c r="BK132" s="3"/>
      <c r="BL132" s="3"/>
      <c r="BM132" s="3"/>
      <c r="BN132" s="3"/>
      <c r="BO132" s="3"/>
      <c r="BP132" s="3"/>
      <c r="BQ132" s="3"/>
      <c r="BR132" s="3"/>
      <c r="BS132" s="3"/>
      <c r="BT132" s="3"/>
      <c r="BU132" s="3"/>
      <c r="BV132" s="3"/>
      <c r="BW132" s="3"/>
      <c r="BX132" s="3"/>
    </row>
    <row r="133" spans="1:76" x14ac:dyDescent="0.35">
      <c r="A133" s="2"/>
      <c r="B133" s="2" t="s">
        <v>358</v>
      </c>
      <c r="C133" s="2" t="s">
        <v>359</v>
      </c>
      <c r="D133" s="2" t="s">
        <v>315</v>
      </c>
      <c r="E133" s="2" t="s">
        <v>77</v>
      </c>
      <c r="F133" s="2"/>
      <c r="G133" s="2" t="s">
        <v>3619</v>
      </c>
      <c r="H133" s="2" t="s">
        <v>361</v>
      </c>
      <c r="I133" s="2" t="b">
        <v>1</v>
      </c>
      <c r="J133" s="2" t="b">
        <v>1</v>
      </c>
      <c r="K133" s="2" t="b">
        <v>1</v>
      </c>
      <c r="L133" s="2" t="b">
        <v>1</v>
      </c>
      <c r="M133" s="2" t="b">
        <v>1</v>
      </c>
      <c r="N133" s="3" t="b">
        <f t="shared" si="0"/>
        <v>1</v>
      </c>
      <c r="O133" s="3" t="b">
        <f t="shared" si="1"/>
        <v>0</v>
      </c>
      <c r="P133" s="3" t="b">
        <f t="shared" si="2"/>
        <v>0</v>
      </c>
      <c r="Q133" s="3" t="b">
        <f t="shared" si="3"/>
        <v>0</v>
      </c>
      <c r="R133" s="3" t="b">
        <f t="shared" si="4"/>
        <v>0</v>
      </c>
      <c r="S133" s="3" t="b">
        <f t="shared" si="5"/>
        <v>0</v>
      </c>
      <c r="U133" s="2" t="s">
        <v>362</v>
      </c>
      <c r="V133" s="2" t="b">
        <v>1</v>
      </c>
      <c r="W133" s="2" t="b">
        <v>1</v>
      </c>
      <c r="X133" s="2" t="b">
        <v>1</v>
      </c>
      <c r="Y133" s="2" t="b">
        <v>1</v>
      </c>
      <c r="Z133" s="2" t="b">
        <v>1</v>
      </c>
      <c r="AA133" s="3"/>
      <c r="AB133" s="3"/>
      <c r="AC133" s="3"/>
      <c r="AD133" s="3"/>
      <c r="AE133" s="2"/>
      <c r="AF133" s="2" t="s">
        <v>361</v>
      </c>
      <c r="AG133" s="2" t="b">
        <v>1</v>
      </c>
      <c r="AH133" s="2" t="b">
        <v>1</v>
      </c>
      <c r="AI133" s="2" t="b">
        <v>1</v>
      </c>
      <c r="AJ133" s="2" t="b">
        <v>1</v>
      </c>
      <c r="AK133" s="2" t="b">
        <v>1</v>
      </c>
      <c r="AL133" s="3"/>
      <c r="AM133" s="3"/>
      <c r="AN133" s="3"/>
      <c r="AO133" s="3"/>
      <c r="AP133" s="2"/>
      <c r="AQ133" s="2" t="s">
        <v>363</v>
      </c>
      <c r="AR133" s="2" t="b">
        <v>1</v>
      </c>
      <c r="AS133" s="2" t="b">
        <v>1</v>
      </c>
      <c r="AT133" s="2" t="b">
        <v>1</v>
      </c>
      <c r="AU133" s="2" t="b">
        <v>1</v>
      </c>
      <c r="AV133" s="2" t="b">
        <v>1</v>
      </c>
      <c r="AW133" s="3" t="b">
        <f t="shared" si="6"/>
        <v>1</v>
      </c>
      <c r="AX133" s="3" t="b">
        <f t="shared" si="7"/>
        <v>0</v>
      </c>
      <c r="AY133" s="3" t="b">
        <f t="shared" si="8"/>
        <v>0</v>
      </c>
      <c r="AZ133" s="3" t="b">
        <f t="shared" si="9"/>
        <v>0</v>
      </c>
      <c r="BA133" s="3" t="b">
        <f t="shared" si="10"/>
        <v>0</v>
      </c>
      <c r="BB133" s="3" t="b">
        <f t="shared" si="11"/>
        <v>0</v>
      </c>
      <c r="BC133" s="2"/>
      <c r="BD133" s="2" t="s">
        <v>363</v>
      </c>
      <c r="BE133" s="2" t="b">
        <v>1</v>
      </c>
      <c r="BF133" s="2" t="b">
        <v>1</v>
      </c>
      <c r="BG133" s="2" t="b">
        <v>1</v>
      </c>
      <c r="BH133" s="2" t="b">
        <v>1</v>
      </c>
      <c r="BI133" s="2" t="b">
        <v>1</v>
      </c>
      <c r="BJ133" s="2"/>
      <c r="BK133" s="2"/>
      <c r="BL133" s="2"/>
      <c r="BM133" s="2"/>
      <c r="BN133" s="2"/>
      <c r="BO133" s="2" t="s">
        <v>363</v>
      </c>
      <c r="BP133" s="2" t="b">
        <v>1</v>
      </c>
      <c r="BQ133" s="2" t="b">
        <v>1</v>
      </c>
      <c r="BR133" s="2" t="b">
        <v>1</v>
      </c>
      <c r="BS133" s="2" t="b">
        <v>1</v>
      </c>
      <c r="BT133" s="2" t="b">
        <v>1</v>
      </c>
      <c r="BU133" s="2"/>
      <c r="BV133" s="2"/>
      <c r="BW133" s="2"/>
      <c r="BX133" s="2"/>
    </row>
    <row r="134" spans="1:76" x14ac:dyDescent="0.35">
      <c r="A134" s="3"/>
      <c r="B134" s="3"/>
      <c r="C134" s="3" t="s">
        <v>364</v>
      </c>
      <c r="D134" s="3"/>
      <c r="E134" s="3"/>
      <c r="F134" s="3"/>
      <c r="G134" s="3" t="s">
        <v>3620</v>
      </c>
      <c r="H134" s="3" t="s">
        <v>366</v>
      </c>
      <c r="I134" s="3" t="b">
        <v>1</v>
      </c>
      <c r="J134" s="3" t="b">
        <v>1</v>
      </c>
      <c r="K134" s="3" t="b">
        <v>1</v>
      </c>
      <c r="L134" s="3" t="b">
        <v>1</v>
      </c>
      <c r="M134" s="3" t="b">
        <v>1</v>
      </c>
      <c r="N134" s="3" t="b">
        <f t="shared" si="0"/>
        <v>1</v>
      </c>
      <c r="O134" s="3" t="b">
        <f t="shared" si="1"/>
        <v>0</v>
      </c>
      <c r="P134" s="3" t="b">
        <f t="shared" si="2"/>
        <v>0</v>
      </c>
      <c r="Q134" s="3" t="b">
        <f t="shared" si="3"/>
        <v>0</v>
      </c>
      <c r="R134" s="3" t="b">
        <f t="shared" si="4"/>
        <v>0</v>
      </c>
      <c r="S134" s="3" t="b">
        <f t="shared" si="5"/>
        <v>0</v>
      </c>
      <c r="U134" s="3" t="s">
        <v>367</v>
      </c>
      <c r="V134" s="3" t="b">
        <v>1</v>
      </c>
      <c r="W134" s="3" t="b">
        <v>1</v>
      </c>
      <c r="X134" s="3" t="b">
        <v>1</v>
      </c>
      <c r="Y134" s="3" t="b">
        <v>0</v>
      </c>
      <c r="Z134" s="3" t="b">
        <v>0</v>
      </c>
      <c r="AA134" s="3"/>
      <c r="AB134" s="3"/>
      <c r="AC134" s="3"/>
      <c r="AD134" s="3"/>
      <c r="AE134" s="3"/>
      <c r="AF134" s="3" t="s">
        <v>368</v>
      </c>
      <c r="AG134" s="3" t="b">
        <v>1</v>
      </c>
      <c r="AH134" s="3" t="b">
        <v>1</v>
      </c>
      <c r="AI134" s="3" t="b">
        <v>1</v>
      </c>
      <c r="AJ134" s="3" t="b">
        <v>1</v>
      </c>
      <c r="AK134" s="3" t="b">
        <v>1</v>
      </c>
      <c r="AL134" s="3"/>
      <c r="AM134" s="3"/>
      <c r="AN134" s="3"/>
      <c r="AO134" s="3"/>
      <c r="AP134" s="3"/>
      <c r="AQ134" s="3" t="s">
        <v>369</v>
      </c>
      <c r="AR134" s="3" t="b">
        <v>1</v>
      </c>
      <c r="AS134" s="3" t="b">
        <v>1</v>
      </c>
      <c r="AT134" s="3" t="b">
        <v>1</v>
      </c>
      <c r="AU134" s="3" t="b">
        <v>1</v>
      </c>
      <c r="AV134" s="3" t="b">
        <v>1</v>
      </c>
      <c r="AW134" s="3" t="b">
        <f t="shared" si="6"/>
        <v>1</v>
      </c>
      <c r="AX134" s="3" t="b">
        <f t="shared" si="7"/>
        <v>0</v>
      </c>
      <c r="AY134" s="3" t="b">
        <f t="shared" si="8"/>
        <v>0</v>
      </c>
      <c r="AZ134" s="3" t="b">
        <f t="shared" si="9"/>
        <v>0</v>
      </c>
      <c r="BA134" s="3" t="b">
        <f t="shared" si="10"/>
        <v>0</v>
      </c>
      <c r="BB134" s="3" t="b">
        <f t="shared" si="11"/>
        <v>0</v>
      </c>
      <c r="BC134" s="3"/>
      <c r="BD134" s="3" t="s">
        <v>370</v>
      </c>
      <c r="BE134" s="3" t="b">
        <v>1</v>
      </c>
      <c r="BF134" s="3" t="b">
        <v>1</v>
      </c>
      <c r="BG134" s="3" t="b">
        <v>1</v>
      </c>
      <c r="BH134" s="3" t="b">
        <v>1</v>
      </c>
      <c r="BI134" s="3" t="b">
        <v>1</v>
      </c>
      <c r="BJ134" s="3"/>
      <c r="BK134" s="3"/>
      <c r="BL134" s="3"/>
      <c r="BM134" s="3"/>
      <c r="BN134" s="3"/>
      <c r="BO134" s="3" t="s">
        <v>369</v>
      </c>
      <c r="BP134" s="3" t="b">
        <v>1</v>
      </c>
      <c r="BQ134" s="3" t="b">
        <v>1</v>
      </c>
      <c r="BR134" s="3" t="b">
        <v>1</v>
      </c>
      <c r="BS134" s="3" t="b">
        <v>1</v>
      </c>
      <c r="BT134" s="3" t="b">
        <v>1</v>
      </c>
      <c r="BU134" s="3"/>
      <c r="BV134" s="3"/>
      <c r="BW134" s="3"/>
      <c r="BX134" s="3"/>
    </row>
    <row r="135" spans="1:76" x14ac:dyDescent="0.35">
      <c r="A135" s="3"/>
      <c r="B135" s="3"/>
      <c r="C135" s="3" t="s">
        <v>89</v>
      </c>
      <c r="D135" s="3"/>
      <c r="E135" s="3"/>
      <c r="F135" s="3"/>
      <c r="G135" s="3" t="s">
        <v>3621</v>
      </c>
      <c r="H135" s="3" t="s">
        <v>372</v>
      </c>
      <c r="I135" s="3" t="b">
        <v>1</v>
      </c>
      <c r="J135" s="3" t="b">
        <v>1</v>
      </c>
      <c r="K135" s="3" t="b">
        <v>1</v>
      </c>
      <c r="L135" s="3" t="b">
        <v>1</v>
      </c>
      <c r="M135" s="3" t="b">
        <v>1</v>
      </c>
      <c r="N135" s="3" t="b">
        <f t="shared" si="0"/>
        <v>1</v>
      </c>
      <c r="O135" s="3" t="b">
        <f t="shared" si="1"/>
        <v>0</v>
      </c>
      <c r="P135" s="3" t="b">
        <f t="shared" si="2"/>
        <v>0</v>
      </c>
      <c r="Q135" s="3" t="b">
        <f t="shared" si="3"/>
        <v>0</v>
      </c>
      <c r="R135" s="3" t="b">
        <f t="shared" si="4"/>
        <v>0</v>
      </c>
      <c r="S135" s="3" t="b">
        <f t="shared" si="5"/>
        <v>0</v>
      </c>
      <c r="U135" s="3" t="s">
        <v>373</v>
      </c>
      <c r="V135" s="3" t="b">
        <v>1</v>
      </c>
      <c r="W135" s="3" t="b">
        <v>0</v>
      </c>
      <c r="X135" s="3" t="b">
        <v>0</v>
      </c>
      <c r="Y135" s="3" t="b">
        <v>1</v>
      </c>
      <c r="Z135" s="3" t="b">
        <v>0</v>
      </c>
      <c r="AA135" s="3"/>
      <c r="AB135" s="3"/>
      <c r="AC135" s="3"/>
      <c r="AD135" s="3"/>
      <c r="AE135" s="3"/>
      <c r="AF135" s="3" t="s">
        <v>372</v>
      </c>
      <c r="AG135" s="3" t="b">
        <v>1</v>
      </c>
      <c r="AH135" s="3" t="b">
        <v>1</v>
      </c>
      <c r="AI135" s="3" t="b">
        <v>1</v>
      </c>
      <c r="AJ135" s="3" t="b">
        <v>1</v>
      </c>
      <c r="AK135" s="3" t="b">
        <v>1</v>
      </c>
      <c r="AL135" s="3"/>
      <c r="AM135" s="3"/>
      <c r="AN135" s="3"/>
      <c r="AO135" s="3"/>
      <c r="AP135" s="3"/>
      <c r="AQ135" s="3" t="s">
        <v>326</v>
      </c>
      <c r="AR135" s="3" t="b">
        <v>1</v>
      </c>
      <c r="AS135" s="3" t="b">
        <v>0</v>
      </c>
      <c r="AT135" s="3" t="b">
        <v>0</v>
      </c>
      <c r="AU135" s="3" t="b">
        <v>1</v>
      </c>
      <c r="AV135" s="3" t="b">
        <v>0</v>
      </c>
      <c r="AW135" s="3" t="b">
        <f t="shared" si="6"/>
        <v>0</v>
      </c>
      <c r="AX135" s="3" t="b">
        <f t="shared" si="7"/>
        <v>0</v>
      </c>
      <c r="AY135" s="3" t="b">
        <f t="shared" si="8"/>
        <v>1</v>
      </c>
      <c r="AZ135" s="3" t="b">
        <f t="shared" si="9"/>
        <v>0</v>
      </c>
      <c r="BA135" s="3" t="b">
        <f t="shared" si="10"/>
        <v>0</v>
      </c>
      <c r="BB135" s="3" t="b">
        <f t="shared" si="11"/>
        <v>0</v>
      </c>
      <c r="BC135" s="3"/>
      <c r="BD135" s="3" t="s">
        <v>326</v>
      </c>
      <c r="BE135" s="3" t="b">
        <v>1</v>
      </c>
      <c r="BF135" s="3" t="b">
        <v>0</v>
      </c>
      <c r="BG135" s="3" t="b">
        <v>0</v>
      </c>
      <c r="BH135" s="3" t="b">
        <v>1</v>
      </c>
      <c r="BI135" s="3" t="b">
        <v>0</v>
      </c>
      <c r="BJ135" s="3"/>
      <c r="BK135" s="3"/>
      <c r="BL135" s="3"/>
      <c r="BM135" s="3"/>
      <c r="BN135" s="3"/>
      <c r="BO135" s="3" t="s">
        <v>374</v>
      </c>
      <c r="BP135" s="3" t="b">
        <v>1</v>
      </c>
      <c r="BQ135" s="3" t="b">
        <v>0</v>
      </c>
      <c r="BR135" s="3" t="b">
        <v>0</v>
      </c>
      <c r="BS135" s="3" t="b">
        <v>1</v>
      </c>
      <c r="BT135" s="3" t="b">
        <v>0</v>
      </c>
      <c r="BU135" s="3"/>
      <c r="BV135" s="3"/>
      <c r="BW135" s="3"/>
      <c r="BX135" s="3"/>
    </row>
    <row r="136" spans="1:76" x14ac:dyDescent="0.35">
      <c r="A136" s="3"/>
      <c r="B136" s="3"/>
      <c r="C136" s="3" t="s">
        <v>97</v>
      </c>
      <c r="D136" s="3"/>
      <c r="E136" s="3"/>
      <c r="F136" s="3"/>
      <c r="G136" s="3" t="s">
        <v>3622</v>
      </c>
      <c r="H136" s="3" t="s">
        <v>376</v>
      </c>
      <c r="I136" s="3" t="b">
        <v>1</v>
      </c>
      <c r="J136" s="3" t="b">
        <v>1</v>
      </c>
      <c r="K136" s="3" t="b">
        <v>1</v>
      </c>
      <c r="L136" s="3" t="b">
        <v>1</v>
      </c>
      <c r="M136" s="3" t="b">
        <v>1</v>
      </c>
      <c r="N136" s="3" t="b">
        <f t="shared" si="0"/>
        <v>1</v>
      </c>
      <c r="O136" s="3" t="b">
        <f t="shared" si="1"/>
        <v>0</v>
      </c>
      <c r="P136" s="3" t="b">
        <f t="shared" si="2"/>
        <v>0</v>
      </c>
      <c r="Q136" s="3" t="b">
        <f t="shared" si="3"/>
        <v>0</v>
      </c>
      <c r="R136" s="3" t="b">
        <f t="shared" si="4"/>
        <v>0</v>
      </c>
      <c r="S136" s="3" t="b">
        <f t="shared" si="5"/>
        <v>0</v>
      </c>
      <c r="U136" s="3" t="s">
        <v>376</v>
      </c>
      <c r="V136" s="3" t="b">
        <v>1</v>
      </c>
      <c r="W136" s="3" t="b">
        <v>1</v>
      </c>
      <c r="X136" s="3" t="b">
        <v>1</v>
      </c>
      <c r="Y136" s="3" t="b">
        <v>1</v>
      </c>
      <c r="Z136" s="3" t="b">
        <v>1</v>
      </c>
      <c r="AA136" s="3"/>
      <c r="AB136" s="3"/>
      <c r="AC136" s="3"/>
      <c r="AD136" s="3"/>
      <c r="AE136" s="3"/>
      <c r="AF136" s="3" t="s">
        <v>377</v>
      </c>
      <c r="AG136" s="3" t="b">
        <v>1</v>
      </c>
      <c r="AH136" s="3" t="b">
        <v>0</v>
      </c>
      <c r="AI136" s="3" t="b">
        <v>0</v>
      </c>
      <c r="AJ136" s="3" t="b">
        <v>1</v>
      </c>
      <c r="AK136" s="3" t="b">
        <v>0</v>
      </c>
      <c r="AL136" s="3"/>
      <c r="AM136" s="3"/>
      <c r="AN136" s="3"/>
      <c r="AO136" s="3"/>
      <c r="AP136" s="3"/>
      <c r="AQ136" s="3" t="s">
        <v>332</v>
      </c>
      <c r="AR136" s="3" t="b">
        <v>1</v>
      </c>
      <c r="AS136" s="3" t="b">
        <v>1</v>
      </c>
      <c r="AT136" s="3" t="b">
        <v>1</v>
      </c>
      <c r="AU136" s="3" t="b">
        <v>0</v>
      </c>
      <c r="AV136" s="3" t="b">
        <v>1</v>
      </c>
      <c r="AW136" s="3" t="b">
        <f t="shared" si="6"/>
        <v>0</v>
      </c>
      <c r="AX136" s="3" t="b">
        <f t="shared" si="7"/>
        <v>0</v>
      </c>
      <c r="AY136" s="3" t="b">
        <f t="shared" si="8"/>
        <v>0</v>
      </c>
      <c r="AZ136" s="3" t="b">
        <f t="shared" si="9"/>
        <v>1</v>
      </c>
      <c r="BA136" s="3" t="b">
        <f t="shared" si="10"/>
        <v>0</v>
      </c>
      <c r="BB136" s="3" t="b">
        <f t="shared" si="11"/>
        <v>0</v>
      </c>
      <c r="BC136" s="3"/>
      <c r="BD136" s="3" t="s">
        <v>332</v>
      </c>
      <c r="BE136" s="3" t="b">
        <v>1</v>
      </c>
      <c r="BF136" s="3" t="b">
        <v>1</v>
      </c>
      <c r="BG136" s="3" t="b">
        <v>1</v>
      </c>
      <c r="BH136" s="3" t="b">
        <v>0</v>
      </c>
      <c r="BI136" s="3" t="b">
        <v>1</v>
      </c>
      <c r="BJ136" s="3"/>
      <c r="BK136" s="3"/>
      <c r="BL136" s="3"/>
      <c r="BM136" s="3"/>
      <c r="BN136" s="3"/>
      <c r="BO136" s="3" t="s">
        <v>332</v>
      </c>
      <c r="BP136" s="3" t="b">
        <v>1</v>
      </c>
      <c r="BQ136" s="3" t="b">
        <v>1</v>
      </c>
      <c r="BR136" s="3" t="b">
        <v>1</v>
      </c>
      <c r="BS136" s="3" t="b">
        <v>0</v>
      </c>
      <c r="BT136" s="3" t="b">
        <v>1</v>
      </c>
      <c r="BU136" s="3"/>
      <c r="BV136" s="3"/>
      <c r="BW136" s="3"/>
      <c r="BX136" s="3"/>
    </row>
    <row r="137" spans="1:76" x14ac:dyDescent="0.35">
      <c r="A137" s="3"/>
      <c r="B137" s="3" t="s">
        <v>136</v>
      </c>
      <c r="C137" s="3"/>
      <c r="D137" s="3"/>
      <c r="E137" s="3"/>
      <c r="F137" s="3"/>
      <c r="G137" s="3"/>
      <c r="H137" s="3"/>
      <c r="I137" s="3"/>
      <c r="J137" s="3"/>
      <c r="K137" s="3"/>
      <c r="L137" s="3"/>
      <c r="M137" s="3"/>
      <c r="N137" s="3">
        <f t="shared" si="0"/>
        <v>0</v>
      </c>
      <c r="O137" s="3">
        <f t="shared" si="1"/>
        <v>0</v>
      </c>
      <c r="P137" s="3">
        <f t="shared" si="2"/>
        <v>0</v>
      </c>
      <c r="Q137" s="3">
        <f t="shared" si="3"/>
        <v>0</v>
      </c>
      <c r="R137" s="3">
        <f t="shared" si="4"/>
        <v>0</v>
      </c>
      <c r="S137" s="3">
        <f t="shared" si="5"/>
        <v>0</v>
      </c>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f t="shared" si="6"/>
        <v>0</v>
      </c>
      <c r="AX137" s="3">
        <f t="shared" si="7"/>
        <v>0</v>
      </c>
      <c r="AY137" s="3">
        <f t="shared" si="8"/>
        <v>0</v>
      </c>
      <c r="AZ137" s="3">
        <f t="shared" si="9"/>
        <v>0</v>
      </c>
      <c r="BA137" s="3">
        <f t="shared" si="10"/>
        <v>0</v>
      </c>
      <c r="BB137" s="3">
        <f t="shared" si="11"/>
        <v>0</v>
      </c>
      <c r="BC137" s="3"/>
      <c r="BD137" s="3"/>
      <c r="BE137" s="3"/>
      <c r="BF137" s="3"/>
      <c r="BG137" s="3"/>
      <c r="BH137" s="3"/>
      <c r="BI137" s="3"/>
      <c r="BJ137" s="3"/>
      <c r="BK137" s="3"/>
      <c r="BL137" s="3"/>
      <c r="BM137" s="3"/>
      <c r="BN137" s="3"/>
      <c r="BO137" s="3"/>
      <c r="BP137" s="3"/>
      <c r="BQ137" s="3"/>
      <c r="BR137" s="3"/>
      <c r="BS137" s="3"/>
      <c r="BT137" s="3"/>
      <c r="BU137" s="3"/>
      <c r="BV137" s="3"/>
      <c r="BW137" s="3"/>
      <c r="BX137" s="3"/>
    </row>
    <row r="138" spans="1:76" x14ac:dyDescent="0.35">
      <c r="A138" s="3"/>
      <c r="B138" s="5" t="s">
        <v>137</v>
      </c>
      <c r="C138" s="5" t="s">
        <v>131</v>
      </c>
      <c r="D138" s="3"/>
      <c r="E138" s="3"/>
      <c r="F138" s="3"/>
      <c r="G138" s="3"/>
      <c r="H138" s="3"/>
      <c r="I138" s="3"/>
      <c r="J138" s="3"/>
      <c r="K138" s="3"/>
      <c r="L138" s="3"/>
      <c r="M138" s="3"/>
      <c r="N138" s="3">
        <f t="shared" si="0"/>
        <v>0</v>
      </c>
      <c r="O138" s="3">
        <f t="shared" si="1"/>
        <v>0</v>
      </c>
      <c r="P138" s="3">
        <f t="shared" si="2"/>
        <v>0</v>
      </c>
      <c r="Q138" s="3">
        <f t="shared" si="3"/>
        <v>0</v>
      </c>
      <c r="R138" s="3">
        <f t="shared" si="4"/>
        <v>0</v>
      </c>
      <c r="S138" s="3">
        <f t="shared" si="5"/>
        <v>0</v>
      </c>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f t="shared" si="6"/>
        <v>0</v>
      </c>
      <c r="AX138" s="3">
        <f t="shared" si="7"/>
        <v>0</v>
      </c>
      <c r="AY138" s="3">
        <f t="shared" si="8"/>
        <v>0</v>
      </c>
      <c r="AZ138" s="3">
        <f t="shared" si="9"/>
        <v>0</v>
      </c>
      <c r="BA138" s="3">
        <f t="shared" si="10"/>
        <v>0</v>
      </c>
      <c r="BB138" s="3">
        <f t="shared" si="11"/>
        <v>0</v>
      </c>
      <c r="BC138" s="3"/>
      <c r="BD138" s="3"/>
      <c r="BE138" s="3"/>
      <c r="BF138" s="3"/>
      <c r="BG138" s="3"/>
      <c r="BH138" s="3"/>
      <c r="BI138" s="3"/>
      <c r="BJ138" s="3"/>
      <c r="BK138" s="3"/>
      <c r="BL138" s="3"/>
      <c r="BM138" s="3"/>
      <c r="BN138" s="3"/>
      <c r="BO138" s="3"/>
      <c r="BP138" s="3"/>
      <c r="BQ138" s="3"/>
      <c r="BR138" s="3"/>
      <c r="BS138" s="3"/>
      <c r="BT138" s="3"/>
      <c r="BU138" s="3"/>
      <c r="BV138" s="3"/>
      <c r="BW138" s="3"/>
      <c r="BX138" s="3"/>
    </row>
    <row r="139" spans="1:76" x14ac:dyDescent="0.35">
      <c r="A139" s="3"/>
      <c r="B139" s="3" t="s">
        <v>378</v>
      </c>
      <c r="C139" s="3"/>
      <c r="D139" s="3"/>
      <c r="E139" s="3"/>
      <c r="F139" s="3"/>
      <c r="G139" s="3"/>
      <c r="H139" s="3"/>
      <c r="I139" s="3"/>
      <c r="J139" s="3"/>
      <c r="K139" s="3"/>
      <c r="L139" s="3"/>
      <c r="M139" s="3"/>
      <c r="N139" s="3">
        <f t="shared" si="0"/>
        <v>0</v>
      </c>
      <c r="O139" s="3">
        <f t="shared" si="1"/>
        <v>0</v>
      </c>
      <c r="P139" s="3">
        <f t="shared" si="2"/>
        <v>0</v>
      </c>
      <c r="Q139" s="3">
        <f t="shared" si="3"/>
        <v>0</v>
      </c>
      <c r="R139" s="3">
        <f t="shared" si="4"/>
        <v>0</v>
      </c>
      <c r="S139" s="3">
        <f t="shared" si="5"/>
        <v>0</v>
      </c>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f t="shared" si="6"/>
        <v>0</v>
      </c>
      <c r="AX139" s="3">
        <f t="shared" si="7"/>
        <v>0</v>
      </c>
      <c r="AY139" s="3">
        <f t="shared" si="8"/>
        <v>0</v>
      </c>
      <c r="AZ139" s="3">
        <f t="shared" si="9"/>
        <v>0</v>
      </c>
      <c r="BA139" s="3">
        <f t="shared" si="10"/>
        <v>0</v>
      </c>
      <c r="BB139" s="3">
        <f t="shared" si="11"/>
        <v>0</v>
      </c>
      <c r="BC139" s="3"/>
      <c r="BD139" s="3"/>
      <c r="BE139" s="3"/>
      <c r="BF139" s="3"/>
      <c r="BG139" s="3"/>
      <c r="BH139" s="3"/>
      <c r="BI139" s="3"/>
      <c r="BJ139" s="3"/>
      <c r="BK139" s="3"/>
      <c r="BL139" s="3"/>
      <c r="BM139" s="3"/>
      <c r="BN139" s="3"/>
      <c r="BO139" s="3"/>
      <c r="BP139" s="3"/>
      <c r="BQ139" s="3"/>
      <c r="BR139" s="3"/>
      <c r="BS139" s="3"/>
      <c r="BT139" s="3"/>
      <c r="BU139" s="3"/>
      <c r="BV139" s="3"/>
      <c r="BW139" s="3"/>
      <c r="BX139" s="3"/>
    </row>
    <row r="140" spans="1:76" x14ac:dyDescent="0.35">
      <c r="A140" s="3"/>
      <c r="B140" s="3" t="s">
        <v>138</v>
      </c>
      <c r="C140" s="3"/>
      <c r="D140" s="3"/>
      <c r="E140" s="3"/>
      <c r="F140" s="3"/>
      <c r="G140" s="3"/>
      <c r="H140" s="3"/>
      <c r="I140" s="3"/>
      <c r="J140" s="3"/>
      <c r="K140" s="3"/>
      <c r="L140" s="3"/>
      <c r="M140" s="3"/>
      <c r="N140" s="3">
        <f t="shared" si="0"/>
        <v>0</v>
      </c>
      <c r="O140" s="3">
        <f t="shared" si="1"/>
        <v>0</v>
      </c>
      <c r="P140" s="3">
        <f t="shared" si="2"/>
        <v>0</v>
      </c>
      <c r="Q140" s="3">
        <f t="shared" si="3"/>
        <v>0</v>
      </c>
      <c r="R140" s="3">
        <f t="shared" si="4"/>
        <v>0</v>
      </c>
      <c r="S140" s="3">
        <f t="shared" si="5"/>
        <v>0</v>
      </c>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f t="shared" si="6"/>
        <v>0</v>
      </c>
      <c r="AX140" s="3">
        <f t="shared" si="7"/>
        <v>0</v>
      </c>
      <c r="AY140" s="3">
        <f t="shared" si="8"/>
        <v>0</v>
      </c>
      <c r="AZ140" s="3">
        <f t="shared" si="9"/>
        <v>0</v>
      </c>
      <c r="BA140" s="3">
        <f t="shared" si="10"/>
        <v>0</v>
      </c>
      <c r="BB140" s="3">
        <f t="shared" si="11"/>
        <v>0</v>
      </c>
      <c r="BC140" s="3"/>
      <c r="BD140" s="3"/>
      <c r="BE140" s="3"/>
      <c r="BF140" s="3"/>
      <c r="BG140" s="3"/>
      <c r="BH140" s="3"/>
      <c r="BI140" s="3"/>
      <c r="BJ140" s="3"/>
      <c r="BK140" s="3"/>
      <c r="BL140" s="3"/>
      <c r="BM140" s="3"/>
      <c r="BN140" s="3"/>
      <c r="BO140" s="3"/>
      <c r="BP140" s="3"/>
      <c r="BQ140" s="3"/>
      <c r="BR140" s="3"/>
      <c r="BS140" s="3"/>
      <c r="BT140" s="3"/>
      <c r="BU140" s="3"/>
      <c r="BV140" s="3"/>
      <c r="BW140" s="3"/>
      <c r="BX140" s="3"/>
    </row>
    <row r="141" spans="1:76" x14ac:dyDescent="0.35">
      <c r="A141" s="3"/>
      <c r="B141" s="3" t="s">
        <v>379</v>
      </c>
      <c r="C141" s="3"/>
      <c r="D141" s="3"/>
      <c r="E141" s="3"/>
      <c r="F141" s="3"/>
      <c r="G141" s="3"/>
      <c r="H141" s="3"/>
      <c r="I141" s="3"/>
      <c r="J141" s="3"/>
      <c r="K141" s="3"/>
      <c r="L141" s="3"/>
      <c r="M141" s="3"/>
      <c r="N141" s="3">
        <f t="shared" si="0"/>
        <v>0</v>
      </c>
      <c r="O141" s="3">
        <f t="shared" si="1"/>
        <v>0</v>
      </c>
      <c r="P141" s="3">
        <f t="shared" si="2"/>
        <v>0</v>
      </c>
      <c r="Q141" s="3">
        <f t="shared" si="3"/>
        <v>0</v>
      </c>
      <c r="R141" s="3">
        <f t="shared" si="4"/>
        <v>0</v>
      </c>
      <c r="S141" s="3">
        <f t="shared" si="5"/>
        <v>0</v>
      </c>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f t="shared" si="6"/>
        <v>0</v>
      </c>
      <c r="AX141" s="3">
        <f t="shared" si="7"/>
        <v>0</v>
      </c>
      <c r="AY141" s="3">
        <f t="shared" si="8"/>
        <v>0</v>
      </c>
      <c r="AZ141" s="3">
        <f t="shared" si="9"/>
        <v>0</v>
      </c>
      <c r="BA141" s="3">
        <f t="shared" si="10"/>
        <v>0</v>
      </c>
      <c r="BB141" s="3">
        <f t="shared" si="11"/>
        <v>0</v>
      </c>
      <c r="BC141" s="3"/>
      <c r="BD141" s="3"/>
      <c r="BE141" s="3"/>
      <c r="BF141" s="3"/>
      <c r="BG141" s="3"/>
      <c r="BH141" s="3"/>
      <c r="BI141" s="3"/>
      <c r="BJ141" s="3"/>
      <c r="BK141" s="3"/>
      <c r="BL141" s="3"/>
      <c r="BM141" s="3"/>
      <c r="BN141" s="3"/>
      <c r="BO141" s="3"/>
      <c r="BP141" s="3"/>
      <c r="BQ141" s="3"/>
      <c r="BR141" s="3"/>
      <c r="BS141" s="3"/>
      <c r="BT141" s="3"/>
      <c r="BU141" s="3"/>
      <c r="BV141" s="3"/>
      <c r="BW141" s="3"/>
      <c r="BX141" s="3"/>
    </row>
    <row r="142" spans="1:76" x14ac:dyDescent="0.35">
      <c r="A142" s="3"/>
      <c r="B142" s="5" t="s">
        <v>139</v>
      </c>
      <c r="C142" s="5" t="s">
        <v>131</v>
      </c>
      <c r="D142" s="5"/>
      <c r="E142" s="3"/>
      <c r="F142" s="3"/>
      <c r="G142" s="3"/>
      <c r="H142" s="3"/>
      <c r="I142" s="3"/>
      <c r="J142" s="3"/>
      <c r="K142" s="3"/>
      <c r="L142" s="3"/>
      <c r="M142" s="3"/>
      <c r="N142" s="3">
        <f t="shared" si="0"/>
        <v>0</v>
      </c>
      <c r="O142" s="3">
        <f t="shared" si="1"/>
        <v>0</v>
      </c>
      <c r="P142" s="3">
        <f t="shared" si="2"/>
        <v>0</v>
      </c>
      <c r="Q142" s="3">
        <f t="shared" si="3"/>
        <v>0</v>
      </c>
      <c r="R142" s="3">
        <f t="shared" si="4"/>
        <v>0</v>
      </c>
      <c r="S142" s="3">
        <f t="shared" si="5"/>
        <v>0</v>
      </c>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f t="shared" si="6"/>
        <v>0</v>
      </c>
      <c r="AX142" s="3">
        <f t="shared" si="7"/>
        <v>0</v>
      </c>
      <c r="AY142" s="3">
        <f t="shared" si="8"/>
        <v>0</v>
      </c>
      <c r="AZ142" s="3">
        <f t="shared" si="9"/>
        <v>0</v>
      </c>
      <c r="BA142" s="3">
        <f t="shared" si="10"/>
        <v>0</v>
      </c>
      <c r="BB142" s="3">
        <f t="shared" si="11"/>
        <v>0</v>
      </c>
      <c r="BC142" s="3"/>
      <c r="BD142" s="3"/>
      <c r="BE142" s="3"/>
      <c r="BF142" s="3"/>
      <c r="BG142" s="3"/>
      <c r="BH142" s="3"/>
      <c r="BI142" s="3"/>
      <c r="BJ142" s="3"/>
      <c r="BK142" s="3"/>
      <c r="BL142" s="3"/>
      <c r="BM142" s="3"/>
      <c r="BN142" s="3"/>
      <c r="BO142" s="3"/>
      <c r="BP142" s="3"/>
      <c r="BQ142" s="3"/>
      <c r="BR142" s="3"/>
      <c r="BS142" s="3"/>
      <c r="BT142" s="3"/>
      <c r="BU142" s="3"/>
      <c r="BV142" s="3"/>
      <c r="BW142" s="3"/>
      <c r="BX142" s="3"/>
    </row>
    <row r="143" spans="1:76" x14ac:dyDescent="0.35">
      <c r="A143" s="3"/>
      <c r="B143" s="5" t="s">
        <v>140</v>
      </c>
      <c r="C143" s="5" t="s">
        <v>131</v>
      </c>
      <c r="D143" s="5" t="s">
        <v>76</v>
      </c>
      <c r="E143" s="5" t="s">
        <v>77</v>
      </c>
      <c r="F143" s="3"/>
      <c r="G143" s="3"/>
      <c r="H143" s="3"/>
      <c r="I143" s="3"/>
      <c r="J143" s="3"/>
      <c r="K143" s="3"/>
      <c r="L143" s="3"/>
      <c r="M143" s="3"/>
      <c r="N143" s="3">
        <f t="shared" si="0"/>
        <v>0</v>
      </c>
      <c r="O143" s="3">
        <f t="shared" si="1"/>
        <v>0</v>
      </c>
      <c r="P143" s="3">
        <f t="shared" si="2"/>
        <v>0</v>
      </c>
      <c r="Q143" s="3">
        <f t="shared" si="3"/>
        <v>0</v>
      </c>
      <c r="R143" s="3">
        <f t="shared" si="4"/>
        <v>0</v>
      </c>
      <c r="S143" s="3">
        <f t="shared" si="5"/>
        <v>0</v>
      </c>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f t="shared" si="6"/>
        <v>0</v>
      </c>
      <c r="AX143" s="3">
        <f t="shared" si="7"/>
        <v>0</v>
      </c>
      <c r="AY143" s="3">
        <f t="shared" si="8"/>
        <v>0</v>
      </c>
      <c r="AZ143" s="3">
        <f t="shared" si="9"/>
        <v>0</v>
      </c>
      <c r="BA143" s="3">
        <f t="shared" si="10"/>
        <v>0</v>
      </c>
      <c r="BB143" s="3">
        <f t="shared" si="11"/>
        <v>0</v>
      </c>
      <c r="BC143" s="3"/>
      <c r="BD143" s="3"/>
      <c r="BE143" s="3"/>
      <c r="BF143" s="3"/>
      <c r="BG143" s="3"/>
      <c r="BH143" s="3"/>
      <c r="BI143" s="3"/>
      <c r="BJ143" s="3"/>
      <c r="BK143" s="3"/>
      <c r="BL143" s="3"/>
      <c r="BM143" s="3"/>
      <c r="BN143" s="3"/>
      <c r="BO143" s="3"/>
      <c r="BP143" s="3"/>
      <c r="BQ143" s="3"/>
      <c r="BR143" s="3"/>
      <c r="BS143" s="3"/>
      <c r="BT143" s="3"/>
      <c r="BU143" s="3"/>
      <c r="BV143" s="3"/>
      <c r="BW143" s="3"/>
      <c r="BX143" s="3"/>
    </row>
    <row r="144" spans="1:76" x14ac:dyDescent="0.35">
      <c r="A144" s="3"/>
      <c r="B144" s="3" t="s">
        <v>141</v>
      </c>
      <c r="C144" s="3" t="s">
        <v>142</v>
      </c>
      <c r="D144" s="3" t="s">
        <v>380</v>
      </c>
      <c r="E144" s="3" t="s">
        <v>144</v>
      </c>
      <c r="F144" s="3"/>
      <c r="G144" s="3" t="s">
        <v>3623</v>
      </c>
      <c r="H144" s="3" t="s">
        <v>382</v>
      </c>
      <c r="I144" s="3" t="b">
        <v>1</v>
      </c>
      <c r="J144" s="3" t="b">
        <v>1</v>
      </c>
      <c r="K144" s="3" t="b">
        <v>1</v>
      </c>
      <c r="L144" s="3" t="b">
        <v>1</v>
      </c>
      <c r="M144" s="3" t="b">
        <v>1</v>
      </c>
      <c r="N144" s="3" t="b">
        <f t="shared" si="0"/>
        <v>1</v>
      </c>
      <c r="O144" s="3" t="b">
        <f t="shared" si="1"/>
        <v>0</v>
      </c>
      <c r="P144" s="3" t="b">
        <f t="shared" si="2"/>
        <v>0</v>
      </c>
      <c r="Q144" s="3" t="b">
        <f t="shared" si="3"/>
        <v>0</v>
      </c>
      <c r="R144" s="3" t="b">
        <f t="shared" si="4"/>
        <v>0</v>
      </c>
      <c r="S144" s="3" t="b">
        <f t="shared" si="5"/>
        <v>0</v>
      </c>
      <c r="U144" s="3" t="s">
        <v>146</v>
      </c>
      <c r="V144" s="3" t="b">
        <v>1</v>
      </c>
      <c r="W144" s="3" t="b">
        <v>1</v>
      </c>
      <c r="X144" s="3" t="b">
        <v>1</v>
      </c>
      <c r="Y144" s="3" t="b">
        <v>1</v>
      </c>
      <c r="Z144" s="3" t="b">
        <v>1</v>
      </c>
      <c r="AA144" s="3"/>
      <c r="AB144" s="3"/>
      <c r="AC144" s="3"/>
      <c r="AD144" s="3"/>
      <c r="AE144" s="3"/>
      <c r="AF144" s="3" t="s">
        <v>383</v>
      </c>
      <c r="AG144" s="3" t="b">
        <v>1</v>
      </c>
      <c r="AH144" s="3" t="b">
        <v>1</v>
      </c>
      <c r="AI144" s="3" t="b">
        <v>1</v>
      </c>
      <c r="AJ144" s="3" t="b">
        <v>1</v>
      </c>
      <c r="AK144" s="3" t="b">
        <v>1</v>
      </c>
      <c r="AL144" s="3"/>
      <c r="AM144" s="3"/>
      <c r="AN144" s="3"/>
      <c r="AO144" s="3"/>
      <c r="AP144" s="3"/>
      <c r="AQ144" s="3" t="s">
        <v>147</v>
      </c>
      <c r="AR144" s="3" t="b">
        <v>1</v>
      </c>
      <c r="AS144" s="3" t="b">
        <v>1</v>
      </c>
      <c r="AT144" s="3" t="b">
        <v>1</v>
      </c>
      <c r="AU144" s="3" t="b">
        <v>1</v>
      </c>
      <c r="AV144" s="3" t="b">
        <v>1</v>
      </c>
      <c r="AW144" s="3" t="b">
        <f t="shared" si="6"/>
        <v>1</v>
      </c>
      <c r="AX144" s="3" t="b">
        <f t="shared" si="7"/>
        <v>0</v>
      </c>
      <c r="AY144" s="3" t="b">
        <f t="shared" si="8"/>
        <v>0</v>
      </c>
      <c r="AZ144" s="3" t="b">
        <f t="shared" si="9"/>
        <v>0</v>
      </c>
      <c r="BA144" s="3" t="b">
        <f t="shared" si="10"/>
        <v>0</v>
      </c>
      <c r="BB144" s="3" t="b">
        <f t="shared" si="11"/>
        <v>0</v>
      </c>
      <c r="BC144" s="3"/>
      <c r="BD144" s="3" t="s">
        <v>147</v>
      </c>
      <c r="BE144" s="3" t="b">
        <v>1</v>
      </c>
      <c r="BF144" s="3" t="b">
        <v>1</v>
      </c>
      <c r="BG144" s="3" t="b">
        <v>1</v>
      </c>
      <c r="BH144" s="3" t="b">
        <v>1</v>
      </c>
      <c r="BI144" s="3" t="b">
        <v>1</v>
      </c>
      <c r="BJ144" s="3"/>
      <c r="BK144" s="3"/>
      <c r="BL144" s="3"/>
      <c r="BM144" s="3"/>
      <c r="BN144" s="3"/>
      <c r="BO144" s="3" t="s">
        <v>147</v>
      </c>
      <c r="BP144" s="3" t="b">
        <v>1</v>
      </c>
      <c r="BQ144" s="3" t="b">
        <v>1</v>
      </c>
      <c r="BR144" s="3" t="b">
        <v>1</v>
      </c>
      <c r="BS144" s="3" t="b">
        <v>1</v>
      </c>
      <c r="BT144" s="3" t="b">
        <v>1</v>
      </c>
      <c r="BU144" s="3"/>
      <c r="BV144" s="3"/>
      <c r="BW144" s="3"/>
      <c r="BX144" s="3"/>
    </row>
    <row r="145" spans="1:76" x14ac:dyDescent="0.35">
      <c r="A145" s="3"/>
      <c r="B145" s="3"/>
      <c r="C145" s="3" t="s">
        <v>148</v>
      </c>
      <c r="D145" s="3"/>
      <c r="E145" s="3"/>
      <c r="F145" s="3"/>
      <c r="G145" s="3" t="s">
        <v>3624</v>
      </c>
      <c r="H145" s="3" t="s">
        <v>385</v>
      </c>
      <c r="I145" s="3" t="b">
        <v>1</v>
      </c>
      <c r="J145" s="3" t="b">
        <v>1</v>
      </c>
      <c r="K145" s="3" t="b">
        <v>1</v>
      </c>
      <c r="L145" s="3" t="b">
        <v>1</v>
      </c>
      <c r="M145" s="3" t="b">
        <v>1</v>
      </c>
      <c r="N145" s="3" t="b">
        <f t="shared" si="0"/>
        <v>1</v>
      </c>
      <c r="O145" s="3" t="b">
        <f t="shared" si="1"/>
        <v>0</v>
      </c>
      <c r="P145" s="3" t="b">
        <f t="shared" si="2"/>
        <v>0</v>
      </c>
      <c r="Q145" s="3" t="b">
        <f t="shared" si="3"/>
        <v>0</v>
      </c>
      <c r="R145" s="3" t="b">
        <f t="shared" si="4"/>
        <v>0</v>
      </c>
      <c r="S145" s="3" t="b">
        <f t="shared" si="5"/>
        <v>0</v>
      </c>
      <c r="U145" s="3" t="s">
        <v>386</v>
      </c>
      <c r="V145" s="3" t="b">
        <v>1</v>
      </c>
      <c r="W145" s="3" t="b">
        <v>1</v>
      </c>
      <c r="X145" s="3" t="b">
        <v>1</v>
      </c>
      <c r="Y145" s="3" t="b">
        <v>1</v>
      </c>
      <c r="Z145" s="3" t="b">
        <v>1</v>
      </c>
      <c r="AA145" s="3"/>
      <c r="AB145" s="3"/>
      <c r="AC145" s="3"/>
      <c r="AD145" s="3"/>
      <c r="AE145" s="3"/>
      <c r="AF145" s="3" t="s">
        <v>387</v>
      </c>
      <c r="AG145" s="3" t="b">
        <v>1</v>
      </c>
      <c r="AH145" s="3" t="b">
        <v>0</v>
      </c>
      <c r="AI145" s="3" t="b">
        <v>0</v>
      </c>
      <c r="AJ145" s="3" t="b">
        <v>1</v>
      </c>
      <c r="AK145" s="3" t="b">
        <v>0</v>
      </c>
      <c r="AL145" s="3"/>
      <c r="AM145" s="3"/>
      <c r="AN145" s="3"/>
      <c r="AO145" s="3"/>
      <c r="AP145" s="3"/>
      <c r="AQ145" s="3" t="s">
        <v>388</v>
      </c>
      <c r="AR145" s="3" t="b">
        <v>1</v>
      </c>
      <c r="AS145" s="3" t="b">
        <v>1</v>
      </c>
      <c r="AT145" s="3" t="b">
        <v>1</v>
      </c>
      <c r="AU145" s="3" t="b">
        <v>1</v>
      </c>
      <c r="AV145" s="3" t="b">
        <v>1</v>
      </c>
      <c r="AW145" s="3" t="b">
        <f t="shared" si="6"/>
        <v>1</v>
      </c>
      <c r="AX145" s="3" t="b">
        <f t="shared" si="7"/>
        <v>0</v>
      </c>
      <c r="AY145" s="3" t="b">
        <f t="shared" si="8"/>
        <v>0</v>
      </c>
      <c r="AZ145" s="3" t="b">
        <f t="shared" si="9"/>
        <v>0</v>
      </c>
      <c r="BA145" s="3" t="b">
        <f t="shared" si="10"/>
        <v>0</v>
      </c>
      <c r="BB145" s="3" t="b">
        <f t="shared" si="11"/>
        <v>0</v>
      </c>
      <c r="BC145" s="3"/>
      <c r="BD145" s="3" t="s">
        <v>389</v>
      </c>
      <c r="BE145" s="3" t="b">
        <v>1</v>
      </c>
      <c r="BF145" s="3" t="b">
        <v>1</v>
      </c>
      <c r="BG145" s="3" t="b">
        <v>1</v>
      </c>
      <c r="BH145" s="3" t="b">
        <v>1</v>
      </c>
      <c r="BI145" s="3" t="b">
        <v>1</v>
      </c>
      <c r="BJ145" s="3"/>
      <c r="BK145" s="3"/>
      <c r="BL145" s="3"/>
      <c r="BM145" s="3"/>
      <c r="BN145" s="3"/>
      <c r="BO145" s="3" t="s">
        <v>390</v>
      </c>
      <c r="BP145" s="3" t="b">
        <v>1</v>
      </c>
      <c r="BQ145" s="3" t="b">
        <v>1</v>
      </c>
      <c r="BR145" s="3" t="b">
        <v>1</v>
      </c>
      <c r="BS145" s="3" t="b">
        <v>1</v>
      </c>
      <c r="BT145" s="3" t="b">
        <v>1</v>
      </c>
      <c r="BU145" s="3"/>
      <c r="BV145" s="3"/>
      <c r="BW145" s="3"/>
      <c r="BX145" s="3"/>
    </row>
    <row r="146" spans="1:76" x14ac:dyDescent="0.35">
      <c r="A146" s="3"/>
      <c r="B146" s="3"/>
      <c r="C146" s="3" t="s">
        <v>155</v>
      </c>
      <c r="D146" s="3"/>
      <c r="E146" s="3"/>
      <c r="F146" s="3"/>
      <c r="G146" s="3" t="s">
        <v>3625</v>
      </c>
      <c r="H146" s="3" t="s">
        <v>392</v>
      </c>
      <c r="I146" s="3" t="b">
        <v>1</v>
      </c>
      <c r="J146" s="3" t="b">
        <v>1</v>
      </c>
      <c r="K146" s="3" t="b">
        <v>0</v>
      </c>
      <c r="L146" s="3" t="b">
        <v>1</v>
      </c>
      <c r="M146" s="3" t="b">
        <v>0</v>
      </c>
      <c r="N146" s="3" t="b">
        <f t="shared" si="0"/>
        <v>0</v>
      </c>
      <c r="O146" s="3" t="b">
        <f t="shared" si="1"/>
        <v>0</v>
      </c>
      <c r="P146" s="3" t="b">
        <f t="shared" si="2"/>
        <v>1</v>
      </c>
      <c r="Q146" s="3" t="b">
        <f t="shared" si="3"/>
        <v>0</v>
      </c>
      <c r="R146" s="3" t="b">
        <f t="shared" si="4"/>
        <v>0</v>
      </c>
      <c r="S146" s="3" t="b">
        <f t="shared" si="5"/>
        <v>0</v>
      </c>
      <c r="U146" s="3" t="s">
        <v>393</v>
      </c>
      <c r="V146" s="3" t="b">
        <v>1</v>
      </c>
      <c r="W146" s="3" t="b">
        <v>1</v>
      </c>
      <c r="X146" s="3" t="b">
        <v>0</v>
      </c>
      <c r="Y146" s="3" t="b">
        <v>1</v>
      </c>
      <c r="Z146" s="3" t="b">
        <v>0</v>
      </c>
      <c r="AA146" s="3"/>
      <c r="AB146" s="3"/>
      <c r="AC146" s="3"/>
      <c r="AD146" s="3"/>
      <c r="AE146" s="3"/>
      <c r="AF146" s="3" t="s">
        <v>394</v>
      </c>
      <c r="AG146" s="3" t="b">
        <v>1</v>
      </c>
      <c r="AH146" s="3" t="b">
        <v>1</v>
      </c>
      <c r="AI146" s="3" t="b">
        <v>0</v>
      </c>
      <c r="AJ146" s="3" t="b">
        <v>1</v>
      </c>
      <c r="AK146" s="3" t="b">
        <v>0</v>
      </c>
      <c r="AL146" s="3"/>
      <c r="AM146" s="3"/>
      <c r="AN146" s="3"/>
      <c r="AO146" s="3"/>
      <c r="AP146" s="3"/>
      <c r="AQ146" s="3" t="s">
        <v>395</v>
      </c>
      <c r="AR146" s="3" t="b">
        <v>1</v>
      </c>
      <c r="AS146" s="3" t="b">
        <v>1</v>
      </c>
      <c r="AT146" s="3" t="b">
        <v>0</v>
      </c>
      <c r="AU146" s="3" t="b">
        <v>0</v>
      </c>
      <c r="AV146" s="3" t="b">
        <v>0</v>
      </c>
      <c r="AW146" s="3" t="b">
        <f t="shared" si="6"/>
        <v>0</v>
      </c>
      <c r="AX146" s="3" t="b">
        <f t="shared" si="7"/>
        <v>0</v>
      </c>
      <c r="AY146" s="3" t="b">
        <f t="shared" si="8"/>
        <v>1</v>
      </c>
      <c r="AZ146" s="3" t="b">
        <f t="shared" si="9"/>
        <v>0</v>
      </c>
      <c r="BA146" s="3" t="b">
        <f t="shared" si="10"/>
        <v>0</v>
      </c>
      <c r="BB146" s="3" t="b">
        <f t="shared" si="11"/>
        <v>0</v>
      </c>
      <c r="BC146" s="3"/>
      <c r="BD146" s="3" t="s">
        <v>396</v>
      </c>
      <c r="BE146" s="3" t="b">
        <v>1</v>
      </c>
      <c r="BF146" s="3" t="b">
        <v>1</v>
      </c>
      <c r="BG146" s="3" t="b">
        <v>0</v>
      </c>
      <c r="BH146" s="3" t="b">
        <v>0</v>
      </c>
      <c r="BI146" s="3" t="b">
        <v>0</v>
      </c>
      <c r="BJ146" s="3"/>
      <c r="BK146" s="3"/>
      <c r="BL146" s="3"/>
      <c r="BM146" s="3"/>
      <c r="BN146" s="3"/>
      <c r="BO146" s="3" t="s">
        <v>397</v>
      </c>
      <c r="BP146" s="3" t="b">
        <v>1</v>
      </c>
      <c r="BQ146" s="3" t="b">
        <v>1</v>
      </c>
      <c r="BR146" s="3" t="b">
        <v>0</v>
      </c>
      <c r="BS146" s="3" t="b">
        <v>0</v>
      </c>
      <c r="BT146" s="3" t="b">
        <v>0</v>
      </c>
      <c r="BU146" s="3"/>
      <c r="BV146" s="3"/>
      <c r="BW146" s="3"/>
      <c r="BX146" s="3"/>
    </row>
    <row r="147" spans="1:76" x14ac:dyDescent="0.35">
      <c r="A147" s="3"/>
      <c r="B147" s="3" t="s">
        <v>162</v>
      </c>
      <c r="C147" s="3" t="s">
        <v>163</v>
      </c>
      <c r="D147" s="3"/>
      <c r="E147" s="3"/>
      <c r="F147" s="3"/>
      <c r="G147" s="3" t="s">
        <v>3626</v>
      </c>
      <c r="H147" s="3" t="s">
        <v>165</v>
      </c>
      <c r="I147" s="3" t="b">
        <v>1</v>
      </c>
      <c r="J147" s="3" t="b">
        <v>1</v>
      </c>
      <c r="K147" s="3" t="b">
        <v>1</v>
      </c>
      <c r="L147" s="3" t="b">
        <v>1</v>
      </c>
      <c r="M147" s="3" t="b">
        <v>1</v>
      </c>
      <c r="N147" s="3" t="b">
        <f t="shared" si="0"/>
        <v>1</v>
      </c>
      <c r="O147" s="3" t="b">
        <f t="shared" si="1"/>
        <v>0</v>
      </c>
      <c r="P147" s="3" t="b">
        <f t="shared" si="2"/>
        <v>0</v>
      </c>
      <c r="Q147" s="3" t="b">
        <f t="shared" si="3"/>
        <v>0</v>
      </c>
      <c r="R147" s="3" t="b">
        <f t="shared" si="4"/>
        <v>0</v>
      </c>
      <c r="S147" s="3" t="b">
        <f t="shared" si="5"/>
        <v>0</v>
      </c>
      <c r="U147" s="3" t="s">
        <v>165</v>
      </c>
      <c r="V147" s="3" t="b">
        <v>1</v>
      </c>
      <c r="W147" s="3" t="b">
        <v>1</v>
      </c>
      <c r="X147" s="3" t="b">
        <v>1</v>
      </c>
      <c r="Y147" s="3" t="b">
        <v>1</v>
      </c>
      <c r="Z147" s="3" t="b">
        <v>1</v>
      </c>
      <c r="AA147" s="3"/>
      <c r="AB147" s="3"/>
      <c r="AC147" s="3"/>
      <c r="AD147" s="3"/>
      <c r="AE147" s="3"/>
      <c r="AF147" s="3" t="s">
        <v>273</v>
      </c>
      <c r="AG147" s="3" t="b">
        <v>1</v>
      </c>
      <c r="AH147" s="3" t="b">
        <v>1</v>
      </c>
      <c r="AI147" s="3" t="b">
        <v>1</v>
      </c>
      <c r="AJ147" s="3" t="b">
        <v>1</v>
      </c>
      <c r="AK147" s="3" t="b">
        <v>1</v>
      </c>
      <c r="AL147" s="3"/>
      <c r="AM147" s="3"/>
      <c r="AN147" s="3"/>
      <c r="AO147" s="3"/>
      <c r="AP147" s="3"/>
      <c r="AQ147" s="3" t="s">
        <v>399</v>
      </c>
      <c r="AR147" s="3" t="b">
        <v>1</v>
      </c>
      <c r="AS147" s="3" t="b">
        <v>1</v>
      </c>
      <c r="AT147" s="3" t="b">
        <v>0</v>
      </c>
      <c r="AU147" s="3" t="b">
        <v>1</v>
      </c>
      <c r="AV147" s="3" t="b">
        <v>1</v>
      </c>
      <c r="AW147" s="3" t="b">
        <f t="shared" si="6"/>
        <v>0</v>
      </c>
      <c r="AX147" s="3" t="b">
        <f t="shared" si="7"/>
        <v>0</v>
      </c>
      <c r="AY147" s="3" t="b">
        <f t="shared" si="8"/>
        <v>0</v>
      </c>
      <c r="AZ147" s="3" t="b">
        <f t="shared" si="9"/>
        <v>1</v>
      </c>
      <c r="BA147" s="3" t="b">
        <f t="shared" si="10"/>
        <v>0</v>
      </c>
      <c r="BB147" s="3" t="b">
        <f t="shared" si="11"/>
        <v>1</v>
      </c>
      <c r="BC147" s="3"/>
      <c r="BD147" s="3" t="s">
        <v>166</v>
      </c>
      <c r="BE147" s="3" t="b">
        <v>1</v>
      </c>
      <c r="BF147" s="3" t="b">
        <v>1</v>
      </c>
      <c r="BG147" s="3" t="b">
        <v>1</v>
      </c>
      <c r="BH147" s="3" t="b">
        <v>1</v>
      </c>
      <c r="BI147" s="3" t="b">
        <v>1</v>
      </c>
      <c r="BJ147" s="3"/>
      <c r="BK147" s="3"/>
      <c r="BL147" s="3"/>
      <c r="BM147" s="3"/>
      <c r="BN147" s="3"/>
      <c r="BO147" s="3" t="s">
        <v>399</v>
      </c>
      <c r="BP147" s="3" t="b">
        <v>1</v>
      </c>
      <c r="BQ147" s="3" t="b">
        <v>1</v>
      </c>
      <c r="BR147" s="3" t="b">
        <v>0</v>
      </c>
      <c r="BS147" s="3" t="b">
        <v>1</v>
      </c>
      <c r="BT147" s="3" t="b">
        <v>1</v>
      </c>
      <c r="BU147" s="3"/>
      <c r="BV147" s="3"/>
      <c r="BW147" s="3"/>
      <c r="BX147" s="3"/>
    </row>
    <row r="148" spans="1:76" x14ac:dyDescent="0.35">
      <c r="A148" s="3"/>
      <c r="B148" s="3" t="s">
        <v>168</v>
      </c>
      <c r="C148" s="3"/>
      <c r="D148" s="3" t="s">
        <v>34</v>
      </c>
      <c r="E148" s="3" t="s">
        <v>35</v>
      </c>
      <c r="F148" s="3"/>
      <c r="G148" s="3"/>
      <c r="H148" s="3"/>
      <c r="I148" s="3"/>
      <c r="J148" s="3"/>
      <c r="K148" s="3"/>
      <c r="L148" s="3"/>
      <c r="M148" s="3"/>
      <c r="N148" s="3">
        <f t="shared" si="0"/>
        <v>0</v>
      </c>
      <c r="O148" s="3">
        <f t="shared" si="1"/>
        <v>0</v>
      </c>
      <c r="P148" s="3">
        <f t="shared" si="2"/>
        <v>0</v>
      </c>
      <c r="Q148" s="3">
        <f t="shared" si="3"/>
        <v>0</v>
      </c>
      <c r="R148" s="3">
        <f t="shared" si="4"/>
        <v>0</v>
      </c>
      <c r="S148" s="3">
        <f t="shared" si="5"/>
        <v>0</v>
      </c>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f t="shared" si="6"/>
        <v>0</v>
      </c>
      <c r="AX148" s="3">
        <f t="shared" si="7"/>
        <v>0</v>
      </c>
      <c r="AY148" s="3">
        <f t="shared" si="8"/>
        <v>0</v>
      </c>
      <c r="AZ148" s="3">
        <f t="shared" si="9"/>
        <v>0</v>
      </c>
      <c r="BA148" s="3">
        <f t="shared" si="10"/>
        <v>0</v>
      </c>
      <c r="BB148" s="3">
        <f t="shared" si="11"/>
        <v>0</v>
      </c>
      <c r="BC148" s="3"/>
      <c r="BD148" s="3"/>
      <c r="BE148" s="3"/>
      <c r="BF148" s="3"/>
      <c r="BG148" s="3"/>
      <c r="BH148" s="3"/>
      <c r="BI148" s="3"/>
      <c r="BJ148" s="3"/>
      <c r="BK148" s="3"/>
      <c r="BL148" s="3"/>
      <c r="BM148" s="3"/>
      <c r="BN148" s="3"/>
      <c r="BO148" s="3"/>
      <c r="BP148" s="3"/>
      <c r="BQ148" s="3"/>
      <c r="BR148" s="3"/>
      <c r="BS148" s="3"/>
      <c r="BT148" s="3"/>
      <c r="BU148" s="3"/>
      <c r="BV148" s="3"/>
      <c r="BW148" s="3"/>
      <c r="BX148" s="3"/>
    </row>
    <row r="149" spans="1:76" x14ac:dyDescent="0.35">
      <c r="A149" s="3"/>
      <c r="B149" s="3" t="s">
        <v>400</v>
      </c>
      <c r="C149" s="3" t="s">
        <v>25</v>
      </c>
      <c r="D149" s="3"/>
      <c r="E149" s="3"/>
      <c r="F149" s="3"/>
      <c r="G149" s="3" t="s">
        <v>3627</v>
      </c>
      <c r="H149" s="3" t="s">
        <v>28</v>
      </c>
      <c r="I149" s="3" t="b">
        <v>1</v>
      </c>
      <c r="J149" s="3" t="b">
        <v>1</v>
      </c>
      <c r="K149" s="3" t="b">
        <v>1</v>
      </c>
      <c r="L149" s="3" t="b">
        <v>1</v>
      </c>
      <c r="M149" s="3" t="b">
        <v>1</v>
      </c>
      <c r="N149" s="3" t="b">
        <f t="shared" si="0"/>
        <v>1</v>
      </c>
      <c r="O149" s="3" t="b">
        <f t="shared" si="1"/>
        <v>0</v>
      </c>
      <c r="P149" s="3" t="b">
        <f t="shared" si="2"/>
        <v>0</v>
      </c>
      <c r="Q149" s="3" t="b">
        <f t="shared" si="3"/>
        <v>0</v>
      </c>
      <c r="R149" s="3" t="b">
        <f t="shared" si="4"/>
        <v>0</v>
      </c>
      <c r="S149" s="3" t="b">
        <f t="shared" si="5"/>
        <v>0</v>
      </c>
      <c r="U149" s="3" t="s">
        <v>28</v>
      </c>
      <c r="V149" s="3" t="b">
        <v>1</v>
      </c>
      <c r="W149" s="3" t="b">
        <v>1</v>
      </c>
      <c r="X149" s="3" t="b">
        <v>1</v>
      </c>
      <c r="Y149" s="3" t="b">
        <v>1</v>
      </c>
      <c r="Z149" s="3" t="b">
        <v>1</v>
      </c>
      <c r="AA149" s="3"/>
      <c r="AB149" s="3"/>
      <c r="AC149" s="3"/>
      <c r="AD149" s="3"/>
      <c r="AE149" s="3"/>
      <c r="AF149" s="3" t="s">
        <v>28</v>
      </c>
      <c r="AG149" s="3" t="b">
        <v>1</v>
      </c>
      <c r="AH149" s="3" t="b">
        <v>1</v>
      </c>
      <c r="AI149" s="3" t="b">
        <v>1</v>
      </c>
      <c r="AJ149" s="3" t="b">
        <v>1</v>
      </c>
      <c r="AK149" s="3" t="b">
        <v>1</v>
      </c>
      <c r="AL149" s="3"/>
      <c r="AM149" s="3"/>
      <c r="AN149" s="3"/>
      <c r="AO149" s="3"/>
      <c r="AP149" s="3"/>
      <c r="AQ149" s="3" t="s">
        <v>28</v>
      </c>
      <c r="AR149" s="3" t="b">
        <v>1</v>
      </c>
      <c r="AS149" s="3" t="b">
        <v>1</v>
      </c>
      <c r="AT149" s="3" t="b">
        <v>1</v>
      </c>
      <c r="AU149" s="3" t="b">
        <v>1</v>
      </c>
      <c r="AV149" s="3" t="b">
        <v>1</v>
      </c>
      <c r="AW149" s="3" t="b">
        <f t="shared" si="6"/>
        <v>1</v>
      </c>
      <c r="AX149" s="3" t="b">
        <f t="shared" si="7"/>
        <v>0</v>
      </c>
      <c r="AY149" s="3" t="b">
        <f t="shared" si="8"/>
        <v>0</v>
      </c>
      <c r="AZ149" s="3" t="b">
        <f t="shared" si="9"/>
        <v>0</v>
      </c>
      <c r="BA149" s="3" t="b">
        <f t="shared" si="10"/>
        <v>0</v>
      </c>
      <c r="BB149" s="3" t="b">
        <f t="shared" si="11"/>
        <v>0</v>
      </c>
      <c r="BC149" s="3"/>
      <c r="BD149" s="3" t="s">
        <v>28</v>
      </c>
      <c r="BE149" s="3" t="b">
        <v>1</v>
      </c>
      <c r="BF149" s="3" t="b">
        <v>1</v>
      </c>
      <c r="BG149" s="3" t="b">
        <v>1</v>
      </c>
      <c r="BH149" s="3" t="b">
        <v>1</v>
      </c>
      <c r="BI149" s="3" t="b">
        <v>1</v>
      </c>
      <c r="BJ149" s="3"/>
      <c r="BK149" s="3"/>
      <c r="BL149" s="3"/>
      <c r="BM149" s="3"/>
      <c r="BN149" s="3"/>
      <c r="BO149" s="3" t="s">
        <v>28</v>
      </c>
      <c r="BP149" s="3" t="b">
        <v>1</v>
      </c>
      <c r="BQ149" s="3" t="b">
        <v>1</v>
      </c>
      <c r="BR149" s="3" t="b">
        <v>1</v>
      </c>
      <c r="BS149" s="3" t="b">
        <v>1</v>
      </c>
      <c r="BT149" s="3" t="b">
        <v>1</v>
      </c>
      <c r="BU149" s="3"/>
      <c r="BV149" s="3"/>
      <c r="BW149" s="3"/>
      <c r="BX149" s="3"/>
    </row>
    <row r="150" spans="1:76" x14ac:dyDescent="0.35">
      <c r="A150" s="3"/>
      <c r="B150" s="3"/>
      <c r="C150" s="3" t="s">
        <v>29</v>
      </c>
      <c r="D150" s="3"/>
      <c r="E150" s="3"/>
      <c r="F150" s="3"/>
      <c r="G150" s="3" t="s">
        <v>3628</v>
      </c>
      <c r="H150" s="3" t="s">
        <v>31</v>
      </c>
      <c r="I150" s="3" t="b">
        <v>1</v>
      </c>
      <c r="J150" s="3" t="b">
        <v>1</v>
      </c>
      <c r="K150" s="3" t="b">
        <v>1</v>
      </c>
      <c r="L150" s="3" t="b">
        <v>1</v>
      </c>
      <c r="M150" s="3" t="b">
        <v>1</v>
      </c>
      <c r="N150" s="3" t="b">
        <f t="shared" si="0"/>
        <v>1</v>
      </c>
      <c r="O150" s="3" t="b">
        <f t="shared" si="1"/>
        <v>0</v>
      </c>
      <c r="P150" s="3" t="b">
        <f t="shared" si="2"/>
        <v>0</v>
      </c>
      <c r="Q150" s="3" t="b">
        <f t="shared" si="3"/>
        <v>0</v>
      </c>
      <c r="R150" s="3" t="b">
        <f t="shared" si="4"/>
        <v>0</v>
      </c>
      <c r="S150" s="3" t="b">
        <f t="shared" si="5"/>
        <v>0</v>
      </c>
      <c r="U150" s="3" t="s">
        <v>31</v>
      </c>
      <c r="V150" s="3" t="b">
        <v>1</v>
      </c>
      <c r="W150" s="3" t="b">
        <v>1</v>
      </c>
      <c r="X150" s="3" t="b">
        <v>1</v>
      </c>
      <c r="Y150" s="3" t="b">
        <v>1</v>
      </c>
      <c r="Z150" s="3" t="b">
        <v>1</v>
      </c>
      <c r="AA150" s="3"/>
      <c r="AB150" s="3"/>
      <c r="AC150" s="3"/>
      <c r="AD150" s="3"/>
      <c r="AE150" s="3"/>
      <c r="AF150" s="3" t="s">
        <v>31</v>
      </c>
      <c r="AG150" s="3" t="b">
        <v>1</v>
      </c>
      <c r="AH150" s="3" t="b">
        <v>1</v>
      </c>
      <c r="AI150" s="3" t="b">
        <v>1</v>
      </c>
      <c r="AJ150" s="3" t="b">
        <v>1</v>
      </c>
      <c r="AK150" s="3" t="b">
        <v>1</v>
      </c>
      <c r="AL150" s="3"/>
      <c r="AM150" s="3"/>
      <c r="AN150" s="3"/>
      <c r="AO150" s="3"/>
      <c r="AP150" s="3"/>
      <c r="AQ150" s="3" t="s">
        <v>31</v>
      </c>
      <c r="AR150" s="3" t="b">
        <v>1</v>
      </c>
      <c r="AS150" s="3" t="b">
        <v>1</v>
      </c>
      <c r="AT150" s="3" t="b">
        <v>1</v>
      </c>
      <c r="AU150" s="3" t="b">
        <v>1</v>
      </c>
      <c r="AV150" s="3" t="b">
        <v>1</v>
      </c>
      <c r="AW150" s="3" t="b">
        <f t="shared" si="6"/>
        <v>1</v>
      </c>
      <c r="AX150" s="3" t="b">
        <f t="shared" si="7"/>
        <v>0</v>
      </c>
      <c r="AY150" s="3" t="b">
        <f t="shared" si="8"/>
        <v>0</v>
      </c>
      <c r="AZ150" s="3" t="b">
        <f t="shared" si="9"/>
        <v>0</v>
      </c>
      <c r="BA150" s="3" t="b">
        <f t="shared" si="10"/>
        <v>0</v>
      </c>
      <c r="BB150" s="3" t="b">
        <f t="shared" si="11"/>
        <v>0</v>
      </c>
      <c r="BC150" s="3"/>
      <c r="BD150" s="3" t="s">
        <v>31</v>
      </c>
      <c r="BE150" s="3" t="b">
        <v>1</v>
      </c>
      <c r="BF150" s="3" t="b">
        <v>1</v>
      </c>
      <c r="BG150" s="3" t="b">
        <v>1</v>
      </c>
      <c r="BH150" s="3" t="b">
        <v>1</v>
      </c>
      <c r="BI150" s="3" t="b">
        <v>1</v>
      </c>
      <c r="BJ150" s="3"/>
      <c r="BK150" s="3"/>
      <c r="BL150" s="3"/>
      <c r="BM150" s="3"/>
      <c r="BN150" s="3"/>
      <c r="BO150" s="3" t="s">
        <v>31</v>
      </c>
      <c r="BP150" s="3" t="b">
        <v>1</v>
      </c>
      <c r="BQ150" s="3" t="b">
        <v>1</v>
      </c>
      <c r="BR150" s="3" t="b">
        <v>1</v>
      </c>
      <c r="BS150" s="3" t="b">
        <v>1</v>
      </c>
      <c r="BT150" s="3" t="b">
        <v>1</v>
      </c>
      <c r="BU150" s="3"/>
      <c r="BV150" s="3"/>
      <c r="BW150" s="3"/>
      <c r="BX150" s="3"/>
    </row>
    <row r="151" spans="1:76" x14ac:dyDescent="0.35">
      <c r="A151" s="3"/>
      <c r="B151" s="3" t="s">
        <v>403</v>
      </c>
      <c r="C151" s="3" t="s">
        <v>404</v>
      </c>
      <c r="D151" s="3"/>
      <c r="E151" s="3"/>
      <c r="F151" s="3"/>
      <c r="G151" s="3" t="s">
        <v>3629</v>
      </c>
      <c r="H151" s="3" t="s">
        <v>406</v>
      </c>
      <c r="I151" s="3" t="b">
        <v>1</v>
      </c>
      <c r="J151" s="3" t="b">
        <v>1</v>
      </c>
      <c r="K151" s="3" t="b">
        <v>1</v>
      </c>
      <c r="L151" s="3" t="b">
        <v>1</v>
      </c>
      <c r="M151" s="3" t="b">
        <v>1</v>
      </c>
      <c r="N151" s="3" t="b">
        <f t="shared" si="0"/>
        <v>1</v>
      </c>
      <c r="O151" s="3" t="b">
        <f t="shared" si="1"/>
        <v>0</v>
      </c>
      <c r="P151" s="3" t="b">
        <f t="shared" si="2"/>
        <v>0</v>
      </c>
      <c r="Q151" s="3" t="b">
        <f t="shared" si="3"/>
        <v>0</v>
      </c>
      <c r="R151" s="3" t="b">
        <f t="shared" si="4"/>
        <v>0</v>
      </c>
      <c r="S151" s="3" t="b">
        <f t="shared" si="5"/>
        <v>0</v>
      </c>
      <c r="U151" s="3" t="s">
        <v>406</v>
      </c>
      <c r="V151" s="3" t="b">
        <v>1</v>
      </c>
      <c r="W151" s="3" t="b">
        <v>1</v>
      </c>
      <c r="X151" s="3" t="b">
        <v>1</v>
      </c>
      <c r="Y151" s="3" t="b">
        <v>1</v>
      </c>
      <c r="Z151" s="3" t="b">
        <v>1</v>
      </c>
      <c r="AA151" s="3"/>
      <c r="AB151" s="3"/>
      <c r="AC151" s="3"/>
      <c r="AD151" s="3"/>
      <c r="AE151" s="3"/>
      <c r="AF151" s="3" t="s">
        <v>406</v>
      </c>
      <c r="AG151" s="3" t="b">
        <v>1</v>
      </c>
      <c r="AH151" s="3" t="b">
        <v>1</v>
      </c>
      <c r="AI151" s="3" t="b">
        <v>1</v>
      </c>
      <c r="AJ151" s="3" t="b">
        <v>1</v>
      </c>
      <c r="AK151" s="3" t="b">
        <v>1</v>
      </c>
      <c r="AL151" s="3"/>
      <c r="AM151" s="3"/>
      <c r="AN151" s="3"/>
      <c r="AO151" s="3"/>
      <c r="AP151" s="3"/>
      <c r="AQ151" s="3" t="s">
        <v>407</v>
      </c>
      <c r="AR151" s="3" t="b">
        <v>1</v>
      </c>
      <c r="AS151" s="3" t="b">
        <v>1</v>
      </c>
      <c r="AT151" s="3" t="b">
        <v>1</v>
      </c>
      <c r="AU151" s="3" t="b">
        <v>1</v>
      </c>
      <c r="AV151" s="3" t="b">
        <v>1</v>
      </c>
      <c r="AW151" s="3" t="b">
        <f t="shared" si="6"/>
        <v>1</v>
      </c>
      <c r="AX151" s="3" t="b">
        <f t="shared" si="7"/>
        <v>0</v>
      </c>
      <c r="AY151" s="3" t="b">
        <f t="shared" si="8"/>
        <v>0</v>
      </c>
      <c r="AZ151" s="3" t="b">
        <f t="shared" si="9"/>
        <v>0</v>
      </c>
      <c r="BA151" s="3" t="b">
        <f t="shared" si="10"/>
        <v>0</v>
      </c>
      <c r="BB151" s="3" t="b">
        <f t="shared" si="11"/>
        <v>0</v>
      </c>
      <c r="BC151" s="3"/>
      <c r="BD151" s="3" t="s">
        <v>408</v>
      </c>
      <c r="BE151" s="3" t="b">
        <v>1</v>
      </c>
      <c r="BF151" s="3" t="b">
        <v>1</v>
      </c>
      <c r="BG151" s="3" t="b">
        <v>1</v>
      </c>
      <c r="BH151" s="3" t="b">
        <v>1</v>
      </c>
      <c r="BI151" s="3" t="b">
        <v>1</v>
      </c>
      <c r="BJ151" s="3"/>
      <c r="BK151" s="3"/>
      <c r="BL151" s="3"/>
      <c r="BM151" s="3"/>
      <c r="BN151" s="3"/>
      <c r="BO151" s="3" t="s">
        <v>408</v>
      </c>
      <c r="BP151" s="3" t="b">
        <v>1</v>
      </c>
      <c r="BQ151" s="3" t="b">
        <v>1</v>
      </c>
      <c r="BR151" s="3" t="b">
        <v>1</v>
      </c>
      <c r="BS151" s="3" t="b">
        <v>1</v>
      </c>
      <c r="BT151" s="3" t="b">
        <v>1</v>
      </c>
      <c r="BU151" s="3"/>
      <c r="BV151" s="3"/>
      <c r="BW151" s="3"/>
      <c r="BX151" s="3"/>
    </row>
    <row r="152" spans="1:76" x14ac:dyDescent="0.35">
      <c r="A152" s="3"/>
      <c r="B152" s="3" t="s">
        <v>409</v>
      </c>
      <c r="C152" s="3" t="s">
        <v>148</v>
      </c>
      <c r="D152" s="3"/>
      <c r="E152" s="3"/>
      <c r="F152" s="3"/>
      <c r="G152" s="3" t="s">
        <v>3630</v>
      </c>
      <c r="H152" s="3" t="s">
        <v>411</v>
      </c>
      <c r="I152" s="3" t="b">
        <v>1</v>
      </c>
      <c r="J152" s="3" t="b">
        <v>1</v>
      </c>
      <c r="K152" s="3" t="b">
        <v>1</v>
      </c>
      <c r="L152" s="3" t="b">
        <v>1</v>
      </c>
      <c r="M152" s="3" t="b">
        <v>1</v>
      </c>
      <c r="N152" s="3" t="b">
        <f t="shared" si="0"/>
        <v>1</v>
      </c>
      <c r="O152" s="3" t="b">
        <f t="shared" si="1"/>
        <v>0</v>
      </c>
      <c r="P152" s="3" t="b">
        <f t="shared" si="2"/>
        <v>0</v>
      </c>
      <c r="Q152" s="3" t="b">
        <f t="shared" si="3"/>
        <v>0</v>
      </c>
      <c r="R152" s="3" t="b">
        <f t="shared" si="4"/>
        <v>0</v>
      </c>
      <c r="S152" s="3" t="b">
        <f t="shared" si="5"/>
        <v>0</v>
      </c>
      <c r="U152" s="3" t="s">
        <v>412</v>
      </c>
      <c r="V152" s="3" t="b">
        <v>1</v>
      </c>
      <c r="W152" s="3" t="b">
        <v>0</v>
      </c>
      <c r="X152" s="3" t="b">
        <v>0</v>
      </c>
      <c r="Y152" s="3" t="b">
        <v>1</v>
      </c>
      <c r="Z152" s="3" t="b">
        <v>0</v>
      </c>
      <c r="AA152" s="3"/>
      <c r="AB152" s="3"/>
      <c r="AC152" s="3"/>
      <c r="AD152" s="3"/>
      <c r="AE152" s="3"/>
      <c r="AF152" s="3" t="s">
        <v>413</v>
      </c>
      <c r="AG152" s="3" t="b">
        <v>1</v>
      </c>
      <c r="AH152" s="3" t="b">
        <v>1</v>
      </c>
      <c r="AI152" s="3" t="b">
        <v>1</v>
      </c>
      <c r="AJ152" s="3" t="b">
        <v>1</v>
      </c>
      <c r="AK152" s="3" t="b">
        <v>1</v>
      </c>
      <c r="AL152" s="3"/>
      <c r="AM152" s="3"/>
      <c r="AN152" s="3"/>
      <c r="AO152" s="3"/>
      <c r="AP152" s="3"/>
      <c r="AQ152" s="3" t="s">
        <v>414</v>
      </c>
      <c r="AR152" s="3" t="b">
        <v>1</v>
      </c>
      <c r="AS152" s="3" t="b">
        <v>0</v>
      </c>
      <c r="AT152" s="3" t="b">
        <v>0</v>
      </c>
      <c r="AU152" s="3" t="b">
        <v>1</v>
      </c>
      <c r="AV152" s="3" t="b">
        <v>0</v>
      </c>
      <c r="AW152" s="3" t="b">
        <f t="shared" si="6"/>
        <v>0</v>
      </c>
      <c r="AX152" s="3" t="b">
        <f t="shared" si="7"/>
        <v>0</v>
      </c>
      <c r="AY152" s="3" t="b">
        <f t="shared" si="8"/>
        <v>1</v>
      </c>
      <c r="AZ152" s="3" t="b">
        <f t="shared" si="9"/>
        <v>0</v>
      </c>
      <c r="BA152" s="3" t="b">
        <f t="shared" si="10"/>
        <v>0</v>
      </c>
      <c r="BB152" s="3" t="b">
        <f t="shared" si="11"/>
        <v>0</v>
      </c>
      <c r="BC152" s="3"/>
      <c r="BD152" s="3" t="s">
        <v>414</v>
      </c>
      <c r="BE152" s="3" t="b">
        <v>1</v>
      </c>
      <c r="BF152" s="3" t="b">
        <v>0</v>
      </c>
      <c r="BG152" s="3" t="b">
        <v>0</v>
      </c>
      <c r="BH152" s="3" t="b">
        <v>1</v>
      </c>
      <c r="BI152" s="3" t="b">
        <v>0</v>
      </c>
      <c r="BJ152" s="3"/>
      <c r="BK152" s="3"/>
      <c r="BL152" s="3"/>
      <c r="BM152" s="3"/>
      <c r="BN152" s="3"/>
      <c r="BO152" s="3" t="s">
        <v>415</v>
      </c>
      <c r="BP152" s="3" t="b">
        <v>1</v>
      </c>
      <c r="BQ152" s="3" t="b">
        <v>0</v>
      </c>
      <c r="BR152" s="3" t="b">
        <v>0</v>
      </c>
      <c r="BS152" s="3" t="b">
        <v>1</v>
      </c>
      <c r="BT152" s="3" t="b">
        <v>0</v>
      </c>
      <c r="BU152" s="3"/>
      <c r="BV152" s="3"/>
      <c r="BW152" s="3"/>
      <c r="BX152" s="3"/>
    </row>
    <row r="153" spans="1:76" x14ac:dyDescent="0.35">
      <c r="A153" s="3"/>
      <c r="B153" s="3"/>
      <c r="C153" s="3" t="s">
        <v>155</v>
      </c>
      <c r="D153" s="3"/>
      <c r="E153" s="3"/>
      <c r="F153" s="3"/>
      <c r="G153" s="3" t="s">
        <v>3631</v>
      </c>
      <c r="H153" s="3" t="s">
        <v>417</v>
      </c>
      <c r="I153" s="3" t="b">
        <v>1</v>
      </c>
      <c r="J153" s="3" t="b">
        <v>0</v>
      </c>
      <c r="K153" s="3" t="b">
        <v>0</v>
      </c>
      <c r="L153" s="3" t="b">
        <v>1</v>
      </c>
      <c r="M153" s="3" t="b">
        <v>0</v>
      </c>
      <c r="N153" s="3" t="b">
        <f t="shared" si="0"/>
        <v>0</v>
      </c>
      <c r="O153" s="3" t="b">
        <f t="shared" si="1"/>
        <v>0</v>
      </c>
      <c r="P153" s="3" t="b">
        <f t="shared" si="2"/>
        <v>1</v>
      </c>
      <c r="Q153" s="3" t="b">
        <f t="shared" si="3"/>
        <v>0</v>
      </c>
      <c r="R153" s="3" t="b">
        <f t="shared" si="4"/>
        <v>0</v>
      </c>
      <c r="S153" s="3" t="b">
        <f t="shared" si="5"/>
        <v>0</v>
      </c>
      <c r="U153" s="3" t="s">
        <v>418</v>
      </c>
      <c r="V153" s="3" t="b">
        <v>1</v>
      </c>
      <c r="W153" s="3" t="b">
        <v>0</v>
      </c>
      <c r="X153" s="3" t="b">
        <v>0</v>
      </c>
      <c r="Y153" s="3" t="b">
        <v>1</v>
      </c>
      <c r="Z153" s="3" t="b">
        <v>0</v>
      </c>
      <c r="AA153" s="3"/>
      <c r="AB153" s="3"/>
      <c r="AC153" s="3"/>
      <c r="AD153" s="3"/>
      <c r="AE153" s="3"/>
      <c r="AF153" s="3" t="s">
        <v>419</v>
      </c>
      <c r="AG153" s="3" t="b">
        <v>1</v>
      </c>
      <c r="AH153" s="3" t="b">
        <v>0</v>
      </c>
      <c r="AI153" s="3" t="b">
        <v>0</v>
      </c>
      <c r="AJ153" s="3" t="b">
        <v>1</v>
      </c>
      <c r="AK153" s="3" t="b">
        <v>0</v>
      </c>
      <c r="AL153" s="3"/>
      <c r="AM153" s="3"/>
      <c r="AN153" s="3"/>
      <c r="AO153" s="3"/>
      <c r="AP153" s="3"/>
      <c r="AQ153" s="3" t="s">
        <v>420</v>
      </c>
      <c r="AR153" s="3" t="b">
        <v>1</v>
      </c>
      <c r="AS153" s="3" t="b">
        <v>1</v>
      </c>
      <c r="AT153" s="3" t="b">
        <v>0</v>
      </c>
      <c r="AU153" s="3" t="b">
        <v>0</v>
      </c>
      <c r="AV153" s="3" t="b">
        <v>0</v>
      </c>
      <c r="AW153" s="3" t="b">
        <f t="shared" si="6"/>
        <v>0</v>
      </c>
      <c r="AX153" s="3" t="b">
        <f t="shared" si="7"/>
        <v>0</v>
      </c>
      <c r="AY153" s="3" t="b">
        <f t="shared" si="8"/>
        <v>1</v>
      </c>
      <c r="AZ153" s="3" t="b">
        <f t="shared" si="9"/>
        <v>0</v>
      </c>
      <c r="BA153" s="3" t="b">
        <f t="shared" si="10"/>
        <v>0</v>
      </c>
      <c r="BB153" s="3" t="b">
        <f t="shared" si="11"/>
        <v>0</v>
      </c>
      <c r="BC153" s="3"/>
      <c r="BD153" s="3" t="s">
        <v>421</v>
      </c>
      <c r="BE153" s="3" t="b">
        <v>1</v>
      </c>
      <c r="BF153" s="3" t="b">
        <v>1</v>
      </c>
      <c r="BG153" s="3" t="b">
        <v>0</v>
      </c>
      <c r="BH153" s="3" t="b">
        <v>0</v>
      </c>
      <c r="BI153" s="3" t="b">
        <v>1</v>
      </c>
      <c r="BJ153" s="3"/>
      <c r="BK153" s="3"/>
      <c r="BL153" s="3"/>
      <c r="BM153" s="3"/>
      <c r="BN153" s="3"/>
      <c r="BO153" s="3" t="s">
        <v>422</v>
      </c>
      <c r="BP153" s="3" t="b">
        <v>1</v>
      </c>
      <c r="BQ153" s="3" t="b">
        <v>0</v>
      </c>
      <c r="BR153" s="3" t="b">
        <v>0</v>
      </c>
      <c r="BS153" s="3" t="b">
        <v>1</v>
      </c>
      <c r="BT153" s="3" t="b">
        <v>0</v>
      </c>
      <c r="BU153" s="3"/>
      <c r="BV153" s="3"/>
      <c r="BW153" s="3"/>
      <c r="BX153" s="3"/>
    </row>
    <row r="154" spans="1:76" x14ac:dyDescent="0.35">
      <c r="A154" s="3"/>
      <c r="B154" s="3" t="s">
        <v>169</v>
      </c>
      <c r="C154" s="3"/>
      <c r="D154" s="3" t="s">
        <v>170</v>
      </c>
      <c r="E154" s="3" t="s">
        <v>171</v>
      </c>
      <c r="F154" s="3"/>
      <c r="G154" s="3"/>
      <c r="H154" s="3"/>
      <c r="I154" s="3"/>
      <c r="J154" s="3"/>
      <c r="K154" s="3"/>
      <c r="L154" s="3"/>
      <c r="M154" s="3"/>
      <c r="N154" s="3">
        <f t="shared" si="0"/>
        <v>0</v>
      </c>
      <c r="O154" s="3">
        <f t="shared" si="1"/>
        <v>0</v>
      </c>
      <c r="P154" s="3">
        <f t="shared" si="2"/>
        <v>0</v>
      </c>
      <c r="Q154" s="3">
        <f t="shared" si="3"/>
        <v>0</v>
      </c>
      <c r="R154" s="3">
        <f t="shared" si="4"/>
        <v>0</v>
      </c>
      <c r="S154" s="3">
        <f t="shared" si="5"/>
        <v>0</v>
      </c>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f t="shared" si="6"/>
        <v>0</v>
      </c>
      <c r="AX154" s="3">
        <f t="shared" si="7"/>
        <v>0</v>
      </c>
      <c r="AY154" s="3">
        <f t="shared" si="8"/>
        <v>0</v>
      </c>
      <c r="AZ154" s="3">
        <f t="shared" si="9"/>
        <v>0</v>
      </c>
      <c r="BA154" s="3">
        <f t="shared" si="10"/>
        <v>0</v>
      </c>
      <c r="BB154" s="3">
        <f t="shared" si="11"/>
        <v>0</v>
      </c>
      <c r="BC154" s="3"/>
      <c r="BD154" s="3"/>
      <c r="BE154" s="3"/>
      <c r="BF154" s="3"/>
      <c r="BG154" s="3"/>
      <c r="BH154" s="3"/>
      <c r="BI154" s="3"/>
      <c r="BJ154" s="3"/>
      <c r="BK154" s="3"/>
      <c r="BL154" s="3"/>
      <c r="BM154" s="3"/>
      <c r="BN154" s="3"/>
      <c r="BO154" s="3"/>
      <c r="BP154" s="3"/>
      <c r="BQ154" s="3"/>
      <c r="BR154" s="3"/>
      <c r="BS154" s="3"/>
      <c r="BT154" s="3"/>
      <c r="BU154" s="3"/>
      <c r="BV154" s="3"/>
      <c r="BW154" s="3"/>
      <c r="BX154" s="3"/>
    </row>
    <row r="155" spans="1:76" x14ac:dyDescent="0.35">
      <c r="A155" s="3"/>
      <c r="B155" s="3" t="s">
        <v>172</v>
      </c>
      <c r="C155" s="3"/>
      <c r="D155" s="3" t="s">
        <v>34</v>
      </c>
      <c r="E155" s="3" t="s">
        <v>35</v>
      </c>
      <c r="F155" s="3"/>
      <c r="G155" s="3"/>
      <c r="H155" s="3"/>
      <c r="I155" s="3"/>
      <c r="J155" s="3"/>
      <c r="K155" s="3"/>
      <c r="L155" s="3"/>
      <c r="M155" s="3"/>
      <c r="N155" s="3">
        <f t="shared" si="0"/>
        <v>0</v>
      </c>
      <c r="O155" s="3">
        <f t="shared" si="1"/>
        <v>0</v>
      </c>
      <c r="P155" s="3">
        <f t="shared" si="2"/>
        <v>0</v>
      </c>
      <c r="Q155" s="3">
        <f t="shared" si="3"/>
        <v>0</v>
      </c>
      <c r="R155" s="3">
        <f t="shared" si="4"/>
        <v>0</v>
      </c>
      <c r="S155" s="3">
        <f t="shared" si="5"/>
        <v>0</v>
      </c>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f t="shared" si="6"/>
        <v>0</v>
      </c>
      <c r="AX155" s="3">
        <f t="shared" si="7"/>
        <v>0</v>
      </c>
      <c r="AY155" s="3">
        <f t="shared" si="8"/>
        <v>0</v>
      </c>
      <c r="AZ155" s="3">
        <f t="shared" si="9"/>
        <v>0</v>
      </c>
      <c r="BA155" s="3">
        <f t="shared" si="10"/>
        <v>0</v>
      </c>
      <c r="BB155" s="3">
        <f t="shared" si="11"/>
        <v>0</v>
      </c>
      <c r="BC155" s="3"/>
      <c r="BD155" s="3"/>
      <c r="BE155" s="3"/>
      <c r="BF155" s="3"/>
      <c r="BG155" s="3"/>
      <c r="BH155" s="3"/>
      <c r="BI155" s="3"/>
      <c r="BJ155" s="3"/>
      <c r="BK155" s="3"/>
      <c r="BL155" s="3"/>
      <c r="BM155" s="3"/>
      <c r="BN155" s="3"/>
      <c r="BO155" s="3"/>
      <c r="BP155" s="3"/>
      <c r="BQ155" s="3"/>
      <c r="BR155" s="3"/>
      <c r="BS155" s="3"/>
      <c r="BT155" s="3"/>
      <c r="BU155" s="3"/>
      <c r="BV155" s="3"/>
      <c r="BW155" s="3"/>
      <c r="BX155" s="3"/>
    </row>
    <row r="156" spans="1:76" x14ac:dyDescent="0.35">
      <c r="A156" s="3"/>
      <c r="B156" s="3" t="s">
        <v>173</v>
      </c>
      <c r="C156" s="3" t="s">
        <v>142</v>
      </c>
      <c r="D156" s="3" t="s">
        <v>423</v>
      </c>
      <c r="E156" s="3" t="s">
        <v>175</v>
      </c>
      <c r="F156" s="3"/>
      <c r="G156" s="3" t="s">
        <v>3632</v>
      </c>
      <c r="H156" s="3" t="s">
        <v>382</v>
      </c>
      <c r="I156" s="3" t="b">
        <v>1</v>
      </c>
      <c r="J156" s="3" t="b">
        <v>1</v>
      </c>
      <c r="K156" s="3" t="b">
        <v>1</v>
      </c>
      <c r="L156" s="3" t="b">
        <v>1</v>
      </c>
      <c r="M156" s="3" t="b">
        <v>1</v>
      </c>
      <c r="N156" s="3" t="b">
        <f t="shared" si="0"/>
        <v>1</v>
      </c>
      <c r="O156" s="3" t="b">
        <f t="shared" si="1"/>
        <v>0</v>
      </c>
      <c r="P156" s="3" t="b">
        <f t="shared" si="2"/>
        <v>0</v>
      </c>
      <c r="Q156" s="3" t="b">
        <f t="shared" si="3"/>
        <v>0</v>
      </c>
      <c r="R156" s="3" t="b">
        <f t="shared" si="4"/>
        <v>0</v>
      </c>
      <c r="S156" s="3" t="b">
        <f t="shared" si="5"/>
        <v>0</v>
      </c>
      <c r="U156" s="3" t="s">
        <v>383</v>
      </c>
      <c r="V156" s="3" t="b">
        <v>1</v>
      </c>
      <c r="W156" s="3" t="b">
        <v>1</v>
      </c>
      <c r="X156" s="3" t="b">
        <v>1</v>
      </c>
      <c r="Y156" s="3" t="b">
        <v>1</v>
      </c>
      <c r="Z156" s="3" t="b">
        <v>1</v>
      </c>
      <c r="AA156" s="3"/>
      <c r="AB156" s="3"/>
      <c r="AC156" s="3"/>
      <c r="AD156" s="3"/>
      <c r="AE156" s="3"/>
      <c r="AF156" s="3" t="s">
        <v>425</v>
      </c>
      <c r="AG156" s="3" t="b">
        <v>1</v>
      </c>
      <c r="AH156" s="3" t="b">
        <v>1</v>
      </c>
      <c r="AI156" s="3" t="b">
        <v>1</v>
      </c>
      <c r="AJ156" s="3" t="b">
        <v>1</v>
      </c>
      <c r="AK156" s="3" t="b">
        <v>1</v>
      </c>
      <c r="AL156" s="3"/>
      <c r="AM156" s="3"/>
      <c r="AN156" s="3"/>
      <c r="AO156" s="3"/>
      <c r="AP156" s="3"/>
      <c r="AQ156" s="3" t="s">
        <v>147</v>
      </c>
      <c r="AR156" s="3" t="b">
        <v>1</v>
      </c>
      <c r="AS156" s="3" t="b">
        <v>1</v>
      </c>
      <c r="AT156" s="3" t="b">
        <v>1</v>
      </c>
      <c r="AU156" s="3" t="b">
        <v>1</v>
      </c>
      <c r="AV156" s="3" t="b">
        <v>1</v>
      </c>
      <c r="AW156" s="3" t="b">
        <f t="shared" si="6"/>
        <v>1</v>
      </c>
      <c r="AX156" s="3" t="b">
        <f t="shared" si="7"/>
        <v>0</v>
      </c>
      <c r="AY156" s="3" t="b">
        <f t="shared" si="8"/>
        <v>0</v>
      </c>
      <c r="AZ156" s="3" t="b">
        <f t="shared" si="9"/>
        <v>0</v>
      </c>
      <c r="BA156" s="3" t="b">
        <f t="shared" si="10"/>
        <v>0</v>
      </c>
      <c r="BB156" s="3" t="b">
        <f t="shared" si="11"/>
        <v>0</v>
      </c>
      <c r="BC156" s="3"/>
      <c r="BD156" s="3" t="s">
        <v>147</v>
      </c>
      <c r="BE156" s="3" t="b">
        <v>1</v>
      </c>
      <c r="BF156" s="3" t="b">
        <v>1</v>
      </c>
      <c r="BG156" s="3" t="b">
        <v>1</v>
      </c>
      <c r="BH156" s="3" t="b">
        <v>1</v>
      </c>
      <c r="BI156" s="3" t="b">
        <v>1</v>
      </c>
      <c r="BJ156" s="3"/>
      <c r="BK156" s="3"/>
      <c r="BL156" s="3"/>
      <c r="BM156" s="3"/>
      <c r="BN156" s="3"/>
      <c r="BO156" s="3" t="s">
        <v>147</v>
      </c>
      <c r="BP156" s="3" t="b">
        <v>1</v>
      </c>
      <c r="BQ156" s="3" t="b">
        <v>1</v>
      </c>
      <c r="BR156" s="3" t="b">
        <v>1</v>
      </c>
      <c r="BS156" s="3" t="b">
        <v>1</v>
      </c>
      <c r="BT156" s="3" t="b">
        <v>1</v>
      </c>
      <c r="BU156" s="3"/>
      <c r="BV156" s="3"/>
      <c r="BW156" s="3"/>
      <c r="BX156" s="3"/>
    </row>
    <row r="157" spans="1:76" x14ac:dyDescent="0.35">
      <c r="A157" s="3"/>
      <c r="B157" s="3"/>
      <c r="C157" s="3" t="s">
        <v>148</v>
      </c>
      <c r="D157" s="3"/>
      <c r="E157" s="3"/>
      <c r="F157" s="3"/>
      <c r="G157" s="3" t="s">
        <v>3633</v>
      </c>
      <c r="H157" s="3" t="s">
        <v>427</v>
      </c>
      <c r="I157" s="3" t="b">
        <v>1</v>
      </c>
      <c r="J157" s="3" t="b">
        <v>1</v>
      </c>
      <c r="K157" s="3" t="b">
        <v>1</v>
      </c>
      <c r="L157" s="3" t="b">
        <v>1</v>
      </c>
      <c r="M157" s="3" t="b">
        <v>1</v>
      </c>
      <c r="N157" s="3" t="b">
        <f t="shared" si="0"/>
        <v>1</v>
      </c>
      <c r="O157" s="3" t="b">
        <f t="shared" si="1"/>
        <v>0</v>
      </c>
      <c r="P157" s="3" t="b">
        <f t="shared" si="2"/>
        <v>0</v>
      </c>
      <c r="Q157" s="3" t="b">
        <f t="shared" si="3"/>
        <v>0</v>
      </c>
      <c r="R157" s="3" t="b">
        <f t="shared" si="4"/>
        <v>0</v>
      </c>
      <c r="S157" s="3" t="b">
        <f t="shared" si="5"/>
        <v>0</v>
      </c>
      <c r="U157" s="3" t="s">
        <v>427</v>
      </c>
      <c r="V157" s="3" t="b">
        <v>1</v>
      </c>
      <c r="W157" s="3" t="b">
        <v>1</v>
      </c>
      <c r="X157" s="3" t="b">
        <v>1</v>
      </c>
      <c r="Y157" s="3" t="b">
        <v>1</v>
      </c>
      <c r="Z157" s="3" t="b">
        <v>1</v>
      </c>
      <c r="AA157" s="3"/>
      <c r="AB157" s="3"/>
      <c r="AC157" s="3"/>
      <c r="AD157" s="3"/>
      <c r="AE157" s="3"/>
      <c r="AF157" s="3" t="s">
        <v>428</v>
      </c>
      <c r="AG157" s="3" t="b">
        <v>1</v>
      </c>
      <c r="AH157" s="3" t="b">
        <v>1</v>
      </c>
      <c r="AI157" s="3" t="b">
        <v>1</v>
      </c>
      <c r="AJ157" s="3" t="b">
        <v>1</v>
      </c>
      <c r="AK157" s="3" t="b">
        <v>1</v>
      </c>
      <c r="AL157" s="3"/>
      <c r="AM157" s="3"/>
      <c r="AN157" s="3"/>
      <c r="AO157" s="3"/>
      <c r="AP157" s="3"/>
      <c r="AQ157" s="3" t="s">
        <v>429</v>
      </c>
      <c r="AR157" s="3" t="b">
        <v>1</v>
      </c>
      <c r="AS157" s="3" t="b">
        <v>0</v>
      </c>
      <c r="AT157" s="3" t="b">
        <v>0</v>
      </c>
      <c r="AU157" s="3" t="b">
        <v>1</v>
      </c>
      <c r="AV157" s="3" t="b">
        <v>0</v>
      </c>
      <c r="AW157" s="3" t="b">
        <f t="shared" si="6"/>
        <v>0</v>
      </c>
      <c r="AX157" s="3" t="b">
        <f t="shared" si="7"/>
        <v>0</v>
      </c>
      <c r="AY157" s="3" t="b">
        <f t="shared" si="8"/>
        <v>1</v>
      </c>
      <c r="AZ157" s="3" t="b">
        <f t="shared" si="9"/>
        <v>0</v>
      </c>
      <c r="BA157" s="3" t="b">
        <f t="shared" si="10"/>
        <v>0</v>
      </c>
      <c r="BB157" s="3" t="b">
        <f t="shared" si="11"/>
        <v>0</v>
      </c>
      <c r="BC157" s="3"/>
      <c r="BD157" s="3" t="s">
        <v>429</v>
      </c>
      <c r="BE157" s="3" t="b">
        <v>1</v>
      </c>
      <c r="BF157" s="3" t="b">
        <v>0</v>
      </c>
      <c r="BG157" s="3" t="b">
        <v>0</v>
      </c>
      <c r="BH157" s="3" t="b">
        <v>1</v>
      </c>
      <c r="BI157" s="3" t="b">
        <v>0</v>
      </c>
      <c r="BJ157" s="3"/>
      <c r="BK157" s="3"/>
      <c r="BL157" s="3"/>
      <c r="BM157" s="3"/>
      <c r="BN157" s="3"/>
      <c r="BO157" s="3" t="s">
        <v>430</v>
      </c>
      <c r="BP157" s="3" t="b">
        <v>1</v>
      </c>
      <c r="BQ157" s="3" t="b">
        <v>0</v>
      </c>
      <c r="BR157" s="3" t="b">
        <v>0</v>
      </c>
      <c r="BS157" s="3" t="b">
        <v>1</v>
      </c>
      <c r="BT157" s="3" t="b">
        <v>0</v>
      </c>
      <c r="BU157" s="3"/>
      <c r="BV157" s="3"/>
      <c r="BW157" s="3"/>
      <c r="BX157" s="3"/>
    </row>
    <row r="158" spans="1:76" x14ac:dyDescent="0.35">
      <c r="A158" s="3"/>
      <c r="B158" s="3"/>
      <c r="C158" s="3" t="s">
        <v>182</v>
      </c>
      <c r="D158" s="3"/>
      <c r="E158" s="3"/>
      <c r="F158" s="3"/>
      <c r="G158" s="3" t="s">
        <v>3634</v>
      </c>
      <c r="H158" s="3"/>
      <c r="I158" s="3" t="b">
        <v>1</v>
      </c>
      <c r="J158" s="3" t="b">
        <v>0</v>
      </c>
      <c r="K158" s="3" t="b">
        <v>0</v>
      </c>
      <c r="L158" s="3" t="b">
        <v>0</v>
      </c>
      <c r="M158" s="3" t="b">
        <v>0</v>
      </c>
      <c r="N158" s="3" t="b">
        <f t="shared" si="0"/>
        <v>0</v>
      </c>
      <c r="O158" s="3" t="b">
        <f t="shared" si="1"/>
        <v>0</v>
      </c>
      <c r="P158" s="3" t="b">
        <f t="shared" si="2"/>
        <v>1</v>
      </c>
      <c r="Q158" s="3" t="b">
        <f t="shared" si="3"/>
        <v>0</v>
      </c>
      <c r="R158" s="3" t="b">
        <f t="shared" si="4"/>
        <v>0</v>
      </c>
      <c r="S158" s="3" t="b">
        <f t="shared" si="5"/>
        <v>0</v>
      </c>
      <c r="U158" s="3" t="s">
        <v>432</v>
      </c>
      <c r="V158" s="3" t="b">
        <v>1</v>
      </c>
      <c r="W158" s="3" t="b">
        <v>1</v>
      </c>
      <c r="X158" s="3" t="b">
        <v>1</v>
      </c>
      <c r="Y158" s="3" t="b">
        <v>1</v>
      </c>
      <c r="Z158" s="3" t="b">
        <v>1</v>
      </c>
      <c r="AA158" s="3"/>
      <c r="AB158" s="3"/>
      <c r="AC158" s="3"/>
      <c r="AD158" s="3"/>
      <c r="AE158" s="3"/>
      <c r="AF158" s="3" t="s">
        <v>433</v>
      </c>
      <c r="AG158" s="3" t="b">
        <v>1</v>
      </c>
      <c r="AH158" s="3" t="b">
        <v>1</v>
      </c>
      <c r="AI158" s="3" t="b">
        <v>1</v>
      </c>
      <c r="AJ158" s="3" t="b">
        <v>1</v>
      </c>
      <c r="AK158" s="3" t="b">
        <v>1</v>
      </c>
      <c r="AL158" s="3"/>
      <c r="AM158" s="3"/>
      <c r="AN158" s="3"/>
      <c r="AO158" s="3"/>
      <c r="AP158" s="3"/>
      <c r="AQ158" s="3" t="s">
        <v>434</v>
      </c>
      <c r="AR158" s="3" t="b">
        <v>1</v>
      </c>
      <c r="AS158" s="3" t="b">
        <v>0</v>
      </c>
      <c r="AT158" s="3" t="b">
        <v>0</v>
      </c>
      <c r="AU158" s="3" t="b">
        <v>1</v>
      </c>
      <c r="AV158" s="3" t="b">
        <v>0</v>
      </c>
      <c r="AW158" s="3" t="b">
        <f t="shared" si="6"/>
        <v>0</v>
      </c>
      <c r="AX158" s="3" t="b">
        <f t="shared" si="7"/>
        <v>0</v>
      </c>
      <c r="AY158" s="3" t="b">
        <f t="shared" si="8"/>
        <v>1</v>
      </c>
      <c r="AZ158" s="3" t="b">
        <f t="shared" si="9"/>
        <v>0</v>
      </c>
      <c r="BA158" s="3" t="b">
        <f t="shared" si="10"/>
        <v>0</v>
      </c>
      <c r="BB158" s="3" t="b">
        <f t="shared" si="11"/>
        <v>0</v>
      </c>
      <c r="BC158" s="3"/>
      <c r="BD158" s="3" t="s">
        <v>434</v>
      </c>
      <c r="BE158" s="3" t="b">
        <v>1</v>
      </c>
      <c r="BF158" s="3" t="b">
        <v>0</v>
      </c>
      <c r="BG158" s="3" t="b">
        <v>0</v>
      </c>
      <c r="BH158" s="3" t="b">
        <v>1</v>
      </c>
      <c r="BI158" s="3" t="b">
        <v>0</v>
      </c>
      <c r="BJ158" s="3"/>
      <c r="BK158" s="3"/>
      <c r="BL158" s="3"/>
      <c r="BM158" s="3"/>
      <c r="BN158" s="3"/>
      <c r="BO158" s="3" t="s">
        <v>435</v>
      </c>
      <c r="BP158" s="3" t="b">
        <v>1</v>
      </c>
      <c r="BQ158" s="3" t="b">
        <v>0</v>
      </c>
      <c r="BR158" s="3" t="b">
        <v>0</v>
      </c>
      <c r="BS158" s="3" t="b">
        <v>0</v>
      </c>
      <c r="BT158" s="3" t="b">
        <v>0</v>
      </c>
      <c r="BU158" s="3"/>
      <c r="BV158" s="3"/>
      <c r="BW158" s="3"/>
      <c r="BX158" s="3"/>
    </row>
    <row r="159" spans="1:76" x14ac:dyDescent="0.35">
      <c r="A159" s="3"/>
      <c r="B159" s="3" t="s">
        <v>436</v>
      </c>
      <c r="C159" s="3" t="s">
        <v>148</v>
      </c>
      <c r="D159" s="3"/>
      <c r="E159" s="3"/>
      <c r="F159" s="3"/>
      <c r="G159" s="3" t="s">
        <v>3635</v>
      </c>
      <c r="H159" s="3"/>
      <c r="I159" s="3" t="b">
        <v>1</v>
      </c>
      <c r="J159" s="3" t="b">
        <v>0</v>
      </c>
      <c r="K159" s="3" t="b">
        <v>0</v>
      </c>
      <c r="L159" s="3" t="b">
        <v>0</v>
      </c>
      <c r="M159" s="3" t="b">
        <v>0</v>
      </c>
      <c r="N159" s="3" t="b">
        <f t="shared" si="0"/>
        <v>0</v>
      </c>
      <c r="O159" s="3" t="b">
        <f t="shared" si="1"/>
        <v>0</v>
      </c>
      <c r="P159" s="3" t="b">
        <f t="shared" si="2"/>
        <v>1</v>
      </c>
      <c r="Q159" s="3" t="b">
        <f t="shared" si="3"/>
        <v>0</v>
      </c>
      <c r="R159" s="3" t="b">
        <f t="shared" si="4"/>
        <v>0</v>
      </c>
      <c r="S159" s="3" t="b">
        <f t="shared" si="5"/>
        <v>0</v>
      </c>
      <c r="U159" s="3" t="s">
        <v>411</v>
      </c>
      <c r="V159" s="3" t="b">
        <v>1</v>
      </c>
      <c r="W159" s="3" t="b">
        <v>1</v>
      </c>
      <c r="X159" s="3" t="b">
        <v>1</v>
      </c>
      <c r="Y159" s="3" t="b">
        <v>1</v>
      </c>
      <c r="Z159" s="3" t="b">
        <v>1</v>
      </c>
      <c r="AA159" s="3"/>
      <c r="AB159" s="3"/>
      <c r="AC159" s="3"/>
      <c r="AD159" s="3"/>
      <c r="AE159" s="3"/>
      <c r="AF159" s="3" t="s">
        <v>438</v>
      </c>
      <c r="AG159" s="3" t="b">
        <v>1</v>
      </c>
      <c r="AH159" s="3" t="b">
        <v>1</v>
      </c>
      <c r="AI159" s="3" t="b">
        <v>1</v>
      </c>
      <c r="AJ159" s="3" t="b">
        <v>1</v>
      </c>
      <c r="AK159" s="3" t="b">
        <v>1</v>
      </c>
      <c r="AL159" s="3"/>
      <c r="AM159" s="3"/>
      <c r="AN159" s="3"/>
      <c r="AO159" s="3"/>
      <c r="AP159" s="3"/>
      <c r="AQ159" s="3" t="s">
        <v>439</v>
      </c>
      <c r="AR159" s="3" t="b">
        <v>1</v>
      </c>
      <c r="AS159" s="3" t="b">
        <v>1</v>
      </c>
      <c r="AT159" s="3" t="b">
        <v>1</v>
      </c>
      <c r="AU159" s="3" t="b">
        <v>0</v>
      </c>
      <c r="AV159" s="3" t="b">
        <v>1</v>
      </c>
      <c r="AW159" s="3" t="b">
        <f t="shared" si="6"/>
        <v>0</v>
      </c>
      <c r="AX159" s="3" t="b">
        <f t="shared" si="7"/>
        <v>0</v>
      </c>
      <c r="AY159" s="3" t="b">
        <f t="shared" si="8"/>
        <v>0</v>
      </c>
      <c r="AZ159" s="3" t="b">
        <f t="shared" si="9"/>
        <v>1</v>
      </c>
      <c r="BA159" s="3" t="b">
        <f t="shared" si="10"/>
        <v>0</v>
      </c>
      <c r="BB159" s="3" t="b">
        <f t="shared" si="11"/>
        <v>0</v>
      </c>
      <c r="BC159" s="3"/>
      <c r="BD159" s="3" t="s">
        <v>439</v>
      </c>
      <c r="BE159" s="3" t="b">
        <v>1</v>
      </c>
      <c r="BF159" s="3" t="b">
        <v>1</v>
      </c>
      <c r="BG159" s="3" t="b">
        <v>1</v>
      </c>
      <c r="BH159" s="3" t="b">
        <v>0</v>
      </c>
      <c r="BI159" s="3" t="b">
        <v>1</v>
      </c>
      <c r="BJ159" s="3"/>
      <c r="BK159" s="3"/>
      <c r="BL159" s="3"/>
      <c r="BM159" s="3"/>
      <c r="BN159" s="3"/>
      <c r="BO159" s="3" t="s">
        <v>440</v>
      </c>
      <c r="BP159" s="3" t="b">
        <v>1</v>
      </c>
      <c r="BQ159" s="3" t="b">
        <v>0</v>
      </c>
      <c r="BR159" s="3" t="b">
        <v>0</v>
      </c>
      <c r="BS159" s="3" t="b">
        <v>0</v>
      </c>
      <c r="BT159" s="3" t="b">
        <v>0</v>
      </c>
      <c r="BU159" s="3"/>
      <c r="BV159" s="3"/>
      <c r="BW159" s="3"/>
      <c r="BX159" s="3"/>
    </row>
    <row r="160" spans="1:76" x14ac:dyDescent="0.35">
      <c r="A160" s="3"/>
      <c r="B160" s="3"/>
      <c r="C160" s="3" t="s">
        <v>182</v>
      </c>
      <c r="D160" s="3"/>
      <c r="E160" s="3"/>
      <c r="F160" s="3"/>
      <c r="G160" s="3" t="s">
        <v>3636</v>
      </c>
      <c r="H160" s="3" t="s">
        <v>442</v>
      </c>
      <c r="I160" s="3" t="b">
        <v>1</v>
      </c>
      <c r="J160" s="3" t="b">
        <v>1</v>
      </c>
      <c r="K160" s="3" t="b">
        <v>1</v>
      </c>
      <c r="L160" s="3" t="b">
        <v>1</v>
      </c>
      <c r="M160" s="3" t="b">
        <v>1</v>
      </c>
      <c r="N160" s="3" t="b">
        <f t="shared" si="0"/>
        <v>1</v>
      </c>
      <c r="O160" s="3" t="b">
        <f t="shared" si="1"/>
        <v>0</v>
      </c>
      <c r="P160" s="3" t="b">
        <f t="shared" si="2"/>
        <v>0</v>
      </c>
      <c r="Q160" s="3" t="b">
        <f t="shared" si="3"/>
        <v>0</v>
      </c>
      <c r="R160" s="3" t="b">
        <f t="shared" si="4"/>
        <v>0</v>
      </c>
      <c r="S160" s="3" t="b">
        <f t="shared" si="5"/>
        <v>0</v>
      </c>
      <c r="U160" s="3" t="s">
        <v>443</v>
      </c>
      <c r="V160" s="3" t="b">
        <v>1</v>
      </c>
      <c r="W160" s="3" t="b">
        <v>0</v>
      </c>
      <c r="X160" s="3" t="b">
        <v>0</v>
      </c>
      <c r="Y160" s="3" t="b">
        <v>1</v>
      </c>
      <c r="Z160" s="3" t="b">
        <v>0</v>
      </c>
      <c r="AA160" s="3"/>
      <c r="AB160" s="3"/>
      <c r="AC160" s="3"/>
      <c r="AD160" s="3"/>
      <c r="AE160" s="3"/>
      <c r="AF160" s="3" t="s">
        <v>444</v>
      </c>
      <c r="AG160" s="3" t="b">
        <v>1</v>
      </c>
      <c r="AH160" s="3" t="b">
        <v>1</v>
      </c>
      <c r="AI160" s="3" t="b">
        <v>1</v>
      </c>
      <c r="AJ160" s="3" t="b">
        <v>1</v>
      </c>
      <c r="AK160" s="3" t="b">
        <v>0</v>
      </c>
      <c r="AL160" s="3"/>
      <c r="AM160" s="3"/>
      <c r="AN160" s="3"/>
      <c r="AO160" s="3"/>
      <c r="AP160" s="3"/>
      <c r="AQ160" s="3" t="s">
        <v>445</v>
      </c>
      <c r="AR160" s="3" t="b">
        <v>1</v>
      </c>
      <c r="AS160" s="3" t="b">
        <v>0</v>
      </c>
      <c r="AT160" s="3" t="b">
        <v>0</v>
      </c>
      <c r="AU160" s="3" t="b">
        <v>1</v>
      </c>
      <c r="AV160" s="3" t="b">
        <v>0</v>
      </c>
      <c r="AW160" s="3" t="b">
        <f t="shared" si="6"/>
        <v>0</v>
      </c>
      <c r="AX160" s="3" t="b">
        <f t="shared" si="7"/>
        <v>0</v>
      </c>
      <c r="AY160" s="3" t="b">
        <f t="shared" si="8"/>
        <v>1</v>
      </c>
      <c r="AZ160" s="3" t="b">
        <f t="shared" si="9"/>
        <v>0</v>
      </c>
      <c r="BA160" s="3" t="b">
        <f t="shared" si="10"/>
        <v>0</v>
      </c>
      <c r="BB160" s="3" t="b">
        <f t="shared" si="11"/>
        <v>0</v>
      </c>
      <c r="BC160" s="3"/>
      <c r="BD160" s="3" t="s">
        <v>445</v>
      </c>
      <c r="BE160" s="3" t="b">
        <v>1</v>
      </c>
      <c r="BF160" s="3" t="b">
        <v>0</v>
      </c>
      <c r="BG160" s="3" t="b">
        <v>0</v>
      </c>
      <c r="BH160" s="3" t="b">
        <v>1</v>
      </c>
      <c r="BI160" s="3" t="b">
        <v>0</v>
      </c>
      <c r="BJ160" s="3"/>
      <c r="BK160" s="3"/>
      <c r="BL160" s="3"/>
      <c r="BM160" s="3"/>
      <c r="BN160" s="3"/>
      <c r="BO160" s="3" t="s">
        <v>445</v>
      </c>
      <c r="BP160" s="3" t="b">
        <v>1</v>
      </c>
      <c r="BQ160" s="3" t="b">
        <v>0</v>
      </c>
      <c r="BR160" s="3" t="b">
        <v>0</v>
      </c>
      <c r="BS160" s="3" t="b">
        <v>1</v>
      </c>
      <c r="BT160" s="3" t="b">
        <v>0</v>
      </c>
      <c r="BU160" s="3"/>
      <c r="BV160" s="3"/>
      <c r="BW160" s="3"/>
      <c r="BX160" s="3"/>
    </row>
    <row r="161" spans="1:76" x14ac:dyDescent="0.35">
      <c r="A161" s="3"/>
      <c r="B161" s="3" t="s">
        <v>446</v>
      </c>
      <c r="C161" s="3"/>
      <c r="D161" s="3" t="s">
        <v>447</v>
      </c>
      <c r="E161" s="3" t="s">
        <v>448</v>
      </c>
      <c r="F161" s="3"/>
      <c r="G161" s="3"/>
      <c r="H161" s="3"/>
      <c r="I161" s="3"/>
      <c r="J161" s="3"/>
      <c r="K161" s="3"/>
      <c r="L161" s="3"/>
      <c r="M161" s="3"/>
      <c r="N161" s="3">
        <f t="shared" si="0"/>
        <v>0</v>
      </c>
      <c r="O161" s="3">
        <f t="shared" si="1"/>
        <v>0</v>
      </c>
      <c r="P161" s="3">
        <f t="shared" si="2"/>
        <v>0</v>
      </c>
      <c r="Q161" s="3">
        <f t="shared" si="3"/>
        <v>0</v>
      </c>
      <c r="R161" s="3">
        <f t="shared" si="4"/>
        <v>0</v>
      </c>
      <c r="S161" s="3">
        <f t="shared" si="5"/>
        <v>0</v>
      </c>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f t="shared" si="6"/>
        <v>0</v>
      </c>
      <c r="AX161" s="3">
        <f t="shared" si="7"/>
        <v>0</v>
      </c>
      <c r="AY161" s="3">
        <f t="shared" si="8"/>
        <v>0</v>
      </c>
      <c r="AZ161" s="3">
        <f t="shared" si="9"/>
        <v>0</v>
      </c>
      <c r="BA161" s="3">
        <f t="shared" si="10"/>
        <v>0</v>
      </c>
      <c r="BB161" s="3">
        <f t="shared" si="11"/>
        <v>0</v>
      </c>
      <c r="BC161" s="3"/>
      <c r="BD161" s="3"/>
      <c r="BE161" s="3"/>
      <c r="BF161" s="3"/>
      <c r="BG161" s="3"/>
      <c r="BH161" s="3"/>
      <c r="BI161" s="3"/>
      <c r="BJ161" s="3"/>
      <c r="BK161" s="3"/>
      <c r="BL161" s="3"/>
      <c r="BM161" s="3"/>
      <c r="BN161" s="3"/>
      <c r="BO161" s="3"/>
      <c r="BP161" s="3"/>
      <c r="BQ161" s="3"/>
      <c r="BR161" s="3"/>
      <c r="BS161" s="3"/>
      <c r="BT161" s="3"/>
      <c r="BU161" s="3"/>
      <c r="BV161" s="3"/>
      <c r="BW161" s="3"/>
      <c r="BX161" s="3"/>
    </row>
    <row r="162" spans="1:76" x14ac:dyDescent="0.35">
      <c r="A162" s="3"/>
      <c r="B162" s="3" t="s">
        <v>188</v>
      </c>
      <c r="C162" s="3"/>
      <c r="D162" s="3"/>
      <c r="E162" s="3"/>
      <c r="F162" s="3"/>
      <c r="G162" s="3"/>
      <c r="H162" s="3"/>
      <c r="I162" s="3"/>
      <c r="J162" s="3"/>
      <c r="K162" s="3"/>
      <c r="L162" s="3"/>
      <c r="M162" s="3"/>
      <c r="N162" s="3">
        <f t="shared" si="0"/>
        <v>0</v>
      </c>
      <c r="O162" s="3">
        <f t="shared" si="1"/>
        <v>0</v>
      </c>
      <c r="P162" s="3">
        <f t="shared" si="2"/>
        <v>0</v>
      </c>
      <c r="Q162" s="3">
        <f t="shared" si="3"/>
        <v>0</v>
      </c>
      <c r="R162" s="3">
        <f t="shared" si="4"/>
        <v>0</v>
      </c>
      <c r="S162" s="3">
        <f t="shared" si="5"/>
        <v>0</v>
      </c>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f t="shared" si="6"/>
        <v>0</v>
      </c>
      <c r="AX162" s="3">
        <f t="shared" si="7"/>
        <v>0</v>
      </c>
      <c r="AY162" s="3">
        <f t="shared" si="8"/>
        <v>0</v>
      </c>
      <c r="AZ162" s="3">
        <f t="shared" si="9"/>
        <v>0</v>
      </c>
      <c r="BA162" s="3">
        <f t="shared" si="10"/>
        <v>0</v>
      </c>
      <c r="BB162" s="3">
        <f t="shared" si="11"/>
        <v>0</v>
      </c>
      <c r="BC162" s="3"/>
      <c r="BD162" s="3"/>
      <c r="BE162" s="3"/>
      <c r="BF162" s="3"/>
      <c r="BG162" s="3"/>
      <c r="BH162" s="3"/>
      <c r="BI162" s="3"/>
      <c r="BJ162" s="3"/>
      <c r="BK162" s="3"/>
      <c r="BL162" s="3"/>
      <c r="BM162" s="3"/>
      <c r="BN162" s="3"/>
      <c r="BO162" s="3"/>
      <c r="BP162" s="3"/>
      <c r="BQ162" s="3"/>
      <c r="BR162" s="3"/>
      <c r="BS162" s="3"/>
      <c r="BT162" s="3"/>
      <c r="BU162" s="3"/>
      <c r="BV162" s="3"/>
      <c r="BW162" s="3"/>
      <c r="BX162" s="3"/>
    </row>
    <row r="163" spans="1:76" x14ac:dyDescent="0.35">
      <c r="A163" s="3"/>
      <c r="B163" s="5" t="s">
        <v>189</v>
      </c>
      <c r="C163" s="5" t="s">
        <v>131</v>
      </c>
      <c r="D163" s="5"/>
      <c r="E163" s="5"/>
      <c r="F163" s="3"/>
      <c r="G163" s="3"/>
      <c r="H163" s="3"/>
      <c r="I163" s="3"/>
      <c r="J163" s="3"/>
      <c r="K163" s="3"/>
      <c r="L163" s="3"/>
      <c r="M163" s="3"/>
      <c r="N163" s="3">
        <f t="shared" si="0"/>
        <v>0</v>
      </c>
      <c r="O163" s="3">
        <f t="shared" si="1"/>
        <v>0</v>
      </c>
      <c r="P163" s="3">
        <f t="shared" si="2"/>
        <v>0</v>
      </c>
      <c r="Q163" s="3">
        <f t="shared" si="3"/>
        <v>0</v>
      </c>
      <c r="R163" s="3">
        <f t="shared" si="4"/>
        <v>0</v>
      </c>
      <c r="S163" s="3">
        <f t="shared" si="5"/>
        <v>0</v>
      </c>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f t="shared" si="6"/>
        <v>0</v>
      </c>
      <c r="AX163" s="3">
        <f t="shared" si="7"/>
        <v>0</v>
      </c>
      <c r="AY163" s="3">
        <f t="shared" si="8"/>
        <v>0</v>
      </c>
      <c r="AZ163" s="3">
        <f t="shared" si="9"/>
        <v>0</v>
      </c>
      <c r="BA163" s="3">
        <f t="shared" si="10"/>
        <v>0</v>
      </c>
      <c r="BB163" s="3">
        <f t="shared" si="11"/>
        <v>0</v>
      </c>
      <c r="BC163" s="3"/>
      <c r="BD163" s="3"/>
      <c r="BE163" s="3"/>
      <c r="BF163" s="3"/>
      <c r="BG163" s="3"/>
      <c r="BH163" s="3"/>
      <c r="BI163" s="3"/>
      <c r="BJ163" s="3"/>
      <c r="BK163" s="3"/>
      <c r="BL163" s="3"/>
      <c r="BM163" s="3"/>
      <c r="BN163" s="3"/>
      <c r="BO163" s="3"/>
      <c r="BP163" s="3"/>
      <c r="BQ163" s="3"/>
      <c r="BR163" s="3"/>
      <c r="BS163" s="3"/>
      <c r="BT163" s="3"/>
      <c r="BU163" s="3"/>
      <c r="BV163" s="3"/>
      <c r="BW163" s="3"/>
      <c r="BX163" s="3"/>
    </row>
    <row r="164" spans="1:76" x14ac:dyDescent="0.35">
      <c r="A164" s="3"/>
      <c r="B164" s="5" t="s">
        <v>190</v>
      </c>
      <c r="C164" s="5" t="s">
        <v>131</v>
      </c>
      <c r="D164" s="5" t="s">
        <v>191</v>
      </c>
      <c r="E164" s="5" t="s">
        <v>192</v>
      </c>
      <c r="F164" s="3"/>
      <c r="G164" s="3"/>
      <c r="H164" s="3"/>
      <c r="I164" s="3"/>
      <c r="J164" s="3"/>
      <c r="K164" s="3"/>
      <c r="L164" s="3"/>
      <c r="M164" s="3"/>
      <c r="N164" s="3">
        <f t="shared" si="0"/>
        <v>0</v>
      </c>
      <c r="O164" s="3">
        <f t="shared" si="1"/>
        <v>0</v>
      </c>
      <c r="P164" s="3">
        <f t="shared" si="2"/>
        <v>0</v>
      </c>
      <c r="Q164" s="3">
        <f t="shared" si="3"/>
        <v>0</v>
      </c>
      <c r="R164" s="3">
        <f t="shared" si="4"/>
        <v>0</v>
      </c>
      <c r="S164" s="3">
        <f t="shared" si="5"/>
        <v>0</v>
      </c>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f t="shared" si="6"/>
        <v>0</v>
      </c>
      <c r="AX164" s="3">
        <f t="shared" si="7"/>
        <v>0</v>
      </c>
      <c r="AY164" s="3">
        <f t="shared" si="8"/>
        <v>0</v>
      </c>
      <c r="AZ164" s="3">
        <f t="shared" si="9"/>
        <v>0</v>
      </c>
      <c r="BA164" s="3">
        <f t="shared" si="10"/>
        <v>0</v>
      </c>
      <c r="BB164" s="3">
        <f t="shared" si="11"/>
        <v>0</v>
      </c>
      <c r="BC164" s="3"/>
      <c r="BD164" s="3"/>
      <c r="BE164" s="3"/>
      <c r="BF164" s="3"/>
      <c r="BG164" s="3"/>
      <c r="BH164" s="3"/>
      <c r="BI164" s="3"/>
      <c r="BJ164" s="3"/>
      <c r="BK164" s="3"/>
      <c r="BL164" s="3"/>
      <c r="BM164" s="3"/>
      <c r="BN164" s="3"/>
      <c r="BO164" s="3"/>
      <c r="BP164" s="3"/>
      <c r="BQ164" s="3"/>
      <c r="BR164" s="3"/>
      <c r="BS164" s="3"/>
      <c r="BT164" s="3"/>
      <c r="BU164" s="3"/>
      <c r="BV164" s="3"/>
      <c r="BW164" s="3"/>
      <c r="BX164" s="3"/>
    </row>
    <row r="165" spans="1:76" x14ac:dyDescent="0.35">
      <c r="A165" s="3"/>
      <c r="B165" s="5"/>
      <c r="C165" s="5"/>
      <c r="D165" s="5" t="s">
        <v>193</v>
      </c>
      <c r="E165" s="5" t="s">
        <v>194</v>
      </c>
      <c r="F165" s="3"/>
      <c r="G165" s="3"/>
      <c r="H165" s="3"/>
      <c r="I165" s="3"/>
      <c r="J165" s="3"/>
      <c r="K165" s="3"/>
      <c r="L165" s="3"/>
      <c r="M165" s="3"/>
      <c r="N165" s="3">
        <f t="shared" si="0"/>
        <v>0</v>
      </c>
      <c r="O165" s="3">
        <f t="shared" si="1"/>
        <v>0</v>
      </c>
      <c r="P165" s="3">
        <f t="shared" si="2"/>
        <v>0</v>
      </c>
      <c r="Q165" s="3">
        <f t="shared" si="3"/>
        <v>0</v>
      </c>
      <c r="R165" s="3">
        <f t="shared" si="4"/>
        <v>0</v>
      </c>
      <c r="S165" s="3">
        <f t="shared" si="5"/>
        <v>0</v>
      </c>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f t="shared" si="6"/>
        <v>0</v>
      </c>
      <c r="AX165" s="3">
        <f t="shared" si="7"/>
        <v>0</v>
      </c>
      <c r="AY165" s="3">
        <f t="shared" si="8"/>
        <v>0</v>
      </c>
      <c r="AZ165" s="3">
        <f t="shared" si="9"/>
        <v>0</v>
      </c>
      <c r="BA165" s="3">
        <f t="shared" si="10"/>
        <v>0</v>
      </c>
      <c r="BB165" s="3">
        <f t="shared" si="11"/>
        <v>0</v>
      </c>
      <c r="BC165" s="3"/>
      <c r="BD165" s="3"/>
      <c r="BE165" s="3"/>
      <c r="BF165" s="3"/>
      <c r="BG165" s="3"/>
      <c r="BH165" s="3"/>
      <c r="BI165" s="3"/>
      <c r="BJ165" s="3"/>
      <c r="BK165" s="3"/>
      <c r="BL165" s="3"/>
      <c r="BM165" s="3"/>
      <c r="BN165" s="3"/>
      <c r="BO165" s="3"/>
      <c r="BP165" s="3"/>
      <c r="BQ165" s="3"/>
      <c r="BR165" s="3"/>
      <c r="BS165" s="3"/>
      <c r="BT165" s="3"/>
      <c r="BU165" s="3"/>
      <c r="BV165" s="3"/>
      <c r="BW165" s="3"/>
      <c r="BX165" s="3"/>
    </row>
    <row r="166" spans="1:76" x14ac:dyDescent="0.35">
      <c r="A166" s="3"/>
      <c r="B166" s="3" t="s">
        <v>195</v>
      </c>
      <c r="C166" s="3" t="s">
        <v>131</v>
      </c>
      <c r="D166" s="3"/>
      <c r="E166" s="3"/>
      <c r="F166" s="3"/>
      <c r="G166" s="3" t="s">
        <v>3637</v>
      </c>
      <c r="H166" s="3" t="s">
        <v>133</v>
      </c>
      <c r="I166" s="3" t="b">
        <v>1</v>
      </c>
      <c r="J166" s="3" t="b">
        <v>1</v>
      </c>
      <c r="K166" s="3" t="b">
        <v>1</v>
      </c>
      <c r="L166" s="3" t="b">
        <v>1</v>
      </c>
      <c r="M166" s="3" t="b">
        <v>1</v>
      </c>
      <c r="N166" s="3" t="b">
        <f t="shared" si="0"/>
        <v>1</v>
      </c>
      <c r="O166" s="3" t="b">
        <f t="shared" si="1"/>
        <v>0</v>
      </c>
      <c r="P166" s="3" t="b">
        <f t="shared" si="2"/>
        <v>0</v>
      </c>
      <c r="Q166" s="3" t="b">
        <f t="shared" si="3"/>
        <v>0</v>
      </c>
      <c r="R166" s="3" t="b">
        <f t="shared" si="4"/>
        <v>0</v>
      </c>
      <c r="S166" s="3" t="b">
        <f t="shared" si="5"/>
        <v>0</v>
      </c>
      <c r="U166" s="3" t="s">
        <v>133</v>
      </c>
      <c r="V166" s="3" t="b">
        <v>1</v>
      </c>
      <c r="W166" s="3" t="b">
        <v>1</v>
      </c>
      <c r="X166" s="3" t="b">
        <v>1</v>
      </c>
      <c r="Y166" s="3" t="b">
        <v>1</v>
      </c>
      <c r="Z166" s="3" t="b">
        <v>1</v>
      </c>
      <c r="AA166" s="3"/>
      <c r="AB166" s="3"/>
      <c r="AC166" s="3"/>
      <c r="AD166" s="3"/>
      <c r="AE166" s="3"/>
      <c r="AF166" s="3" t="s">
        <v>133</v>
      </c>
      <c r="AG166" s="3" t="b">
        <v>1</v>
      </c>
      <c r="AH166" s="3" t="b">
        <v>1</v>
      </c>
      <c r="AI166" s="3" t="b">
        <v>1</v>
      </c>
      <c r="AJ166" s="3" t="b">
        <v>1</v>
      </c>
      <c r="AK166" s="3" t="b">
        <v>1</v>
      </c>
      <c r="AL166" s="3"/>
      <c r="AM166" s="3"/>
      <c r="AN166" s="3"/>
      <c r="AO166" s="3"/>
      <c r="AP166" s="3"/>
      <c r="AQ166" s="3" t="s">
        <v>133</v>
      </c>
      <c r="AR166" s="3" t="b">
        <v>1</v>
      </c>
      <c r="AS166" s="3" t="b">
        <v>1</v>
      </c>
      <c r="AT166" s="3" t="b">
        <v>1</v>
      </c>
      <c r="AU166" s="3" t="b">
        <v>1</v>
      </c>
      <c r="AV166" s="3" t="b">
        <v>1</v>
      </c>
      <c r="AW166" s="3" t="b">
        <f t="shared" si="6"/>
        <v>1</v>
      </c>
      <c r="AX166" s="3" t="b">
        <f t="shared" si="7"/>
        <v>0</v>
      </c>
      <c r="AY166" s="3" t="b">
        <f t="shared" si="8"/>
        <v>0</v>
      </c>
      <c r="AZ166" s="3" t="b">
        <f t="shared" si="9"/>
        <v>0</v>
      </c>
      <c r="BA166" s="3" t="b">
        <f t="shared" si="10"/>
        <v>0</v>
      </c>
      <c r="BB166" s="3" t="b">
        <f t="shared" si="11"/>
        <v>0</v>
      </c>
      <c r="BC166" s="3"/>
      <c r="BD166" s="3" t="s">
        <v>133</v>
      </c>
      <c r="BE166" s="3" t="b">
        <v>1</v>
      </c>
      <c r="BF166" s="3" t="b">
        <v>1</v>
      </c>
      <c r="BG166" s="3" t="b">
        <v>1</v>
      </c>
      <c r="BH166" s="3" t="b">
        <v>1</v>
      </c>
      <c r="BI166" s="3" t="b">
        <v>1</v>
      </c>
      <c r="BJ166" s="3"/>
      <c r="BK166" s="3"/>
      <c r="BL166" s="3"/>
      <c r="BM166" s="3"/>
      <c r="BN166" s="3"/>
      <c r="BO166" s="3" t="s">
        <v>133</v>
      </c>
      <c r="BP166" s="3" t="b">
        <v>1</v>
      </c>
      <c r="BQ166" s="3" t="b">
        <v>1</v>
      </c>
      <c r="BR166" s="3" t="b">
        <v>1</v>
      </c>
      <c r="BS166" s="3" t="b">
        <v>1</v>
      </c>
      <c r="BT166" s="3" t="b">
        <v>1</v>
      </c>
      <c r="BU166" s="3"/>
      <c r="BV166" s="3"/>
      <c r="BW166" s="3"/>
      <c r="BX166" s="3"/>
    </row>
    <row r="167" spans="1:76" x14ac:dyDescent="0.35">
      <c r="A167" s="3"/>
      <c r="B167" s="3"/>
      <c r="C167" s="3" t="s">
        <v>197</v>
      </c>
      <c r="D167" s="3"/>
      <c r="E167" s="3"/>
      <c r="F167" s="3"/>
      <c r="G167" s="3" t="s">
        <v>3638</v>
      </c>
      <c r="H167" s="3" t="s">
        <v>199</v>
      </c>
      <c r="I167" s="3" t="b">
        <v>1</v>
      </c>
      <c r="J167" s="3" t="b">
        <v>1</v>
      </c>
      <c r="K167" s="3" t="b">
        <v>1</v>
      </c>
      <c r="L167" s="3" t="b">
        <v>1</v>
      </c>
      <c r="M167" s="3" t="b">
        <v>1</v>
      </c>
      <c r="N167" s="3" t="b">
        <f t="shared" si="0"/>
        <v>1</v>
      </c>
      <c r="O167" s="3" t="b">
        <f t="shared" si="1"/>
        <v>0</v>
      </c>
      <c r="P167" s="3" t="b">
        <f t="shared" si="2"/>
        <v>0</v>
      </c>
      <c r="Q167" s="3" t="b">
        <f t="shared" si="3"/>
        <v>0</v>
      </c>
      <c r="R167" s="3" t="b">
        <f t="shared" si="4"/>
        <v>0</v>
      </c>
      <c r="S167" s="3" t="b">
        <f t="shared" si="5"/>
        <v>0</v>
      </c>
      <c r="U167" s="3"/>
      <c r="V167" s="3" t="b">
        <v>1</v>
      </c>
      <c r="W167" s="3" t="b">
        <v>0</v>
      </c>
      <c r="X167" s="3" t="b">
        <v>0</v>
      </c>
      <c r="Y167" s="3" t="b">
        <v>0</v>
      </c>
      <c r="Z167" s="3" t="b">
        <v>0</v>
      </c>
      <c r="AA167" s="3"/>
      <c r="AB167" s="3"/>
      <c r="AC167" s="3"/>
      <c r="AD167" s="3"/>
      <c r="AE167" s="3"/>
      <c r="AF167" s="3" t="s">
        <v>199</v>
      </c>
      <c r="AG167" s="3" t="b">
        <v>1</v>
      </c>
      <c r="AH167" s="3" t="b">
        <v>1</v>
      </c>
      <c r="AI167" s="3" t="b">
        <v>1</v>
      </c>
      <c r="AJ167" s="3" t="b">
        <v>1</v>
      </c>
      <c r="AK167" s="3" t="b">
        <v>1</v>
      </c>
      <c r="AL167" s="3"/>
      <c r="AM167" s="3"/>
      <c r="AN167" s="3"/>
      <c r="AO167" s="3"/>
      <c r="AP167" s="3"/>
      <c r="AQ167" s="3" t="s">
        <v>199</v>
      </c>
      <c r="AR167" s="3" t="b">
        <v>1</v>
      </c>
      <c r="AS167" s="3" t="b">
        <v>1</v>
      </c>
      <c r="AT167" s="3" t="b">
        <v>1</v>
      </c>
      <c r="AU167" s="3" t="b">
        <v>1</v>
      </c>
      <c r="AV167" s="3" t="b">
        <v>1</v>
      </c>
      <c r="AW167" s="3" t="b">
        <f t="shared" si="6"/>
        <v>1</v>
      </c>
      <c r="AX167" s="3" t="b">
        <f t="shared" si="7"/>
        <v>0</v>
      </c>
      <c r="AY167" s="3" t="b">
        <f t="shared" si="8"/>
        <v>0</v>
      </c>
      <c r="AZ167" s="3" t="b">
        <f t="shared" si="9"/>
        <v>0</v>
      </c>
      <c r="BA167" s="3" t="b">
        <f t="shared" si="10"/>
        <v>0</v>
      </c>
      <c r="BB167" s="3" t="b">
        <f t="shared" si="11"/>
        <v>0</v>
      </c>
      <c r="BC167" s="3"/>
      <c r="BD167" s="3" t="s">
        <v>199</v>
      </c>
      <c r="BE167" s="3" t="b">
        <v>1</v>
      </c>
      <c r="BF167" s="3" t="b">
        <v>1</v>
      </c>
      <c r="BG167" s="3" t="b">
        <v>1</v>
      </c>
      <c r="BH167" s="3" t="b">
        <v>1</v>
      </c>
      <c r="BI167" s="3" t="b">
        <v>1</v>
      </c>
      <c r="BJ167" s="3"/>
      <c r="BK167" s="3"/>
      <c r="BL167" s="3"/>
      <c r="BM167" s="3"/>
      <c r="BN167" s="3"/>
      <c r="BO167" s="3" t="s">
        <v>199</v>
      </c>
      <c r="BP167" s="3" t="b">
        <v>1</v>
      </c>
      <c r="BQ167" s="3" t="b">
        <v>1</v>
      </c>
      <c r="BR167" s="3" t="b">
        <v>1</v>
      </c>
      <c r="BS167" s="3" t="b">
        <v>1</v>
      </c>
      <c r="BT167" s="3" t="b">
        <v>1</v>
      </c>
      <c r="BU167" s="3"/>
      <c r="BV167" s="3"/>
      <c r="BW167" s="3"/>
      <c r="BX167" s="3"/>
    </row>
    <row r="168" spans="1:76" x14ac:dyDescent="0.35">
      <c r="A168" s="3"/>
      <c r="B168" s="3"/>
      <c r="C168" s="3" t="s">
        <v>200</v>
      </c>
      <c r="D168" s="3"/>
      <c r="E168" s="3"/>
      <c r="F168" s="3"/>
      <c r="G168" s="3" t="s">
        <v>3639</v>
      </c>
      <c r="H168" s="3" t="s">
        <v>451</v>
      </c>
      <c r="I168" s="3" t="b">
        <v>1</v>
      </c>
      <c r="J168" s="3" t="b">
        <v>1</v>
      </c>
      <c r="K168" s="3" t="b">
        <v>1</v>
      </c>
      <c r="L168" s="3" t="b">
        <v>1</v>
      </c>
      <c r="M168" s="3" t="b">
        <v>1</v>
      </c>
      <c r="N168" s="3" t="b">
        <f t="shared" si="0"/>
        <v>1</v>
      </c>
      <c r="O168" s="3" t="b">
        <f t="shared" si="1"/>
        <v>0</v>
      </c>
      <c r="P168" s="3" t="b">
        <f t="shared" si="2"/>
        <v>0</v>
      </c>
      <c r="Q168" s="3" t="b">
        <f t="shared" si="3"/>
        <v>0</v>
      </c>
      <c r="R168" s="3" t="b">
        <f t="shared" si="4"/>
        <v>0</v>
      </c>
      <c r="S168" s="3" t="b">
        <f t="shared" si="5"/>
        <v>0</v>
      </c>
      <c r="U168" s="3" t="s">
        <v>452</v>
      </c>
      <c r="V168" s="3" t="b">
        <v>1</v>
      </c>
      <c r="W168" s="3" t="b">
        <v>1</v>
      </c>
      <c r="X168" s="3" t="b">
        <v>1</v>
      </c>
      <c r="Y168" s="3" t="b">
        <v>1</v>
      </c>
      <c r="Z168" s="3" t="b">
        <v>1</v>
      </c>
      <c r="AA168" s="3"/>
      <c r="AB168" s="3"/>
      <c r="AC168" s="3"/>
      <c r="AD168" s="3"/>
      <c r="AE168" s="3"/>
      <c r="AF168" s="3" t="s">
        <v>452</v>
      </c>
      <c r="AG168" s="3" t="b">
        <v>1</v>
      </c>
      <c r="AH168" s="3" t="b">
        <v>1</v>
      </c>
      <c r="AI168" s="3" t="b">
        <v>1</v>
      </c>
      <c r="AJ168" s="3" t="b">
        <v>1</v>
      </c>
      <c r="AK168" s="3" t="b">
        <v>1</v>
      </c>
      <c r="AL168" s="3"/>
      <c r="AM168" s="3"/>
      <c r="AN168" s="3"/>
      <c r="AO168" s="3"/>
      <c r="AP168" s="3"/>
      <c r="AQ168" s="3" t="s">
        <v>453</v>
      </c>
      <c r="AR168" s="3" t="b">
        <v>1</v>
      </c>
      <c r="AS168" s="3" t="b">
        <v>1</v>
      </c>
      <c r="AT168" s="3" t="b">
        <v>1</v>
      </c>
      <c r="AU168" s="3" t="b">
        <v>1</v>
      </c>
      <c r="AV168" s="3" t="b">
        <v>0</v>
      </c>
      <c r="AW168" s="3" t="b">
        <f t="shared" si="6"/>
        <v>0</v>
      </c>
      <c r="AX168" s="3" t="b">
        <f t="shared" si="7"/>
        <v>1</v>
      </c>
      <c r="AY168" s="3" t="b">
        <f t="shared" si="8"/>
        <v>0</v>
      </c>
      <c r="AZ168" s="3" t="b">
        <f t="shared" si="9"/>
        <v>0</v>
      </c>
      <c r="BA168" s="3" t="b">
        <f t="shared" si="10"/>
        <v>1</v>
      </c>
      <c r="BB168" s="3" t="b">
        <f t="shared" si="11"/>
        <v>0</v>
      </c>
      <c r="BC168" s="3"/>
      <c r="BD168" s="3" t="s">
        <v>454</v>
      </c>
      <c r="BE168" s="3" t="b">
        <v>1</v>
      </c>
      <c r="BF168" s="3" t="b">
        <v>0</v>
      </c>
      <c r="BG168" s="3" t="b">
        <v>0</v>
      </c>
      <c r="BH168" s="3" t="b">
        <v>1</v>
      </c>
      <c r="BI168" s="3" t="b">
        <v>0</v>
      </c>
      <c r="BJ168" s="3"/>
      <c r="BK168" s="3"/>
      <c r="BL168" s="3"/>
      <c r="BM168" s="3"/>
      <c r="BN168" s="3"/>
      <c r="BO168" s="3" t="s">
        <v>454</v>
      </c>
      <c r="BP168" s="3" t="b">
        <v>1</v>
      </c>
      <c r="BQ168" s="3" t="b">
        <v>0</v>
      </c>
      <c r="BR168" s="3" t="b">
        <v>0</v>
      </c>
      <c r="BS168" s="3" t="b">
        <v>1</v>
      </c>
      <c r="BT168" s="3" t="b">
        <v>0</v>
      </c>
      <c r="BU168" s="3"/>
      <c r="BV168" s="3"/>
      <c r="BW168" s="3"/>
      <c r="BX168" s="3"/>
    </row>
    <row r="169" spans="1:76" x14ac:dyDescent="0.35">
      <c r="A169" s="3"/>
      <c r="B169" s="3" t="s">
        <v>206</v>
      </c>
      <c r="C169" s="3" t="s">
        <v>207</v>
      </c>
      <c r="D169" s="3" t="s">
        <v>208</v>
      </c>
      <c r="E169" s="3" t="s">
        <v>209</v>
      </c>
      <c r="F169" s="3"/>
      <c r="G169" s="3" t="s">
        <v>3640</v>
      </c>
      <c r="H169" s="3" t="s">
        <v>210</v>
      </c>
      <c r="I169" s="3" t="b">
        <v>1</v>
      </c>
      <c r="J169" s="3" t="b">
        <v>1</v>
      </c>
      <c r="K169" s="3" t="b">
        <v>0</v>
      </c>
      <c r="L169" s="3" t="b">
        <v>1</v>
      </c>
      <c r="M169" s="3" t="b">
        <v>1</v>
      </c>
      <c r="N169" s="3" t="b">
        <f t="shared" si="0"/>
        <v>0</v>
      </c>
      <c r="O169" s="3" t="b">
        <f t="shared" si="1"/>
        <v>0</v>
      </c>
      <c r="P169" s="3" t="b">
        <f t="shared" si="2"/>
        <v>0</v>
      </c>
      <c r="Q169" s="3" t="b">
        <f t="shared" si="3"/>
        <v>1</v>
      </c>
      <c r="R169" s="3" t="b">
        <f t="shared" si="4"/>
        <v>0</v>
      </c>
      <c r="S169" s="3" t="b">
        <f t="shared" si="5"/>
        <v>1</v>
      </c>
      <c r="U169" s="3" t="s">
        <v>455</v>
      </c>
      <c r="V169" s="3" t="b">
        <v>1</v>
      </c>
      <c r="W169" s="3" t="b">
        <v>1</v>
      </c>
      <c r="X169" s="3" t="b">
        <v>0</v>
      </c>
      <c r="Y169" s="3" t="b">
        <v>1</v>
      </c>
      <c r="Z169" s="3" t="b">
        <v>1</v>
      </c>
      <c r="AA169" s="3"/>
      <c r="AB169" s="3"/>
      <c r="AC169" s="3"/>
      <c r="AD169" s="3"/>
      <c r="AE169" s="3"/>
      <c r="AF169" s="3" t="s">
        <v>210</v>
      </c>
      <c r="AG169" s="3" t="b">
        <v>1</v>
      </c>
      <c r="AH169" s="3" t="b">
        <v>1</v>
      </c>
      <c r="AI169" s="3" t="b">
        <v>0</v>
      </c>
      <c r="AJ169" s="3" t="b">
        <v>1</v>
      </c>
      <c r="AK169" s="3" t="b">
        <v>1</v>
      </c>
      <c r="AL169" s="3"/>
      <c r="AM169" s="3"/>
      <c r="AN169" s="3"/>
      <c r="AO169" s="3"/>
      <c r="AP169" s="3"/>
      <c r="AQ169" s="3" t="s">
        <v>210</v>
      </c>
      <c r="AR169" s="3" t="b">
        <v>1</v>
      </c>
      <c r="AS169" s="3" t="b">
        <v>1</v>
      </c>
      <c r="AT169" s="3" t="b">
        <v>0</v>
      </c>
      <c r="AU169" s="3" t="b">
        <v>1</v>
      </c>
      <c r="AV169" s="3" t="b">
        <v>1</v>
      </c>
      <c r="AW169" s="3" t="b">
        <f t="shared" si="6"/>
        <v>0</v>
      </c>
      <c r="AX169" s="3" t="b">
        <f t="shared" si="7"/>
        <v>0</v>
      </c>
      <c r="AY169" s="3" t="b">
        <f t="shared" si="8"/>
        <v>0</v>
      </c>
      <c r="AZ169" s="3" t="b">
        <f t="shared" si="9"/>
        <v>1</v>
      </c>
      <c r="BA169" s="3" t="b">
        <f t="shared" si="10"/>
        <v>0</v>
      </c>
      <c r="BB169" s="3" t="b">
        <f t="shared" si="11"/>
        <v>1</v>
      </c>
      <c r="BC169" s="3"/>
      <c r="BD169" s="3" t="s">
        <v>210</v>
      </c>
      <c r="BE169" s="3" t="b">
        <v>1</v>
      </c>
      <c r="BF169" s="3" t="b">
        <v>1</v>
      </c>
      <c r="BG169" s="3" t="b">
        <v>0</v>
      </c>
      <c r="BH169" s="3" t="b">
        <v>1</v>
      </c>
      <c r="BI169" s="3" t="b">
        <v>1</v>
      </c>
      <c r="BJ169" s="3"/>
      <c r="BK169" s="3"/>
      <c r="BL169" s="3"/>
      <c r="BM169" s="3"/>
      <c r="BN169" s="3"/>
      <c r="BO169" s="3" t="s">
        <v>210</v>
      </c>
      <c r="BP169" s="3" t="b">
        <v>1</v>
      </c>
      <c r="BQ169" s="3" t="b">
        <v>1</v>
      </c>
      <c r="BR169" s="3" t="b">
        <v>0</v>
      </c>
      <c r="BS169" s="3" t="b">
        <v>1</v>
      </c>
      <c r="BT169" s="3" t="b">
        <v>1</v>
      </c>
      <c r="BU169" s="3"/>
      <c r="BV169" s="3"/>
      <c r="BW169" s="3"/>
      <c r="BX169" s="3"/>
    </row>
    <row r="170" spans="1:76" x14ac:dyDescent="0.35">
      <c r="A170" s="3"/>
      <c r="B170" s="5" t="s">
        <v>456</v>
      </c>
      <c r="C170" s="5" t="s">
        <v>131</v>
      </c>
      <c r="D170" s="3"/>
      <c r="E170" s="3"/>
      <c r="F170" s="3"/>
      <c r="G170" s="3"/>
      <c r="H170" s="3"/>
      <c r="I170" s="3"/>
      <c r="J170" s="3"/>
      <c r="K170" s="3"/>
      <c r="L170" s="3"/>
      <c r="M170" s="3"/>
      <c r="N170" s="3">
        <f t="shared" si="0"/>
        <v>0</v>
      </c>
      <c r="O170" s="3">
        <f t="shared" si="1"/>
        <v>0</v>
      </c>
      <c r="P170" s="3">
        <f t="shared" si="2"/>
        <v>0</v>
      </c>
      <c r="Q170" s="3">
        <f t="shared" si="3"/>
        <v>0</v>
      </c>
      <c r="R170" s="3">
        <f t="shared" si="4"/>
        <v>0</v>
      </c>
      <c r="S170" s="3">
        <f t="shared" si="5"/>
        <v>0</v>
      </c>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f t="shared" si="6"/>
        <v>0</v>
      </c>
      <c r="AX170" s="3">
        <f t="shared" si="7"/>
        <v>0</v>
      </c>
      <c r="AY170" s="3">
        <f t="shared" si="8"/>
        <v>0</v>
      </c>
      <c r="AZ170" s="3">
        <f t="shared" si="9"/>
        <v>0</v>
      </c>
      <c r="BA170" s="3">
        <f t="shared" si="10"/>
        <v>0</v>
      </c>
      <c r="BB170" s="3">
        <f t="shared" si="11"/>
        <v>0</v>
      </c>
      <c r="BC170" s="3"/>
      <c r="BD170" s="3"/>
      <c r="BE170" s="3"/>
      <c r="BF170" s="3"/>
      <c r="BG170" s="3"/>
      <c r="BH170" s="3"/>
      <c r="BI170" s="3"/>
      <c r="BJ170" s="3"/>
      <c r="BK170" s="3"/>
      <c r="BL170" s="3"/>
      <c r="BM170" s="3"/>
      <c r="BN170" s="3"/>
      <c r="BO170" s="3"/>
      <c r="BP170" s="3"/>
      <c r="BQ170" s="3"/>
      <c r="BR170" s="3"/>
      <c r="BS170" s="3"/>
      <c r="BT170" s="3"/>
      <c r="BU170" s="3"/>
      <c r="BV170" s="3"/>
      <c r="BW170" s="3"/>
      <c r="BX170" s="3"/>
    </row>
    <row r="171" spans="1:76" x14ac:dyDescent="0.35">
      <c r="A171" s="3"/>
      <c r="B171" s="3"/>
      <c r="C171" s="3"/>
      <c r="D171" s="3"/>
      <c r="E171" s="3"/>
      <c r="F171" s="3"/>
      <c r="G171" s="3"/>
      <c r="H171" s="3"/>
      <c r="I171" s="3"/>
      <c r="J171" s="3"/>
      <c r="K171" s="3"/>
      <c r="L171" s="3"/>
      <c r="M171" s="3"/>
      <c r="N171" s="3">
        <f t="shared" si="0"/>
        <v>0</v>
      </c>
      <c r="O171" s="3">
        <f t="shared" si="1"/>
        <v>0</v>
      </c>
      <c r="P171" s="3">
        <f t="shared" si="2"/>
        <v>0</v>
      </c>
      <c r="Q171" s="3">
        <f t="shared" si="3"/>
        <v>0</v>
      </c>
      <c r="R171" s="3">
        <f t="shared" si="4"/>
        <v>0</v>
      </c>
      <c r="S171" s="3">
        <f t="shared" si="5"/>
        <v>0</v>
      </c>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f t="shared" si="6"/>
        <v>0</v>
      </c>
      <c r="AX171" s="3">
        <f t="shared" si="7"/>
        <v>0</v>
      </c>
      <c r="AY171" s="3">
        <f t="shared" si="8"/>
        <v>0</v>
      </c>
      <c r="AZ171" s="3">
        <f t="shared" si="9"/>
        <v>0</v>
      </c>
      <c r="BA171" s="3">
        <f t="shared" si="10"/>
        <v>0</v>
      </c>
      <c r="BB171" s="3">
        <f t="shared" si="11"/>
        <v>0</v>
      </c>
      <c r="BC171" s="3"/>
      <c r="BD171" s="3"/>
      <c r="BE171" s="3"/>
      <c r="BF171" s="3"/>
      <c r="BG171" s="3"/>
      <c r="BH171" s="3"/>
      <c r="BI171" s="3"/>
      <c r="BJ171" s="3"/>
      <c r="BK171" s="3"/>
      <c r="BL171" s="3"/>
      <c r="BM171" s="3"/>
      <c r="BN171" s="3"/>
      <c r="BO171" s="3"/>
      <c r="BP171" s="3"/>
      <c r="BQ171" s="3"/>
      <c r="BR171" s="3"/>
      <c r="BS171" s="3"/>
      <c r="BT171" s="3"/>
      <c r="BU171" s="3"/>
      <c r="BV171" s="3"/>
      <c r="BW171" s="3"/>
      <c r="BX171" s="3"/>
    </row>
    <row r="172" spans="1:76" x14ac:dyDescent="0.35">
      <c r="A172" s="3" t="s">
        <v>457</v>
      </c>
      <c r="B172" s="3" t="s">
        <v>458</v>
      </c>
      <c r="C172" s="3" t="s">
        <v>25</v>
      </c>
      <c r="D172" s="3"/>
      <c r="E172" s="3"/>
      <c r="F172" s="3"/>
      <c r="G172" s="3" t="s">
        <v>3641</v>
      </c>
      <c r="H172" s="3" t="s">
        <v>31</v>
      </c>
      <c r="I172" s="3" t="b">
        <v>1</v>
      </c>
      <c r="J172" s="3" t="b">
        <v>1</v>
      </c>
      <c r="K172" s="3" t="b">
        <v>1</v>
      </c>
      <c r="L172" s="3" t="b">
        <v>1</v>
      </c>
      <c r="M172" s="3" t="b">
        <v>1</v>
      </c>
      <c r="N172" s="3" t="b">
        <f t="shared" si="0"/>
        <v>1</v>
      </c>
      <c r="O172" s="3" t="b">
        <f t="shared" si="1"/>
        <v>0</v>
      </c>
      <c r="P172" s="3" t="b">
        <f t="shared" si="2"/>
        <v>0</v>
      </c>
      <c r="Q172" s="3" t="b">
        <f t="shared" si="3"/>
        <v>0</v>
      </c>
      <c r="R172" s="3" t="b">
        <f t="shared" si="4"/>
        <v>0</v>
      </c>
      <c r="S172" s="3" t="b">
        <f t="shared" si="5"/>
        <v>0</v>
      </c>
      <c r="U172" s="3" t="s">
        <v>27</v>
      </c>
      <c r="V172" s="3" t="b">
        <v>1</v>
      </c>
      <c r="W172" s="3" t="b">
        <v>1</v>
      </c>
      <c r="X172" s="3" t="b">
        <v>1</v>
      </c>
      <c r="Y172" s="3" t="b">
        <v>1</v>
      </c>
      <c r="Z172" s="3" t="b">
        <v>1</v>
      </c>
      <c r="AA172" s="3"/>
      <c r="AB172" s="3"/>
      <c r="AC172" s="3"/>
      <c r="AD172" s="3"/>
      <c r="AE172" s="3"/>
      <c r="AF172" s="3" t="s">
        <v>460</v>
      </c>
      <c r="AG172" s="3" t="b">
        <v>1</v>
      </c>
      <c r="AH172" s="3" t="b">
        <v>1</v>
      </c>
      <c r="AI172" s="3" t="b">
        <v>1</v>
      </c>
      <c r="AJ172" s="3" t="b">
        <v>1</v>
      </c>
      <c r="AK172" s="3" t="b">
        <v>1</v>
      </c>
      <c r="AL172" s="3"/>
      <c r="AM172" s="3"/>
      <c r="AN172" s="3"/>
      <c r="AO172" s="3"/>
      <c r="AP172" s="3"/>
      <c r="AQ172" s="3" t="s">
        <v>28</v>
      </c>
      <c r="AR172" s="3" t="b">
        <v>1</v>
      </c>
      <c r="AS172" s="3" t="b">
        <v>1</v>
      </c>
      <c r="AT172" s="3" t="b">
        <v>1</v>
      </c>
      <c r="AU172" s="3" t="b">
        <v>1</v>
      </c>
      <c r="AV172" s="3" t="b">
        <v>1</v>
      </c>
      <c r="AW172" s="3" t="b">
        <f t="shared" si="6"/>
        <v>1</v>
      </c>
      <c r="AX172" s="3" t="b">
        <f t="shared" si="7"/>
        <v>0</v>
      </c>
      <c r="AY172" s="3" t="b">
        <f t="shared" si="8"/>
        <v>0</v>
      </c>
      <c r="AZ172" s="3" t="b">
        <f t="shared" si="9"/>
        <v>0</v>
      </c>
      <c r="BA172" s="3" t="b">
        <f t="shared" si="10"/>
        <v>0</v>
      </c>
      <c r="BB172" s="3" t="b">
        <f t="shared" si="11"/>
        <v>0</v>
      </c>
      <c r="BC172" s="3"/>
      <c r="BD172" s="3" t="s">
        <v>28</v>
      </c>
      <c r="BE172" s="3" t="b">
        <v>1</v>
      </c>
      <c r="BF172" s="3" t="b">
        <v>1</v>
      </c>
      <c r="BG172" s="3" t="b">
        <v>1</v>
      </c>
      <c r="BH172" s="3" t="b">
        <v>1</v>
      </c>
      <c r="BI172" s="3" t="b">
        <v>1</v>
      </c>
      <c r="BJ172" s="3"/>
      <c r="BK172" s="3"/>
      <c r="BL172" s="3"/>
      <c r="BM172" s="3"/>
      <c r="BN172" s="3"/>
      <c r="BO172" s="3" t="s">
        <v>28</v>
      </c>
      <c r="BP172" s="3" t="b">
        <v>1</v>
      </c>
      <c r="BQ172" s="3" t="b">
        <v>1</v>
      </c>
      <c r="BR172" s="3" t="b">
        <v>1</v>
      </c>
      <c r="BS172" s="3" t="b">
        <v>1</v>
      </c>
      <c r="BT172" s="3" t="b">
        <v>1</v>
      </c>
      <c r="BU172" s="3"/>
      <c r="BV172" s="3"/>
      <c r="BW172" s="3"/>
      <c r="BX172" s="3"/>
    </row>
    <row r="173" spans="1:76" x14ac:dyDescent="0.35">
      <c r="A173" s="3"/>
      <c r="B173" s="3"/>
      <c r="C173" s="3" t="s">
        <v>29</v>
      </c>
      <c r="D173" s="3"/>
      <c r="E173" s="3"/>
      <c r="F173" s="3"/>
      <c r="G173" s="3" t="s">
        <v>3642</v>
      </c>
      <c r="H173" s="3" t="s">
        <v>31</v>
      </c>
      <c r="I173" s="3" t="b">
        <v>1</v>
      </c>
      <c r="J173" s="3" t="b">
        <v>1</v>
      </c>
      <c r="K173" s="3" t="b">
        <v>1</v>
      </c>
      <c r="L173" s="3" t="b">
        <v>1</v>
      </c>
      <c r="M173" s="3" t="b">
        <v>1</v>
      </c>
      <c r="N173" s="3" t="b">
        <f t="shared" si="0"/>
        <v>1</v>
      </c>
      <c r="O173" s="3" t="b">
        <f t="shared" si="1"/>
        <v>0</v>
      </c>
      <c r="P173" s="3" t="b">
        <f t="shared" si="2"/>
        <v>0</v>
      </c>
      <c r="Q173" s="3" t="b">
        <f t="shared" si="3"/>
        <v>0</v>
      </c>
      <c r="R173" s="3" t="b">
        <f t="shared" si="4"/>
        <v>0</v>
      </c>
      <c r="S173" s="3" t="b">
        <f t="shared" si="5"/>
        <v>0</v>
      </c>
      <c r="U173" s="3" t="s">
        <v>31</v>
      </c>
      <c r="V173" s="3" t="b">
        <v>1</v>
      </c>
      <c r="W173" s="3" t="b">
        <v>1</v>
      </c>
      <c r="X173" s="3" t="b">
        <v>1</v>
      </c>
      <c r="Y173" s="3" t="b">
        <v>1</v>
      </c>
      <c r="Z173" s="3" t="b">
        <v>1</v>
      </c>
      <c r="AA173" s="3"/>
      <c r="AB173" s="3"/>
      <c r="AC173" s="3"/>
      <c r="AD173" s="3"/>
      <c r="AE173" s="3"/>
      <c r="AF173" s="3" t="s">
        <v>31</v>
      </c>
      <c r="AG173" s="3" t="b">
        <v>1</v>
      </c>
      <c r="AH173" s="3" t="b">
        <v>1</v>
      </c>
      <c r="AI173" s="3" t="b">
        <v>1</v>
      </c>
      <c r="AJ173" s="3" t="b">
        <v>1</v>
      </c>
      <c r="AK173" s="3" t="b">
        <v>1</v>
      </c>
      <c r="AL173" s="3"/>
      <c r="AM173" s="3"/>
      <c r="AN173" s="3"/>
      <c r="AO173" s="3"/>
      <c r="AP173" s="3"/>
      <c r="AQ173" s="3" t="s">
        <v>31</v>
      </c>
      <c r="AR173" s="3" t="b">
        <v>1</v>
      </c>
      <c r="AS173" s="3" t="b">
        <v>1</v>
      </c>
      <c r="AT173" s="3" t="b">
        <v>1</v>
      </c>
      <c r="AU173" s="3" t="b">
        <v>1</v>
      </c>
      <c r="AV173" s="3" t="b">
        <v>1</v>
      </c>
      <c r="AW173" s="3" t="b">
        <f t="shared" si="6"/>
        <v>1</v>
      </c>
      <c r="AX173" s="3" t="b">
        <f t="shared" si="7"/>
        <v>0</v>
      </c>
      <c r="AY173" s="3" t="b">
        <f t="shared" si="8"/>
        <v>0</v>
      </c>
      <c r="AZ173" s="3" t="b">
        <f t="shared" si="9"/>
        <v>0</v>
      </c>
      <c r="BA173" s="3" t="b">
        <f t="shared" si="10"/>
        <v>0</v>
      </c>
      <c r="BB173" s="3" t="b">
        <f t="shared" si="11"/>
        <v>0</v>
      </c>
      <c r="BC173" s="3"/>
      <c r="BD173" s="3" t="s">
        <v>31</v>
      </c>
      <c r="BE173" s="3" t="b">
        <v>1</v>
      </c>
      <c r="BF173" s="3" t="b">
        <v>1</v>
      </c>
      <c r="BG173" s="3" t="b">
        <v>1</v>
      </c>
      <c r="BH173" s="3" t="b">
        <v>1</v>
      </c>
      <c r="BI173" s="3" t="b">
        <v>1</v>
      </c>
      <c r="BJ173" s="3"/>
      <c r="BK173" s="3"/>
      <c r="BL173" s="3"/>
      <c r="BM173" s="3"/>
      <c r="BN173" s="3"/>
      <c r="BO173" s="3" t="s">
        <v>31</v>
      </c>
      <c r="BP173" s="3" t="b">
        <v>1</v>
      </c>
      <c r="BQ173" s="3" t="b">
        <v>1</v>
      </c>
      <c r="BR173" s="3" t="b">
        <v>1</v>
      </c>
      <c r="BS173" s="3" t="b">
        <v>1</v>
      </c>
      <c r="BT173" s="3" t="b">
        <v>1</v>
      </c>
      <c r="BU173" s="3"/>
      <c r="BV173" s="3"/>
      <c r="BW173" s="3"/>
      <c r="BX173" s="3"/>
    </row>
    <row r="174" spans="1:76" x14ac:dyDescent="0.35">
      <c r="A174" s="3"/>
      <c r="B174" s="3" t="s">
        <v>462</v>
      </c>
      <c r="C174" s="3" t="s">
        <v>33</v>
      </c>
      <c r="D174" s="3" t="s">
        <v>34</v>
      </c>
      <c r="E174" s="3" t="s">
        <v>35</v>
      </c>
      <c r="F174" s="3"/>
      <c r="G174" s="3" t="s">
        <v>3643</v>
      </c>
      <c r="H174" s="3" t="s">
        <v>37</v>
      </c>
      <c r="I174" s="3" t="b">
        <v>1</v>
      </c>
      <c r="J174" s="3" t="b">
        <v>1</v>
      </c>
      <c r="K174" s="3" t="b">
        <v>1</v>
      </c>
      <c r="L174" s="3" t="b">
        <v>1</v>
      </c>
      <c r="M174" s="3" t="b">
        <v>1</v>
      </c>
      <c r="N174" s="3" t="b">
        <f t="shared" si="0"/>
        <v>1</v>
      </c>
      <c r="O174" s="3" t="b">
        <f t="shared" si="1"/>
        <v>0</v>
      </c>
      <c r="P174" s="3" t="b">
        <f t="shared" si="2"/>
        <v>0</v>
      </c>
      <c r="Q174" s="3" t="b">
        <f t="shared" si="3"/>
        <v>0</v>
      </c>
      <c r="R174" s="3" t="b">
        <f t="shared" si="4"/>
        <v>0</v>
      </c>
      <c r="S174" s="3" t="b">
        <f t="shared" si="5"/>
        <v>0</v>
      </c>
      <c r="U174" s="3" t="s">
        <v>286</v>
      </c>
      <c r="V174" s="3" t="b">
        <v>1</v>
      </c>
      <c r="W174" s="3" t="b">
        <v>1</v>
      </c>
      <c r="X174" s="3" t="b">
        <v>1</v>
      </c>
      <c r="Y174" s="3" t="b">
        <v>1</v>
      </c>
      <c r="Z174" s="3" t="b">
        <v>1</v>
      </c>
      <c r="AA174" s="3"/>
      <c r="AB174" s="3"/>
      <c r="AC174" s="3"/>
      <c r="AD174" s="3"/>
      <c r="AE174" s="3"/>
      <c r="AF174" s="3" t="s">
        <v>217</v>
      </c>
      <c r="AG174" s="3" t="b">
        <v>1</v>
      </c>
      <c r="AH174" s="3" t="b">
        <v>1</v>
      </c>
      <c r="AI174" s="3" t="b">
        <v>1</v>
      </c>
      <c r="AJ174" s="3" t="b">
        <v>1</v>
      </c>
      <c r="AK174" s="3" t="b">
        <v>1</v>
      </c>
      <c r="AL174" s="3"/>
      <c r="AM174" s="3"/>
      <c r="AN174" s="3"/>
      <c r="AO174" s="3"/>
      <c r="AP174" s="3"/>
      <c r="AQ174" s="3" t="s">
        <v>464</v>
      </c>
      <c r="AR174" s="3" t="b">
        <v>1</v>
      </c>
      <c r="AS174" s="3" t="b">
        <v>1</v>
      </c>
      <c r="AT174" s="3" t="b">
        <v>1</v>
      </c>
      <c r="AU174" s="3" t="b">
        <v>1</v>
      </c>
      <c r="AV174" s="3" t="b">
        <v>1</v>
      </c>
      <c r="AW174" s="3" t="b">
        <f t="shared" si="6"/>
        <v>1</v>
      </c>
      <c r="AX174" s="3" t="b">
        <f t="shared" si="7"/>
        <v>0</v>
      </c>
      <c r="AY174" s="3" t="b">
        <f t="shared" si="8"/>
        <v>0</v>
      </c>
      <c r="AZ174" s="3" t="b">
        <f t="shared" si="9"/>
        <v>0</v>
      </c>
      <c r="BA174" s="3" t="b">
        <f t="shared" si="10"/>
        <v>0</v>
      </c>
      <c r="BB174" s="3" t="b">
        <f t="shared" si="11"/>
        <v>0</v>
      </c>
      <c r="BC174" s="3"/>
      <c r="BD174" s="3" t="s">
        <v>37</v>
      </c>
      <c r="BE174" s="3" t="b">
        <v>1</v>
      </c>
      <c r="BF174" s="3" t="b">
        <v>1</v>
      </c>
      <c r="BG174" s="3" t="b">
        <v>1</v>
      </c>
      <c r="BH174" s="3" t="b">
        <v>1</v>
      </c>
      <c r="BI174" s="3" t="b">
        <v>1</v>
      </c>
      <c r="BJ174" s="3"/>
      <c r="BK174" s="3"/>
      <c r="BL174" s="3"/>
      <c r="BM174" s="3"/>
      <c r="BN174" s="3"/>
      <c r="BO174" s="3" t="s">
        <v>37</v>
      </c>
      <c r="BP174" s="3" t="b">
        <v>1</v>
      </c>
      <c r="BQ174" s="3" t="b">
        <v>1</v>
      </c>
      <c r="BR174" s="3" t="b">
        <v>1</v>
      </c>
      <c r="BS174" s="3" t="b">
        <v>1</v>
      </c>
      <c r="BT174" s="3" t="b">
        <v>1</v>
      </c>
      <c r="BU174" s="3"/>
      <c r="BV174" s="3"/>
      <c r="BW174" s="3"/>
      <c r="BX174" s="3"/>
    </row>
    <row r="175" spans="1:76" x14ac:dyDescent="0.35">
      <c r="A175" s="3"/>
      <c r="B175" s="3"/>
      <c r="C175" s="3" t="s">
        <v>287</v>
      </c>
      <c r="D175" s="3"/>
      <c r="E175" s="3"/>
      <c r="F175" s="3"/>
      <c r="G175" s="3" t="s">
        <v>3644</v>
      </c>
      <c r="H175" s="3" t="s">
        <v>465</v>
      </c>
      <c r="I175" s="3" t="b">
        <v>1</v>
      </c>
      <c r="J175" s="3" t="b">
        <v>1</v>
      </c>
      <c r="K175" s="3" t="b">
        <v>1</v>
      </c>
      <c r="L175" s="3" t="b">
        <v>1</v>
      </c>
      <c r="M175" s="3" t="b">
        <v>0</v>
      </c>
      <c r="N175" s="3" t="b">
        <f t="shared" si="0"/>
        <v>0</v>
      </c>
      <c r="O175" s="3" t="b">
        <f t="shared" si="1"/>
        <v>1</v>
      </c>
      <c r="P175" s="3" t="b">
        <f t="shared" si="2"/>
        <v>0</v>
      </c>
      <c r="Q175" s="3" t="b">
        <f t="shared" si="3"/>
        <v>0</v>
      </c>
      <c r="R175" s="3" t="b">
        <f t="shared" si="4"/>
        <v>1</v>
      </c>
      <c r="S175" s="3" t="b">
        <f t="shared" si="5"/>
        <v>0</v>
      </c>
      <c r="U175" s="3" t="s">
        <v>466</v>
      </c>
      <c r="V175" s="3" t="b">
        <v>1</v>
      </c>
      <c r="W175" s="3" t="b">
        <v>1</v>
      </c>
      <c r="X175" s="3" t="b">
        <v>1</v>
      </c>
      <c r="Y175" s="3" t="b">
        <v>1</v>
      </c>
      <c r="Z175" s="3" t="b">
        <v>0</v>
      </c>
      <c r="AA175" s="3"/>
      <c r="AB175" s="3"/>
      <c r="AC175" s="3"/>
      <c r="AD175" s="3"/>
      <c r="AE175" s="3"/>
      <c r="AF175" s="3" t="s">
        <v>467</v>
      </c>
      <c r="AG175" s="3" t="b">
        <v>1</v>
      </c>
      <c r="AH175" s="3" t="b">
        <v>1</v>
      </c>
      <c r="AI175" s="3" t="b">
        <v>1</v>
      </c>
      <c r="AJ175" s="3" t="b">
        <v>1</v>
      </c>
      <c r="AK175" s="3" t="b">
        <v>0</v>
      </c>
      <c r="AL175" s="3"/>
      <c r="AM175" s="3"/>
      <c r="AN175" s="3"/>
      <c r="AO175" s="3"/>
      <c r="AP175" s="3"/>
      <c r="AQ175" s="3" t="s">
        <v>468</v>
      </c>
      <c r="AR175" s="3" t="b">
        <v>1</v>
      </c>
      <c r="AS175" s="3" t="b">
        <v>0</v>
      </c>
      <c r="AT175" s="3" t="b">
        <v>0</v>
      </c>
      <c r="AU175" s="3" t="b">
        <v>0</v>
      </c>
      <c r="AV175" s="3" t="b">
        <v>0</v>
      </c>
      <c r="AW175" s="3" t="b">
        <f t="shared" si="6"/>
        <v>0</v>
      </c>
      <c r="AX175" s="3" t="b">
        <f t="shared" si="7"/>
        <v>0</v>
      </c>
      <c r="AY175" s="3" t="b">
        <f t="shared" si="8"/>
        <v>1</v>
      </c>
      <c r="AZ175" s="3" t="b">
        <f t="shared" si="9"/>
        <v>0</v>
      </c>
      <c r="BA175" s="3" t="b">
        <f t="shared" si="10"/>
        <v>0</v>
      </c>
      <c r="BB175" s="3" t="b">
        <f t="shared" si="11"/>
        <v>0</v>
      </c>
      <c r="BC175" s="3"/>
      <c r="BD175" s="3" t="s">
        <v>469</v>
      </c>
      <c r="BE175" s="3" t="b">
        <v>1</v>
      </c>
      <c r="BF175" s="3" t="b">
        <v>1</v>
      </c>
      <c r="BG175" s="3" t="b">
        <v>1</v>
      </c>
      <c r="BH175" s="3" t="b">
        <v>0</v>
      </c>
      <c r="BI175" s="3" t="b">
        <v>0</v>
      </c>
      <c r="BJ175" s="3"/>
      <c r="BK175" s="3"/>
      <c r="BL175" s="3"/>
      <c r="BM175" s="3"/>
      <c r="BN175" s="3"/>
      <c r="BO175" s="3" t="s">
        <v>470</v>
      </c>
      <c r="BP175" s="3" t="b">
        <v>1</v>
      </c>
      <c r="BQ175" s="3" t="b">
        <v>1</v>
      </c>
      <c r="BR175" s="3" t="b">
        <v>1</v>
      </c>
      <c r="BS175" s="3" t="b">
        <v>0</v>
      </c>
      <c r="BT175" s="3" t="b">
        <v>0</v>
      </c>
      <c r="BU175" s="3"/>
      <c r="BV175" s="3"/>
      <c r="BW175" s="3"/>
      <c r="BX175" s="3"/>
    </row>
    <row r="176" spans="1:76" x14ac:dyDescent="0.35">
      <c r="A176" s="3"/>
      <c r="B176" s="3"/>
      <c r="C176" s="3" t="s">
        <v>43</v>
      </c>
      <c r="D176" s="3"/>
      <c r="E176" s="3"/>
      <c r="F176" s="3"/>
      <c r="G176" s="3" t="s">
        <v>3645</v>
      </c>
      <c r="H176" s="3" t="s">
        <v>45</v>
      </c>
      <c r="I176" s="3" t="b">
        <v>1</v>
      </c>
      <c r="J176" s="3" t="b">
        <v>1</v>
      </c>
      <c r="K176" s="3" t="b">
        <v>1</v>
      </c>
      <c r="L176" s="3" t="b">
        <v>1</v>
      </c>
      <c r="M176" s="3" t="b">
        <v>1</v>
      </c>
      <c r="N176" s="3" t="b">
        <f t="shared" si="0"/>
        <v>1</v>
      </c>
      <c r="O176" s="3" t="b">
        <f t="shared" si="1"/>
        <v>0</v>
      </c>
      <c r="P176" s="3" t="b">
        <f t="shared" si="2"/>
        <v>0</v>
      </c>
      <c r="Q176" s="3" t="b">
        <f t="shared" si="3"/>
        <v>0</v>
      </c>
      <c r="R176" s="3" t="b">
        <f t="shared" si="4"/>
        <v>0</v>
      </c>
      <c r="S176" s="3" t="b">
        <f t="shared" si="5"/>
        <v>0</v>
      </c>
      <c r="U176" s="3" t="s">
        <v>472</v>
      </c>
      <c r="V176" s="3" t="b">
        <v>1</v>
      </c>
      <c r="W176" s="3" t="b">
        <v>0</v>
      </c>
      <c r="X176" s="3" t="b">
        <v>0</v>
      </c>
      <c r="Y176" s="3" t="b">
        <v>0</v>
      </c>
      <c r="Z176" s="3" t="b">
        <v>0</v>
      </c>
      <c r="AA176" s="3"/>
      <c r="AB176" s="3"/>
      <c r="AC176" s="3"/>
      <c r="AD176" s="3"/>
      <c r="AE176" s="3"/>
      <c r="AF176" s="3" t="s">
        <v>45</v>
      </c>
      <c r="AG176" s="3" t="b">
        <v>1</v>
      </c>
      <c r="AH176" s="3" t="b">
        <v>1</v>
      </c>
      <c r="AI176" s="3" t="b">
        <v>1</v>
      </c>
      <c r="AJ176" s="3" t="b">
        <v>1</v>
      </c>
      <c r="AK176" s="3" t="b">
        <v>1</v>
      </c>
      <c r="AL176" s="3"/>
      <c r="AM176" s="3"/>
      <c r="AN176" s="3"/>
      <c r="AO176" s="3"/>
      <c r="AP176" s="3"/>
      <c r="AQ176" s="3" t="s">
        <v>473</v>
      </c>
      <c r="AR176" s="3" t="b">
        <v>1</v>
      </c>
      <c r="AS176" s="3" t="b">
        <v>1</v>
      </c>
      <c r="AT176" s="3" t="b">
        <v>1</v>
      </c>
      <c r="AU176" s="3" t="b">
        <v>0</v>
      </c>
      <c r="AV176" s="3" t="b">
        <v>1</v>
      </c>
      <c r="AW176" s="3" t="b">
        <f t="shared" si="6"/>
        <v>0</v>
      </c>
      <c r="AX176" s="3" t="b">
        <f t="shared" si="7"/>
        <v>0</v>
      </c>
      <c r="AY176" s="3" t="b">
        <f t="shared" si="8"/>
        <v>0</v>
      </c>
      <c r="AZ176" s="3" t="b">
        <f t="shared" si="9"/>
        <v>1</v>
      </c>
      <c r="BA176" s="3" t="b">
        <f t="shared" si="10"/>
        <v>0</v>
      </c>
      <c r="BB176" s="3" t="b">
        <f t="shared" si="11"/>
        <v>0</v>
      </c>
      <c r="BC176" s="3"/>
      <c r="BD176" s="3" t="s">
        <v>474</v>
      </c>
      <c r="BE176" s="3" t="b">
        <v>1</v>
      </c>
      <c r="BF176" s="3" t="b">
        <v>1</v>
      </c>
      <c r="BG176" s="3" t="b">
        <v>1</v>
      </c>
      <c r="BH176" s="3" t="b">
        <v>1</v>
      </c>
      <c r="BI176" s="3" t="b">
        <v>1</v>
      </c>
      <c r="BJ176" s="3"/>
      <c r="BK176" s="3"/>
      <c r="BL176" s="3"/>
      <c r="BM176" s="3"/>
      <c r="BN176" s="3"/>
      <c r="BO176" s="3" t="s">
        <v>475</v>
      </c>
      <c r="BP176" s="3" t="b">
        <v>1</v>
      </c>
      <c r="BQ176" s="3" t="b">
        <v>1</v>
      </c>
      <c r="BR176" s="3" t="b">
        <v>1</v>
      </c>
      <c r="BS176" s="3" t="b">
        <v>1</v>
      </c>
      <c r="BT176" s="3" t="b">
        <v>1</v>
      </c>
      <c r="BU176" s="3"/>
      <c r="BV176" s="3"/>
      <c r="BW176" s="3"/>
      <c r="BX176" s="3"/>
    </row>
    <row r="177" spans="1:76" x14ac:dyDescent="0.35">
      <c r="A177" s="3"/>
      <c r="B177" s="3" t="s">
        <v>60</v>
      </c>
      <c r="C177" s="3" t="s">
        <v>61</v>
      </c>
      <c r="D177" s="3"/>
      <c r="E177" s="3"/>
      <c r="F177" s="3"/>
      <c r="G177" s="3" t="s">
        <v>3646</v>
      </c>
      <c r="H177" s="3" t="s">
        <v>63</v>
      </c>
      <c r="I177" s="3" t="b">
        <v>1</v>
      </c>
      <c r="J177" s="3" t="b">
        <v>1</v>
      </c>
      <c r="K177" s="3" t="b">
        <v>1</v>
      </c>
      <c r="L177" s="3" t="b">
        <v>1</v>
      </c>
      <c r="M177" s="3" t="b">
        <v>1</v>
      </c>
      <c r="N177" s="3" t="b">
        <f t="shared" si="0"/>
        <v>1</v>
      </c>
      <c r="O177" s="3" t="b">
        <f t="shared" si="1"/>
        <v>0</v>
      </c>
      <c r="P177" s="3" t="b">
        <f t="shared" si="2"/>
        <v>0</v>
      </c>
      <c r="Q177" s="3" t="b">
        <f t="shared" si="3"/>
        <v>0</v>
      </c>
      <c r="R177" s="3" t="b">
        <f t="shared" si="4"/>
        <v>0</v>
      </c>
      <c r="S177" s="3" t="b">
        <f t="shared" si="5"/>
        <v>0</v>
      </c>
      <c r="U177" s="3" t="s">
        <v>63</v>
      </c>
      <c r="V177" s="3" t="b">
        <v>1</v>
      </c>
      <c r="W177" s="3" t="b">
        <v>1</v>
      </c>
      <c r="X177" s="3" t="b">
        <v>1</v>
      </c>
      <c r="Y177" s="3" t="b">
        <v>1</v>
      </c>
      <c r="Z177" s="3" t="b">
        <v>1</v>
      </c>
      <c r="AA177" s="3"/>
      <c r="AB177" s="3"/>
      <c r="AC177" s="3"/>
      <c r="AD177" s="3"/>
      <c r="AE177" s="3"/>
      <c r="AF177" s="3" t="s">
        <v>63</v>
      </c>
      <c r="AG177" s="3" t="b">
        <v>1</v>
      </c>
      <c r="AH177" s="3" t="b">
        <v>1</v>
      </c>
      <c r="AI177" s="3" t="b">
        <v>1</v>
      </c>
      <c r="AJ177" s="3" t="b">
        <v>1</v>
      </c>
      <c r="AK177" s="3" t="b">
        <v>1</v>
      </c>
      <c r="AL177" s="3"/>
      <c r="AM177" s="3"/>
      <c r="AN177" s="3"/>
      <c r="AO177" s="3"/>
      <c r="AP177" s="3"/>
      <c r="AQ177" s="3" t="s">
        <v>63</v>
      </c>
      <c r="AR177" s="3" t="b">
        <v>1</v>
      </c>
      <c r="AS177" s="3" t="b">
        <v>1</v>
      </c>
      <c r="AT177" s="3" t="b">
        <v>1</v>
      </c>
      <c r="AU177" s="3" t="b">
        <v>1</v>
      </c>
      <c r="AV177" s="3" t="b">
        <v>1</v>
      </c>
      <c r="AW177" s="3" t="b">
        <f t="shared" si="6"/>
        <v>1</v>
      </c>
      <c r="AX177" s="3" t="b">
        <f t="shared" si="7"/>
        <v>0</v>
      </c>
      <c r="AY177" s="3" t="b">
        <f t="shared" si="8"/>
        <v>0</v>
      </c>
      <c r="AZ177" s="3" t="b">
        <f t="shared" si="9"/>
        <v>0</v>
      </c>
      <c r="BA177" s="3" t="b">
        <f t="shared" si="10"/>
        <v>0</v>
      </c>
      <c r="BB177" s="3" t="b">
        <f t="shared" si="11"/>
        <v>0</v>
      </c>
      <c r="BC177" s="3"/>
      <c r="BD177" s="3" t="s">
        <v>63</v>
      </c>
      <c r="BE177" s="3" t="b">
        <v>1</v>
      </c>
      <c r="BF177" s="3" t="b">
        <v>1</v>
      </c>
      <c r="BG177" s="3" t="b">
        <v>1</v>
      </c>
      <c r="BH177" s="3" t="b">
        <v>1</v>
      </c>
      <c r="BI177" s="3" t="b">
        <v>1</v>
      </c>
      <c r="BJ177" s="3"/>
      <c r="BK177" s="3"/>
      <c r="BL177" s="3"/>
      <c r="BM177" s="3"/>
      <c r="BN177" s="3"/>
      <c r="BO177" s="3" t="s">
        <v>63</v>
      </c>
      <c r="BP177" s="3" t="b">
        <v>1</v>
      </c>
      <c r="BQ177" s="3" t="b">
        <v>1</v>
      </c>
      <c r="BR177" s="3" t="b">
        <v>1</v>
      </c>
      <c r="BS177" s="3" t="b">
        <v>1</v>
      </c>
      <c r="BT177" s="3" t="b">
        <v>1</v>
      </c>
      <c r="BU177" s="3"/>
      <c r="BV177" s="3"/>
      <c r="BW177" s="3"/>
      <c r="BX177" s="3"/>
    </row>
    <row r="178" spans="1:76" x14ac:dyDescent="0.35">
      <c r="A178" s="3"/>
      <c r="B178" s="3"/>
      <c r="C178" s="3" t="s">
        <v>68</v>
      </c>
      <c r="D178" s="3"/>
      <c r="E178" s="3"/>
      <c r="F178" s="3"/>
      <c r="G178" s="3" t="s">
        <v>3647</v>
      </c>
      <c r="H178" s="3" t="s">
        <v>477</v>
      </c>
      <c r="I178" s="3" t="b">
        <v>1</v>
      </c>
      <c r="J178" s="3" t="b">
        <v>1</v>
      </c>
      <c r="K178" s="3" t="b">
        <v>1</v>
      </c>
      <c r="L178" s="3" t="b">
        <v>1</v>
      </c>
      <c r="M178" s="3" t="b">
        <v>1</v>
      </c>
      <c r="N178" s="3" t="b">
        <f t="shared" si="0"/>
        <v>1</v>
      </c>
      <c r="O178" s="3" t="b">
        <f t="shared" si="1"/>
        <v>0</v>
      </c>
      <c r="P178" s="3" t="b">
        <f t="shared" si="2"/>
        <v>0</v>
      </c>
      <c r="Q178" s="3" t="b">
        <f t="shared" si="3"/>
        <v>0</v>
      </c>
      <c r="R178" s="3" t="b">
        <f t="shared" si="4"/>
        <v>0</v>
      </c>
      <c r="S178" s="3" t="b">
        <f t="shared" si="5"/>
        <v>0</v>
      </c>
      <c r="U178" s="3" t="s">
        <v>478</v>
      </c>
      <c r="V178" s="3" t="b">
        <v>1</v>
      </c>
      <c r="W178" s="3" t="b">
        <v>0</v>
      </c>
      <c r="X178" s="3" t="b">
        <v>0</v>
      </c>
      <c r="Y178" s="3" t="b">
        <v>1</v>
      </c>
      <c r="Z178" s="3" t="b">
        <v>0</v>
      </c>
      <c r="AA178" s="3"/>
      <c r="AB178" s="3"/>
      <c r="AC178" s="3"/>
      <c r="AD178" s="3"/>
      <c r="AE178" s="3"/>
      <c r="AF178" s="3" t="s">
        <v>477</v>
      </c>
      <c r="AG178" s="3" t="b">
        <v>1</v>
      </c>
      <c r="AH178" s="3" t="b">
        <v>1</v>
      </c>
      <c r="AI178" s="3" t="b">
        <v>1</v>
      </c>
      <c r="AJ178" s="3" t="b">
        <v>1</v>
      </c>
      <c r="AK178" s="3" t="b">
        <v>1</v>
      </c>
      <c r="AL178" s="3"/>
      <c r="AM178" s="3"/>
      <c r="AN178" s="3"/>
      <c r="AO178" s="3"/>
      <c r="AP178" s="3"/>
      <c r="AQ178" s="3" t="s">
        <v>479</v>
      </c>
      <c r="AR178" s="3" t="b">
        <v>1</v>
      </c>
      <c r="AS178" s="3" t="b">
        <v>1</v>
      </c>
      <c r="AT178" s="3" t="b">
        <v>1</v>
      </c>
      <c r="AU178" s="3" t="b">
        <v>1</v>
      </c>
      <c r="AV178" s="3" t="b">
        <v>1</v>
      </c>
      <c r="AW178" s="3" t="b">
        <f t="shared" si="6"/>
        <v>1</v>
      </c>
      <c r="AX178" s="3" t="b">
        <f t="shared" si="7"/>
        <v>0</v>
      </c>
      <c r="AY178" s="3" t="b">
        <f t="shared" si="8"/>
        <v>0</v>
      </c>
      <c r="AZ178" s="3" t="b">
        <f t="shared" si="9"/>
        <v>0</v>
      </c>
      <c r="BA178" s="3" t="b">
        <f t="shared" si="10"/>
        <v>0</v>
      </c>
      <c r="BB178" s="3" t="b">
        <f t="shared" si="11"/>
        <v>0</v>
      </c>
      <c r="BC178" s="3"/>
      <c r="BD178" s="3" t="s">
        <v>480</v>
      </c>
      <c r="BE178" s="3" t="b">
        <v>1</v>
      </c>
      <c r="BF178" s="3" t="b">
        <v>0</v>
      </c>
      <c r="BG178" s="3" t="b">
        <v>0</v>
      </c>
      <c r="BH178" s="3" t="b">
        <v>1</v>
      </c>
      <c r="BI178" s="3" t="b">
        <v>0</v>
      </c>
      <c r="BJ178" s="3"/>
      <c r="BK178" s="3"/>
      <c r="BL178" s="3"/>
      <c r="BM178" s="3"/>
      <c r="BN178" s="3"/>
      <c r="BO178" s="3" t="s">
        <v>480</v>
      </c>
      <c r="BP178" s="3" t="b">
        <v>1</v>
      </c>
      <c r="BQ178" s="3" t="b">
        <v>0</v>
      </c>
      <c r="BR178" s="3" t="b">
        <v>0</v>
      </c>
      <c r="BS178" s="3" t="b">
        <v>1</v>
      </c>
      <c r="BT178" s="3" t="b">
        <v>0</v>
      </c>
      <c r="BU178" s="3"/>
      <c r="BV178" s="3"/>
      <c r="BW178" s="3"/>
      <c r="BX178" s="3"/>
    </row>
    <row r="179" spans="1:76" x14ac:dyDescent="0.35">
      <c r="A179" s="3"/>
      <c r="B179" s="3"/>
      <c r="C179" s="3" t="s">
        <v>64</v>
      </c>
      <c r="D179" s="3"/>
      <c r="E179" s="3"/>
      <c r="F179" s="3"/>
      <c r="G179" s="3" t="s">
        <v>3648</v>
      </c>
      <c r="H179" s="3" t="s">
        <v>66</v>
      </c>
      <c r="I179" s="3" t="b">
        <v>1</v>
      </c>
      <c r="J179" s="3" t="b">
        <v>1</v>
      </c>
      <c r="K179" s="3" t="b">
        <v>1</v>
      </c>
      <c r="L179" s="3" t="b">
        <v>1</v>
      </c>
      <c r="M179" s="3" t="b">
        <v>1</v>
      </c>
      <c r="N179" s="3" t="b">
        <f t="shared" si="0"/>
        <v>1</v>
      </c>
      <c r="O179" s="3" t="b">
        <f t="shared" si="1"/>
        <v>0</v>
      </c>
      <c r="P179" s="3" t="b">
        <f t="shared" si="2"/>
        <v>0</v>
      </c>
      <c r="Q179" s="3" t="b">
        <f t="shared" si="3"/>
        <v>0</v>
      </c>
      <c r="R179" s="3" t="b">
        <f t="shared" si="4"/>
        <v>0</v>
      </c>
      <c r="S179" s="3" t="b">
        <f t="shared" si="5"/>
        <v>0</v>
      </c>
      <c r="U179" s="3" t="s">
        <v>67</v>
      </c>
      <c r="V179" s="3" t="b">
        <v>1</v>
      </c>
      <c r="W179" s="3" t="b">
        <v>1</v>
      </c>
      <c r="X179" s="3" t="b">
        <v>1</v>
      </c>
      <c r="Y179" s="3" t="b">
        <v>1</v>
      </c>
      <c r="Z179" s="3" t="b">
        <v>1</v>
      </c>
      <c r="AA179" s="3"/>
      <c r="AB179" s="3"/>
      <c r="AC179" s="3"/>
      <c r="AD179" s="3"/>
      <c r="AE179" s="3"/>
      <c r="AF179" s="3" t="s">
        <v>67</v>
      </c>
      <c r="AG179" s="3" t="b">
        <v>1</v>
      </c>
      <c r="AH179" s="3" t="b">
        <v>1</v>
      </c>
      <c r="AI179" s="3" t="b">
        <v>1</v>
      </c>
      <c r="AJ179" s="3" t="b">
        <v>1</v>
      </c>
      <c r="AK179" s="3" t="b">
        <v>1</v>
      </c>
      <c r="AL179" s="3"/>
      <c r="AM179" s="3"/>
      <c r="AN179" s="3"/>
      <c r="AO179" s="3"/>
      <c r="AP179" s="3"/>
      <c r="AQ179" s="3" t="s">
        <v>66</v>
      </c>
      <c r="AR179" s="3" t="b">
        <v>1</v>
      </c>
      <c r="AS179" s="3" t="b">
        <v>1</v>
      </c>
      <c r="AT179" s="3" t="b">
        <v>1</v>
      </c>
      <c r="AU179" s="3" t="b">
        <v>1</v>
      </c>
      <c r="AV179" s="3" t="b">
        <v>1</v>
      </c>
      <c r="AW179" s="3" t="b">
        <f t="shared" si="6"/>
        <v>1</v>
      </c>
      <c r="AX179" s="3" t="b">
        <f t="shared" si="7"/>
        <v>0</v>
      </c>
      <c r="AY179" s="3" t="b">
        <f t="shared" si="8"/>
        <v>0</v>
      </c>
      <c r="AZ179" s="3" t="b">
        <f t="shared" si="9"/>
        <v>0</v>
      </c>
      <c r="BA179" s="3" t="b">
        <f t="shared" si="10"/>
        <v>0</v>
      </c>
      <c r="BB179" s="3" t="b">
        <f t="shared" si="11"/>
        <v>0</v>
      </c>
      <c r="BC179" s="3"/>
      <c r="BD179" s="3" t="s">
        <v>66</v>
      </c>
      <c r="BE179" s="3" t="b">
        <v>1</v>
      </c>
      <c r="BF179" s="3" t="b">
        <v>1</v>
      </c>
      <c r="BG179" s="3" t="b">
        <v>1</v>
      </c>
      <c r="BH179" s="3" t="b">
        <v>1</v>
      </c>
      <c r="BI179" s="3" t="b">
        <v>1</v>
      </c>
      <c r="BJ179" s="3"/>
      <c r="BK179" s="3"/>
      <c r="BL179" s="3"/>
      <c r="BM179" s="3"/>
      <c r="BN179" s="3"/>
      <c r="BO179" s="3" t="s">
        <v>66</v>
      </c>
      <c r="BP179" s="3" t="b">
        <v>1</v>
      </c>
      <c r="BQ179" s="3" t="b">
        <v>1</v>
      </c>
      <c r="BR179" s="3" t="b">
        <v>1</v>
      </c>
      <c r="BS179" s="3" t="b">
        <v>1</v>
      </c>
      <c r="BT179" s="3" t="b">
        <v>1</v>
      </c>
      <c r="BU179" s="3"/>
      <c r="BV179" s="3"/>
      <c r="BW179" s="3"/>
      <c r="BX179" s="3"/>
    </row>
    <row r="180" spans="1:76" x14ac:dyDescent="0.35">
      <c r="A180" s="3"/>
      <c r="B180" s="3" t="s">
        <v>74</v>
      </c>
      <c r="C180" s="3" t="s">
        <v>75</v>
      </c>
      <c r="D180" s="3" t="s">
        <v>76</v>
      </c>
      <c r="E180" s="3" t="s">
        <v>77</v>
      </c>
      <c r="F180" s="3"/>
      <c r="G180" s="3" t="s">
        <v>3649</v>
      </c>
      <c r="H180" s="3" t="s">
        <v>80</v>
      </c>
      <c r="I180" s="3" t="b">
        <v>1</v>
      </c>
      <c r="J180" s="3" t="b">
        <v>1</v>
      </c>
      <c r="K180" s="3" t="b">
        <v>1</v>
      </c>
      <c r="L180" s="3" t="b">
        <v>1</v>
      </c>
      <c r="M180" s="3" t="b">
        <v>1</v>
      </c>
      <c r="N180" s="3" t="b">
        <f t="shared" si="0"/>
        <v>1</v>
      </c>
      <c r="O180" s="3" t="b">
        <f t="shared" si="1"/>
        <v>0</v>
      </c>
      <c r="P180" s="3" t="b">
        <f t="shared" si="2"/>
        <v>0</v>
      </c>
      <c r="Q180" s="3" t="b">
        <f t="shared" si="3"/>
        <v>0</v>
      </c>
      <c r="R180" s="3" t="b">
        <f t="shared" si="4"/>
        <v>0</v>
      </c>
      <c r="S180" s="3" t="b">
        <f t="shared" si="5"/>
        <v>0</v>
      </c>
      <c r="U180" s="3" t="s">
        <v>80</v>
      </c>
      <c r="V180" s="3" t="b">
        <v>1</v>
      </c>
      <c r="W180" s="3" t="b">
        <v>1</v>
      </c>
      <c r="X180" s="3" t="b">
        <v>1</v>
      </c>
      <c r="Y180" s="3" t="b">
        <v>1</v>
      </c>
      <c r="Z180" s="3" t="b">
        <v>1</v>
      </c>
      <c r="AA180" s="3"/>
      <c r="AB180" s="3"/>
      <c r="AC180" s="3"/>
      <c r="AD180" s="3"/>
      <c r="AE180" s="3"/>
      <c r="AF180" s="3" t="s">
        <v>80</v>
      </c>
      <c r="AG180" s="3" t="b">
        <v>1</v>
      </c>
      <c r="AH180" s="3" t="b">
        <v>1</v>
      </c>
      <c r="AI180" s="3" t="b">
        <v>1</v>
      </c>
      <c r="AJ180" s="3" t="b">
        <v>1</v>
      </c>
      <c r="AK180" s="3" t="b">
        <v>1</v>
      </c>
      <c r="AL180" s="3"/>
      <c r="AM180" s="3"/>
      <c r="AN180" s="3"/>
      <c r="AO180" s="3"/>
      <c r="AP180" s="3"/>
      <c r="AQ180" s="3" t="s">
        <v>317</v>
      </c>
      <c r="AR180" s="3" t="b">
        <v>1</v>
      </c>
      <c r="AS180" s="3" t="b">
        <v>1</v>
      </c>
      <c r="AT180" s="3" t="b">
        <v>1</v>
      </c>
      <c r="AU180" s="3" t="b">
        <v>1</v>
      </c>
      <c r="AV180" s="3" t="b">
        <v>1</v>
      </c>
      <c r="AW180" s="3" t="b">
        <f t="shared" si="6"/>
        <v>1</v>
      </c>
      <c r="AX180" s="3" t="b">
        <f t="shared" si="7"/>
        <v>0</v>
      </c>
      <c r="AY180" s="3" t="b">
        <f t="shared" si="8"/>
        <v>0</v>
      </c>
      <c r="AZ180" s="3" t="b">
        <f t="shared" si="9"/>
        <v>0</v>
      </c>
      <c r="BA180" s="3" t="b">
        <f t="shared" si="10"/>
        <v>0</v>
      </c>
      <c r="BB180" s="3" t="b">
        <f t="shared" si="11"/>
        <v>0</v>
      </c>
      <c r="BC180" s="3"/>
      <c r="BD180" s="3" t="s">
        <v>317</v>
      </c>
      <c r="BE180" s="3" t="b">
        <v>1</v>
      </c>
      <c r="BF180" s="3" t="b">
        <v>1</v>
      </c>
      <c r="BG180" s="3" t="b">
        <v>1</v>
      </c>
      <c r="BH180" s="3" t="b">
        <v>1</v>
      </c>
      <c r="BI180" s="3" t="b">
        <v>1</v>
      </c>
      <c r="BJ180" s="3"/>
      <c r="BK180" s="3"/>
      <c r="BL180" s="3"/>
      <c r="BM180" s="3"/>
      <c r="BN180" s="3"/>
      <c r="BO180" s="3" t="s">
        <v>317</v>
      </c>
      <c r="BP180" s="3" t="b">
        <v>1</v>
      </c>
      <c r="BQ180" s="3" t="b">
        <v>1</v>
      </c>
      <c r="BR180" s="3" t="b">
        <v>1</v>
      </c>
      <c r="BS180" s="3" t="b">
        <v>1</v>
      </c>
      <c r="BT180" s="3" t="b">
        <v>1</v>
      </c>
      <c r="BU180" s="3"/>
      <c r="BV180" s="3"/>
      <c r="BW180" s="3"/>
      <c r="BX180" s="3"/>
    </row>
    <row r="181" spans="1:76" x14ac:dyDescent="0.35">
      <c r="A181" s="3"/>
      <c r="B181" s="3"/>
      <c r="C181" s="3" t="s">
        <v>318</v>
      </c>
      <c r="D181" s="3"/>
      <c r="E181" s="3"/>
      <c r="F181" s="3"/>
      <c r="G181" s="3" t="s">
        <v>3650</v>
      </c>
      <c r="H181" s="3" t="s">
        <v>85</v>
      </c>
      <c r="I181" s="3" t="b">
        <v>1</v>
      </c>
      <c r="J181" s="3" t="b">
        <v>0</v>
      </c>
      <c r="K181" s="3" t="b">
        <v>0</v>
      </c>
      <c r="L181" s="3" t="b">
        <v>1</v>
      </c>
      <c r="M181" s="3" t="b">
        <v>0</v>
      </c>
      <c r="N181" s="3" t="b">
        <f t="shared" si="0"/>
        <v>0</v>
      </c>
      <c r="O181" s="3" t="b">
        <f t="shared" si="1"/>
        <v>0</v>
      </c>
      <c r="P181" s="3" t="b">
        <f t="shared" si="2"/>
        <v>1</v>
      </c>
      <c r="Q181" s="3" t="b">
        <f t="shared" si="3"/>
        <v>0</v>
      </c>
      <c r="R181" s="3" t="b">
        <f t="shared" si="4"/>
        <v>0</v>
      </c>
      <c r="S181" s="3" t="b">
        <f t="shared" si="5"/>
        <v>0</v>
      </c>
      <c r="U181" s="3" t="s">
        <v>85</v>
      </c>
      <c r="V181" s="3" t="b">
        <v>1</v>
      </c>
      <c r="W181" s="3" t="b">
        <v>0</v>
      </c>
      <c r="X181" s="3" t="b">
        <v>0</v>
      </c>
      <c r="Y181" s="3" t="b">
        <v>1</v>
      </c>
      <c r="Z181" s="3" t="b">
        <v>0</v>
      </c>
      <c r="AA181" s="3"/>
      <c r="AB181" s="3"/>
      <c r="AC181" s="3"/>
      <c r="AD181" s="3"/>
      <c r="AE181" s="3"/>
      <c r="AF181" s="3" t="s">
        <v>321</v>
      </c>
      <c r="AG181" s="3" t="b">
        <v>1</v>
      </c>
      <c r="AH181" s="3" t="b">
        <v>0</v>
      </c>
      <c r="AI181" s="3" t="b">
        <v>0</v>
      </c>
      <c r="AJ181" s="3" t="b">
        <v>1</v>
      </c>
      <c r="AK181" s="3" t="b">
        <v>0</v>
      </c>
      <c r="AL181" s="3"/>
      <c r="AM181" s="3"/>
      <c r="AN181" s="3"/>
      <c r="AO181" s="3"/>
      <c r="AP181" s="3"/>
      <c r="AQ181" s="3" t="s">
        <v>484</v>
      </c>
      <c r="AR181" s="3" t="b">
        <v>1</v>
      </c>
      <c r="AS181" s="3" t="b">
        <v>0</v>
      </c>
      <c r="AT181" s="3" t="b">
        <v>0</v>
      </c>
      <c r="AU181" s="3" t="b">
        <v>0</v>
      </c>
      <c r="AV181" s="3" t="b">
        <v>0</v>
      </c>
      <c r="AW181" s="3" t="b">
        <f t="shared" si="6"/>
        <v>0</v>
      </c>
      <c r="AX181" s="3" t="b">
        <f t="shared" si="7"/>
        <v>0</v>
      </c>
      <c r="AY181" s="3" t="b">
        <f t="shared" si="8"/>
        <v>1</v>
      </c>
      <c r="AZ181" s="3" t="b">
        <f t="shared" si="9"/>
        <v>0</v>
      </c>
      <c r="BA181" s="3" t="b">
        <f t="shared" si="10"/>
        <v>0</v>
      </c>
      <c r="BB181" s="3" t="b">
        <f t="shared" si="11"/>
        <v>0</v>
      </c>
      <c r="BC181" s="3"/>
      <c r="BD181" s="3" t="s">
        <v>484</v>
      </c>
      <c r="BE181" s="3" t="b">
        <v>1</v>
      </c>
      <c r="BF181" s="3" t="b">
        <v>0</v>
      </c>
      <c r="BG181" s="3" t="b">
        <v>0</v>
      </c>
      <c r="BH181" s="3" t="b">
        <v>0</v>
      </c>
      <c r="BI181" s="3" t="b">
        <v>0</v>
      </c>
      <c r="BJ181" s="3"/>
      <c r="BK181" s="3"/>
      <c r="BL181" s="3"/>
      <c r="BM181" s="3"/>
      <c r="BN181" s="3"/>
      <c r="BO181" s="3" t="s">
        <v>484</v>
      </c>
      <c r="BP181" s="3" t="b">
        <v>1</v>
      </c>
      <c r="BQ181" s="3" t="b">
        <v>0</v>
      </c>
      <c r="BR181" s="3" t="b">
        <v>0</v>
      </c>
      <c r="BS181" s="3" t="b">
        <v>0</v>
      </c>
      <c r="BT181" s="3" t="b">
        <v>0</v>
      </c>
      <c r="BU181" s="3"/>
      <c r="BV181" s="3"/>
      <c r="BW181" s="3"/>
      <c r="BX181" s="3"/>
    </row>
    <row r="182" spans="1:76" x14ac:dyDescent="0.35">
      <c r="A182" s="3"/>
      <c r="B182" s="3"/>
      <c r="C182" s="3" t="s">
        <v>89</v>
      </c>
      <c r="D182" s="3"/>
      <c r="E182" s="3"/>
      <c r="F182" s="3"/>
      <c r="G182" s="3" t="s">
        <v>3651</v>
      </c>
      <c r="H182" s="3" t="s">
        <v>91</v>
      </c>
      <c r="I182" s="3" t="b">
        <v>1</v>
      </c>
      <c r="J182" s="3" t="b">
        <v>1</v>
      </c>
      <c r="K182" s="3" t="b">
        <v>1</v>
      </c>
      <c r="L182" s="3" t="b">
        <v>1</v>
      </c>
      <c r="M182" s="3" t="b">
        <v>1</v>
      </c>
      <c r="N182" s="3" t="b">
        <f t="shared" si="0"/>
        <v>1</v>
      </c>
      <c r="O182" s="3" t="b">
        <f t="shared" si="1"/>
        <v>0</v>
      </c>
      <c r="P182" s="3" t="b">
        <f t="shared" si="2"/>
        <v>0</v>
      </c>
      <c r="Q182" s="3" t="b">
        <f t="shared" si="3"/>
        <v>0</v>
      </c>
      <c r="R182" s="3" t="b">
        <f t="shared" si="4"/>
        <v>0</v>
      </c>
      <c r="S182" s="3" t="b">
        <f t="shared" si="5"/>
        <v>0</v>
      </c>
      <c r="U182" s="3" t="s">
        <v>486</v>
      </c>
      <c r="V182" s="3" t="b">
        <v>1</v>
      </c>
      <c r="W182" s="3" t="b">
        <v>0</v>
      </c>
      <c r="X182" s="3" t="b">
        <v>0</v>
      </c>
      <c r="Y182" s="3" t="b">
        <v>1</v>
      </c>
      <c r="Z182" s="3" t="b">
        <v>0</v>
      </c>
      <c r="AA182" s="3"/>
      <c r="AB182" s="3"/>
      <c r="AC182" s="3"/>
      <c r="AD182" s="3"/>
      <c r="AE182" s="3"/>
      <c r="AF182" s="3" t="s">
        <v>324</v>
      </c>
      <c r="AG182" s="3" t="b">
        <v>1</v>
      </c>
      <c r="AH182" s="3" t="b">
        <v>1</v>
      </c>
      <c r="AI182" s="3" t="b">
        <v>1</v>
      </c>
      <c r="AJ182" s="3" t="b">
        <v>1</v>
      </c>
      <c r="AK182" s="3" t="b">
        <v>1</v>
      </c>
      <c r="AL182" s="3"/>
      <c r="AM182" s="3"/>
      <c r="AN182" s="3"/>
      <c r="AO182" s="3"/>
      <c r="AP182" s="3"/>
      <c r="AQ182" s="3" t="s">
        <v>326</v>
      </c>
      <c r="AR182" s="3" t="b">
        <v>1</v>
      </c>
      <c r="AS182" s="3" t="b">
        <v>0</v>
      </c>
      <c r="AT182" s="3" t="b">
        <v>0</v>
      </c>
      <c r="AU182" s="3" t="b">
        <v>1</v>
      </c>
      <c r="AV182" s="3" t="b">
        <v>0</v>
      </c>
      <c r="AW182" s="3" t="b">
        <f t="shared" si="6"/>
        <v>0</v>
      </c>
      <c r="AX182" s="3" t="b">
        <f t="shared" si="7"/>
        <v>0</v>
      </c>
      <c r="AY182" s="3" t="b">
        <f t="shared" si="8"/>
        <v>1</v>
      </c>
      <c r="AZ182" s="3" t="b">
        <f t="shared" si="9"/>
        <v>0</v>
      </c>
      <c r="BA182" s="3" t="b">
        <f t="shared" si="10"/>
        <v>0</v>
      </c>
      <c r="BB182" s="3" t="b">
        <f t="shared" si="11"/>
        <v>0</v>
      </c>
      <c r="BC182" s="3"/>
      <c r="BD182" s="3" t="s">
        <v>326</v>
      </c>
      <c r="BE182" s="3" t="b">
        <v>1</v>
      </c>
      <c r="BF182" s="3" t="b">
        <v>0</v>
      </c>
      <c r="BG182" s="3" t="b">
        <v>0</v>
      </c>
      <c r="BH182" s="3" t="b">
        <v>1</v>
      </c>
      <c r="BI182" s="3" t="b">
        <v>0</v>
      </c>
      <c r="BJ182" s="3"/>
      <c r="BK182" s="3"/>
      <c r="BL182" s="3"/>
      <c r="BM182" s="3"/>
      <c r="BN182" s="3"/>
      <c r="BO182" s="3" t="s">
        <v>326</v>
      </c>
      <c r="BP182" s="3" t="b">
        <v>1</v>
      </c>
      <c r="BQ182" s="3" t="b">
        <v>0</v>
      </c>
      <c r="BR182" s="3" t="b">
        <v>0</v>
      </c>
      <c r="BS182" s="3" t="b">
        <v>1</v>
      </c>
      <c r="BT182" s="3" t="b">
        <v>0</v>
      </c>
      <c r="BU182" s="3"/>
      <c r="BV182" s="3"/>
      <c r="BW182" s="3"/>
      <c r="BX182" s="3"/>
    </row>
    <row r="183" spans="1:76" x14ac:dyDescent="0.35">
      <c r="A183" s="3"/>
      <c r="B183" s="3"/>
      <c r="C183" s="3" t="s">
        <v>97</v>
      </c>
      <c r="D183" s="3"/>
      <c r="E183" s="3"/>
      <c r="F183" s="3"/>
      <c r="G183" s="3" t="s">
        <v>3652</v>
      </c>
      <c r="H183" s="3" t="s">
        <v>488</v>
      </c>
      <c r="I183" s="3" t="b">
        <v>1</v>
      </c>
      <c r="J183" s="3" t="b">
        <v>0</v>
      </c>
      <c r="K183" s="3" t="b">
        <v>0</v>
      </c>
      <c r="L183" s="3" t="b">
        <v>1</v>
      </c>
      <c r="M183" s="3" t="b">
        <v>0</v>
      </c>
      <c r="N183" s="3" t="b">
        <f t="shared" si="0"/>
        <v>0</v>
      </c>
      <c r="O183" s="3" t="b">
        <f t="shared" si="1"/>
        <v>0</v>
      </c>
      <c r="P183" s="3" t="b">
        <f t="shared" si="2"/>
        <v>1</v>
      </c>
      <c r="Q183" s="3" t="b">
        <f t="shared" si="3"/>
        <v>0</v>
      </c>
      <c r="R183" s="3" t="b">
        <f t="shared" si="4"/>
        <v>0</v>
      </c>
      <c r="S183" s="3" t="b">
        <f t="shared" si="5"/>
        <v>0</v>
      </c>
      <c r="U183" s="3"/>
      <c r="V183" s="3" t="b">
        <v>1</v>
      </c>
      <c r="W183" s="3" t="b">
        <v>0</v>
      </c>
      <c r="X183" s="3" t="b">
        <v>0</v>
      </c>
      <c r="Y183" s="3" t="b">
        <v>0</v>
      </c>
      <c r="Z183" s="3" t="b">
        <v>0</v>
      </c>
      <c r="AA183" s="3"/>
      <c r="AB183" s="3"/>
      <c r="AC183" s="3"/>
      <c r="AD183" s="3"/>
      <c r="AE183" s="3"/>
      <c r="AF183" s="3" t="s">
        <v>489</v>
      </c>
      <c r="AG183" s="3" t="b">
        <v>1</v>
      </c>
      <c r="AH183" s="3" t="b">
        <v>1</v>
      </c>
      <c r="AI183" s="3" t="b">
        <v>1</v>
      </c>
      <c r="AJ183" s="3" t="b">
        <v>1</v>
      </c>
      <c r="AK183" s="3" t="b">
        <v>1</v>
      </c>
      <c r="AL183" s="3"/>
      <c r="AM183" s="3"/>
      <c r="AN183" s="3"/>
      <c r="AO183" s="3"/>
      <c r="AP183" s="3"/>
      <c r="AQ183" s="3" t="s">
        <v>490</v>
      </c>
      <c r="AR183" s="3" t="b">
        <v>1</v>
      </c>
      <c r="AS183" s="3" t="b">
        <v>1</v>
      </c>
      <c r="AT183" s="3" t="b">
        <v>1</v>
      </c>
      <c r="AU183" s="3" t="b">
        <v>0</v>
      </c>
      <c r="AV183" s="3" t="b">
        <v>0</v>
      </c>
      <c r="AW183" s="3" t="b">
        <f t="shared" si="6"/>
        <v>0</v>
      </c>
      <c r="AX183" s="3" t="b">
        <f t="shared" si="7"/>
        <v>0</v>
      </c>
      <c r="AY183" s="3" t="b">
        <f t="shared" si="8"/>
        <v>1</v>
      </c>
      <c r="AZ183" s="3" t="b">
        <f t="shared" si="9"/>
        <v>0</v>
      </c>
      <c r="BA183" s="3" t="b">
        <f t="shared" si="10"/>
        <v>1</v>
      </c>
      <c r="BB183" s="3" t="b">
        <f t="shared" si="11"/>
        <v>0</v>
      </c>
      <c r="BC183" s="3"/>
      <c r="BD183" s="3" t="s">
        <v>491</v>
      </c>
      <c r="BE183" s="3" t="b">
        <v>1</v>
      </c>
      <c r="BF183" s="3" t="b">
        <v>1</v>
      </c>
      <c r="BG183" s="3" t="b">
        <v>1</v>
      </c>
      <c r="BH183" s="3" t="b">
        <v>0</v>
      </c>
      <c r="BI183" s="3" t="b">
        <v>1</v>
      </c>
      <c r="BJ183" s="3"/>
      <c r="BK183" s="3"/>
      <c r="BL183" s="3"/>
      <c r="BM183" s="3"/>
      <c r="BN183" s="3"/>
      <c r="BO183" s="3" t="s">
        <v>492</v>
      </c>
      <c r="BP183" s="3" t="b">
        <v>1</v>
      </c>
      <c r="BQ183" s="3" t="b">
        <v>1</v>
      </c>
      <c r="BR183" s="3" t="b">
        <v>0</v>
      </c>
      <c r="BS183" s="3" t="b">
        <v>0</v>
      </c>
      <c r="BT183" s="3" t="b">
        <v>0</v>
      </c>
      <c r="BU183" s="3"/>
      <c r="BV183" s="3"/>
      <c r="BW183" s="3"/>
      <c r="BX183" s="3"/>
    </row>
    <row r="184" spans="1:76" x14ac:dyDescent="0.35">
      <c r="A184" s="3"/>
      <c r="B184" s="3" t="s">
        <v>103</v>
      </c>
      <c r="C184" s="3"/>
      <c r="D184" s="3" t="s">
        <v>34</v>
      </c>
      <c r="E184" s="3" t="s">
        <v>35</v>
      </c>
      <c r="F184" s="3"/>
      <c r="G184" s="3"/>
      <c r="H184" s="3"/>
      <c r="I184" s="3"/>
      <c r="J184" s="3"/>
      <c r="K184" s="3"/>
      <c r="L184" s="3"/>
      <c r="M184" s="3"/>
      <c r="N184" s="3">
        <f t="shared" si="0"/>
        <v>0</v>
      </c>
      <c r="O184" s="3">
        <f t="shared" si="1"/>
        <v>0</v>
      </c>
      <c r="P184" s="3">
        <f t="shared" si="2"/>
        <v>0</v>
      </c>
      <c r="Q184" s="3">
        <f t="shared" si="3"/>
        <v>0</v>
      </c>
      <c r="R184" s="3">
        <f t="shared" si="4"/>
        <v>0</v>
      </c>
      <c r="S184" s="3">
        <f t="shared" si="5"/>
        <v>0</v>
      </c>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f t="shared" si="6"/>
        <v>0</v>
      </c>
      <c r="AX184" s="3">
        <f t="shared" si="7"/>
        <v>0</v>
      </c>
      <c r="AY184" s="3">
        <f t="shared" si="8"/>
        <v>0</v>
      </c>
      <c r="AZ184" s="3">
        <f t="shared" si="9"/>
        <v>0</v>
      </c>
      <c r="BA184" s="3">
        <f t="shared" si="10"/>
        <v>0</v>
      </c>
      <c r="BB184" s="3">
        <f t="shared" si="11"/>
        <v>0</v>
      </c>
      <c r="BC184" s="3"/>
      <c r="BD184" s="3"/>
      <c r="BE184" s="3"/>
      <c r="BF184" s="3"/>
      <c r="BG184" s="3"/>
      <c r="BH184" s="3"/>
      <c r="BI184" s="3"/>
      <c r="BJ184" s="3"/>
      <c r="BK184" s="3"/>
      <c r="BL184" s="3"/>
      <c r="BM184" s="3"/>
      <c r="BN184" s="3"/>
      <c r="BO184" s="3"/>
      <c r="BP184" s="3"/>
      <c r="BQ184" s="3"/>
      <c r="BR184" s="3"/>
      <c r="BS184" s="3"/>
      <c r="BT184" s="3"/>
      <c r="BU184" s="3"/>
      <c r="BV184" s="3"/>
      <c r="BW184" s="3"/>
      <c r="BX184" s="3"/>
    </row>
    <row r="185" spans="1:76" x14ac:dyDescent="0.35">
      <c r="A185" s="3"/>
      <c r="B185" s="3" t="s">
        <v>104</v>
      </c>
      <c r="C185" s="3"/>
      <c r="D185" s="3" t="s">
        <v>34</v>
      </c>
      <c r="E185" s="3" t="s">
        <v>35</v>
      </c>
      <c r="F185" s="3"/>
      <c r="G185" s="3"/>
      <c r="H185" s="3"/>
      <c r="I185" s="3"/>
      <c r="J185" s="3"/>
      <c r="K185" s="3"/>
      <c r="L185" s="3"/>
      <c r="M185" s="3"/>
      <c r="N185" s="3">
        <f t="shared" si="0"/>
        <v>0</v>
      </c>
      <c r="O185" s="3">
        <f t="shared" si="1"/>
        <v>0</v>
      </c>
      <c r="P185" s="3">
        <f t="shared" si="2"/>
        <v>0</v>
      </c>
      <c r="Q185" s="3">
        <f t="shared" si="3"/>
        <v>0</v>
      </c>
      <c r="R185" s="3">
        <f t="shared" si="4"/>
        <v>0</v>
      </c>
      <c r="S185" s="3">
        <f t="shared" si="5"/>
        <v>0</v>
      </c>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f t="shared" si="6"/>
        <v>0</v>
      </c>
      <c r="AX185" s="3">
        <f t="shared" si="7"/>
        <v>0</v>
      </c>
      <c r="AY185" s="3">
        <f t="shared" si="8"/>
        <v>0</v>
      </c>
      <c r="AZ185" s="3">
        <f t="shared" si="9"/>
        <v>0</v>
      </c>
      <c r="BA185" s="3">
        <f t="shared" si="10"/>
        <v>0</v>
      </c>
      <c r="BB185" s="3">
        <f t="shared" si="11"/>
        <v>0</v>
      </c>
      <c r="BC185" s="3"/>
      <c r="BD185" s="3"/>
      <c r="BE185" s="3"/>
      <c r="BF185" s="3"/>
      <c r="BG185" s="3"/>
      <c r="BH185" s="3"/>
      <c r="BI185" s="3"/>
      <c r="BJ185" s="3"/>
      <c r="BK185" s="3"/>
      <c r="BL185" s="3"/>
      <c r="BM185" s="3"/>
      <c r="BN185" s="3"/>
      <c r="BO185" s="3"/>
      <c r="BP185" s="3"/>
      <c r="BQ185" s="3"/>
      <c r="BR185" s="3"/>
      <c r="BS185" s="3"/>
      <c r="BT185" s="3"/>
      <c r="BU185" s="3"/>
      <c r="BV185" s="3"/>
      <c r="BW185" s="3"/>
      <c r="BX185" s="3"/>
    </row>
    <row r="186" spans="1:76" x14ac:dyDescent="0.35">
      <c r="A186" s="3"/>
      <c r="B186" s="3"/>
      <c r="C186" s="3"/>
      <c r="D186" s="3" t="s">
        <v>76</v>
      </c>
      <c r="E186" s="3" t="s">
        <v>77</v>
      </c>
      <c r="F186" s="3"/>
      <c r="G186" s="3"/>
      <c r="H186" s="3"/>
      <c r="I186" s="3"/>
      <c r="J186" s="3"/>
      <c r="K186" s="3"/>
      <c r="L186" s="3"/>
      <c r="M186" s="3"/>
      <c r="N186" s="3">
        <f t="shared" si="0"/>
        <v>0</v>
      </c>
      <c r="O186" s="3">
        <f t="shared" si="1"/>
        <v>0</v>
      </c>
      <c r="P186" s="3">
        <f t="shared" si="2"/>
        <v>0</v>
      </c>
      <c r="Q186" s="3">
        <f t="shared" si="3"/>
        <v>0</v>
      </c>
      <c r="R186" s="3">
        <f t="shared" si="4"/>
        <v>0</v>
      </c>
      <c r="S186" s="3">
        <f t="shared" si="5"/>
        <v>0</v>
      </c>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f t="shared" si="6"/>
        <v>0</v>
      </c>
      <c r="AX186" s="3">
        <f t="shared" si="7"/>
        <v>0</v>
      </c>
      <c r="AY186" s="3">
        <f t="shared" si="8"/>
        <v>0</v>
      </c>
      <c r="AZ186" s="3">
        <f t="shared" si="9"/>
        <v>0</v>
      </c>
      <c r="BA186" s="3">
        <f t="shared" si="10"/>
        <v>0</v>
      </c>
      <c r="BB186" s="3">
        <f t="shared" si="11"/>
        <v>0</v>
      </c>
      <c r="BC186" s="3"/>
      <c r="BD186" s="3"/>
      <c r="BE186" s="3"/>
      <c r="BF186" s="3"/>
      <c r="BG186" s="3"/>
      <c r="BH186" s="3"/>
      <c r="BI186" s="3"/>
      <c r="BJ186" s="3"/>
      <c r="BK186" s="3"/>
      <c r="BL186" s="3"/>
      <c r="BM186" s="3"/>
      <c r="BN186" s="3"/>
      <c r="BO186" s="3"/>
      <c r="BP186" s="3"/>
      <c r="BQ186" s="3"/>
      <c r="BR186" s="3"/>
      <c r="BS186" s="3"/>
      <c r="BT186" s="3"/>
      <c r="BU186" s="3"/>
      <c r="BV186" s="3"/>
      <c r="BW186" s="3"/>
      <c r="BX186" s="3"/>
    </row>
    <row r="187" spans="1:76" x14ac:dyDescent="0.35">
      <c r="A187" s="3"/>
      <c r="B187" s="3" t="s">
        <v>230</v>
      </c>
      <c r="C187" s="3" t="s">
        <v>61</v>
      </c>
      <c r="D187" s="3"/>
      <c r="E187" s="3"/>
      <c r="F187" s="3"/>
      <c r="G187" s="3" t="s">
        <v>3653</v>
      </c>
      <c r="H187" s="3" t="s">
        <v>63</v>
      </c>
      <c r="I187" s="3" t="b">
        <v>1</v>
      </c>
      <c r="J187" s="3" t="b">
        <v>1</v>
      </c>
      <c r="K187" s="3" t="b">
        <v>1</v>
      </c>
      <c r="L187" s="3" t="b">
        <v>1</v>
      </c>
      <c r="M187" s="3" t="b">
        <v>1</v>
      </c>
      <c r="N187" s="3" t="b">
        <f t="shared" si="0"/>
        <v>1</v>
      </c>
      <c r="O187" s="3" t="b">
        <f t="shared" si="1"/>
        <v>0</v>
      </c>
      <c r="P187" s="3" t="b">
        <f t="shared" si="2"/>
        <v>0</v>
      </c>
      <c r="Q187" s="3" t="b">
        <f t="shared" si="3"/>
        <v>0</v>
      </c>
      <c r="R187" s="3" t="b">
        <f t="shared" si="4"/>
        <v>0</v>
      </c>
      <c r="S187" s="3" t="b">
        <f t="shared" si="5"/>
        <v>0</v>
      </c>
      <c r="U187" s="3" t="s">
        <v>63</v>
      </c>
      <c r="V187" s="3" t="b">
        <v>1</v>
      </c>
      <c r="W187" s="3" t="b">
        <v>1</v>
      </c>
      <c r="X187" s="3" t="b">
        <v>1</v>
      </c>
      <c r="Y187" s="3" t="b">
        <v>1</v>
      </c>
      <c r="Z187" s="3" t="b">
        <v>1</v>
      </c>
      <c r="AA187" s="3"/>
      <c r="AB187" s="3"/>
      <c r="AC187" s="3"/>
      <c r="AD187" s="3"/>
      <c r="AE187" s="3"/>
      <c r="AF187" s="3" t="s">
        <v>63</v>
      </c>
      <c r="AG187" s="3" t="b">
        <v>1</v>
      </c>
      <c r="AH187" s="3" t="b">
        <v>1</v>
      </c>
      <c r="AI187" s="3" t="b">
        <v>1</v>
      </c>
      <c r="AJ187" s="3" t="b">
        <v>1</v>
      </c>
      <c r="AK187" s="3" t="b">
        <v>1</v>
      </c>
      <c r="AL187" s="3"/>
      <c r="AM187" s="3"/>
      <c r="AN187" s="3"/>
      <c r="AO187" s="3"/>
      <c r="AP187" s="3"/>
      <c r="AQ187" s="3" t="s">
        <v>63</v>
      </c>
      <c r="AR187" s="3" t="b">
        <v>1</v>
      </c>
      <c r="AS187" s="3" t="b">
        <v>1</v>
      </c>
      <c r="AT187" s="3" t="b">
        <v>1</v>
      </c>
      <c r="AU187" s="3" t="b">
        <v>1</v>
      </c>
      <c r="AV187" s="3" t="b">
        <v>1</v>
      </c>
      <c r="AW187" s="3" t="b">
        <f t="shared" si="6"/>
        <v>1</v>
      </c>
      <c r="AX187" s="3" t="b">
        <f t="shared" si="7"/>
        <v>0</v>
      </c>
      <c r="AY187" s="3" t="b">
        <f t="shared" si="8"/>
        <v>0</v>
      </c>
      <c r="AZ187" s="3" t="b">
        <f t="shared" si="9"/>
        <v>0</v>
      </c>
      <c r="BA187" s="3" t="b">
        <f t="shared" si="10"/>
        <v>0</v>
      </c>
      <c r="BB187" s="3" t="b">
        <f t="shared" si="11"/>
        <v>0</v>
      </c>
      <c r="BC187" s="3"/>
      <c r="BD187" s="3" t="s">
        <v>63</v>
      </c>
      <c r="BE187" s="3" t="b">
        <v>1</v>
      </c>
      <c r="BF187" s="3" t="b">
        <v>1</v>
      </c>
      <c r="BG187" s="3" t="b">
        <v>1</v>
      </c>
      <c r="BH187" s="3" t="b">
        <v>1</v>
      </c>
      <c r="BI187" s="3" t="b">
        <v>1</v>
      </c>
      <c r="BJ187" s="3"/>
      <c r="BK187" s="3"/>
      <c r="BL187" s="3"/>
      <c r="BM187" s="3"/>
      <c r="BN187" s="3"/>
      <c r="BO187" s="3" t="s">
        <v>63</v>
      </c>
      <c r="BP187" s="3" t="b">
        <v>1</v>
      </c>
      <c r="BQ187" s="3" t="b">
        <v>1</v>
      </c>
      <c r="BR187" s="3" t="b">
        <v>1</v>
      </c>
      <c r="BS187" s="3" t="b">
        <v>1</v>
      </c>
      <c r="BT187" s="3" t="b">
        <v>1</v>
      </c>
      <c r="BU187" s="3"/>
      <c r="BV187" s="3"/>
      <c r="BW187" s="3"/>
      <c r="BX187" s="3"/>
    </row>
    <row r="188" spans="1:76" x14ac:dyDescent="0.35">
      <c r="A188" s="3"/>
      <c r="B188" s="3"/>
      <c r="C188" s="3" t="s">
        <v>494</v>
      </c>
      <c r="D188" s="3"/>
      <c r="E188" s="3"/>
      <c r="F188" s="3"/>
      <c r="G188" s="3" t="s">
        <v>3654</v>
      </c>
      <c r="H188" s="3" t="s">
        <v>496</v>
      </c>
      <c r="I188" s="3" t="b">
        <v>1</v>
      </c>
      <c r="J188" s="3" t="b">
        <v>1</v>
      </c>
      <c r="K188" s="3" t="b">
        <v>1</v>
      </c>
      <c r="L188" s="3" t="b">
        <v>1</v>
      </c>
      <c r="M188" s="3" t="b">
        <v>1</v>
      </c>
      <c r="N188" s="3" t="b">
        <f t="shared" si="0"/>
        <v>1</v>
      </c>
      <c r="O188" s="3" t="b">
        <f t="shared" si="1"/>
        <v>0</v>
      </c>
      <c r="P188" s="3" t="b">
        <f t="shared" si="2"/>
        <v>0</v>
      </c>
      <c r="Q188" s="3" t="b">
        <f t="shared" si="3"/>
        <v>0</v>
      </c>
      <c r="R188" s="3" t="b">
        <f t="shared" si="4"/>
        <v>0</v>
      </c>
      <c r="S188" s="3" t="b">
        <f t="shared" si="5"/>
        <v>0</v>
      </c>
      <c r="U188" s="3" t="s">
        <v>497</v>
      </c>
      <c r="V188" s="3" t="b">
        <v>1</v>
      </c>
      <c r="W188" s="3" t="b">
        <v>1</v>
      </c>
      <c r="X188" s="3" t="b">
        <v>1</v>
      </c>
      <c r="Y188" s="3" t="b">
        <v>1</v>
      </c>
      <c r="Z188" s="3" t="b">
        <v>1</v>
      </c>
      <c r="AA188" s="3"/>
      <c r="AB188" s="3"/>
      <c r="AC188" s="3"/>
      <c r="AD188" s="3"/>
      <c r="AE188" s="3"/>
      <c r="AF188" s="3" t="s">
        <v>498</v>
      </c>
      <c r="AG188" s="3" t="b">
        <v>1</v>
      </c>
      <c r="AH188" s="3" t="b">
        <v>1</v>
      </c>
      <c r="AI188" s="3" t="b">
        <v>1</v>
      </c>
      <c r="AJ188" s="3" t="b">
        <v>1</v>
      </c>
      <c r="AK188" s="3" t="b">
        <v>1</v>
      </c>
      <c r="AL188" s="3"/>
      <c r="AM188" s="3"/>
      <c r="AN188" s="3"/>
      <c r="AO188" s="3"/>
      <c r="AP188" s="3"/>
      <c r="AQ188" s="3" t="s">
        <v>499</v>
      </c>
      <c r="AR188" s="3" t="b">
        <v>1</v>
      </c>
      <c r="AS188" s="3" t="b">
        <v>0</v>
      </c>
      <c r="AT188" s="3" t="b">
        <v>0</v>
      </c>
      <c r="AU188" s="3" t="b">
        <v>1</v>
      </c>
      <c r="AV188" s="3" t="b">
        <v>0</v>
      </c>
      <c r="AW188" s="3" t="b">
        <f t="shared" si="6"/>
        <v>0</v>
      </c>
      <c r="AX188" s="3" t="b">
        <f t="shared" si="7"/>
        <v>0</v>
      </c>
      <c r="AY188" s="3" t="b">
        <f t="shared" si="8"/>
        <v>1</v>
      </c>
      <c r="AZ188" s="3" t="b">
        <f t="shared" si="9"/>
        <v>0</v>
      </c>
      <c r="BA188" s="3" t="b">
        <f t="shared" si="10"/>
        <v>0</v>
      </c>
      <c r="BB188" s="3" t="b">
        <f t="shared" si="11"/>
        <v>0</v>
      </c>
      <c r="BC188" s="3"/>
      <c r="BD188" s="3" t="s">
        <v>499</v>
      </c>
      <c r="BE188" s="3" t="b">
        <v>1</v>
      </c>
      <c r="BF188" s="3" t="b">
        <v>0</v>
      </c>
      <c r="BG188" s="3" t="b">
        <v>0</v>
      </c>
      <c r="BH188" s="3" t="b">
        <v>1</v>
      </c>
      <c r="BI188" s="3" t="b">
        <v>0</v>
      </c>
      <c r="BJ188" s="3"/>
      <c r="BK188" s="3"/>
      <c r="BL188" s="3"/>
      <c r="BM188" s="3"/>
      <c r="BN188" s="3"/>
      <c r="BO188" s="3" t="s">
        <v>499</v>
      </c>
      <c r="BP188" s="3" t="b">
        <v>1</v>
      </c>
      <c r="BQ188" s="3" t="b">
        <v>0</v>
      </c>
      <c r="BR188" s="3" t="b">
        <v>0</v>
      </c>
      <c r="BS188" s="3" t="b">
        <v>1</v>
      </c>
      <c r="BT188" s="3" t="b">
        <v>0</v>
      </c>
      <c r="BU188" s="3"/>
      <c r="BV188" s="3"/>
      <c r="BW188" s="3"/>
      <c r="BX188" s="3"/>
    </row>
    <row r="189" spans="1:76" x14ac:dyDescent="0.35">
      <c r="A189" s="3"/>
      <c r="B189" s="3" t="s">
        <v>232</v>
      </c>
      <c r="C189" s="3" t="s">
        <v>61</v>
      </c>
      <c r="D189" s="3"/>
      <c r="E189" s="3"/>
      <c r="F189" s="3"/>
      <c r="G189" s="3" t="s">
        <v>3655</v>
      </c>
      <c r="H189" s="3" t="s">
        <v>63</v>
      </c>
      <c r="I189" s="3" t="b">
        <v>1</v>
      </c>
      <c r="J189" s="3" t="b">
        <v>1</v>
      </c>
      <c r="K189" s="3" t="b">
        <v>1</v>
      </c>
      <c r="L189" s="3" t="b">
        <v>1</v>
      </c>
      <c r="M189" s="3" t="b">
        <v>1</v>
      </c>
      <c r="N189" s="3" t="b">
        <f t="shared" si="0"/>
        <v>1</v>
      </c>
      <c r="O189" s="3" t="b">
        <f t="shared" si="1"/>
        <v>0</v>
      </c>
      <c r="P189" s="3" t="b">
        <f t="shared" si="2"/>
        <v>0</v>
      </c>
      <c r="Q189" s="3" t="b">
        <f t="shared" si="3"/>
        <v>0</v>
      </c>
      <c r="R189" s="3" t="b">
        <f t="shared" si="4"/>
        <v>0</v>
      </c>
      <c r="S189" s="3" t="b">
        <f t="shared" si="5"/>
        <v>0</v>
      </c>
      <c r="U189" s="3" t="s">
        <v>63</v>
      </c>
      <c r="V189" s="3" t="b">
        <v>1</v>
      </c>
      <c r="W189" s="3" t="b">
        <v>1</v>
      </c>
      <c r="X189" s="3" t="b">
        <v>1</v>
      </c>
      <c r="Y189" s="3" t="b">
        <v>1</v>
      </c>
      <c r="Z189" s="3" t="b">
        <v>1</v>
      </c>
      <c r="AA189" s="3"/>
      <c r="AB189" s="3"/>
      <c r="AC189" s="3"/>
      <c r="AD189" s="3"/>
      <c r="AE189" s="3"/>
      <c r="AF189" s="3" t="s">
        <v>63</v>
      </c>
      <c r="AG189" s="3" t="b">
        <v>1</v>
      </c>
      <c r="AH189" s="3" t="b">
        <v>1</v>
      </c>
      <c r="AI189" s="3" t="b">
        <v>1</v>
      </c>
      <c r="AJ189" s="3" t="b">
        <v>1</v>
      </c>
      <c r="AK189" s="3" t="b">
        <v>1</v>
      </c>
      <c r="AL189" s="3"/>
      <c r="AM189" s="3"/>
      <c r="AN189" s="3"/>
      <c r="AO189" s="3"/>
      <c r="AP189" s="3"/>
      <c r="AQ189" s="3" t="s">
        <v>63</v>
      </c>
      <c r="AR189" s="3" t="b">
        <v>1</v>
      </c>
      <c r="AS189" s="3" t="b">
        <v>1</v>
      </c>
      <c r="AT189" s="3" t="b">
        <v>1</v>
      </c>
      <c r="AU189" s="3" t="b">
        <v>1</v>
      </c>
      <c r="AV189" s="3" t="b">
        <v>1</v>
      </c>
      <c r="AW189" s="3" t="b">
        <f t="shared" si="6"/>
        <v>1</v>
      </c>
      <c r="AX189" s="3" t="b">
        <f t="shared" si="7"/>
        <v>0</v>
      </c>
      <c r="AY189" s="3" t="b">
        <f t="shared" si="8"/>
        <v>0</v>
      </c>
      <c r="AZ189" s="3" t="b">
        <f t="shared" si="9"/>
        <v>0</v>
      </c>
      <c r="BA189" s="3" t="b">
        <f t="shared" si="10"/>
        <v>0</v>
      </c>
      <c r="BB189" s="3" t="b">
        <f t="shared" si="11"/>
        <v>0</v>
      </c>
      <c r="BC189" s="3"/>
      <c r="BD189" s="3" t="s">
        <v>63</v>
      </c>
      <c r="BE189" s="3" t="b">
        <v>1</v>
      </c>
      <c r="BF189" s="3" t="b">
        <v>1</v>
      </c>
      <c r="BG189" s="3" t="b">
        <v>1</v>
      </c>
      <c r="BH189" s="3" t="b">
        <v>1</v>
      </c>
      <c r="BI189" s="3" t="b">
        <v>1</v>
      </c>
      <c r="BJ189" s="3"/>
      <c r="BK189" s="3"/>
      <c r="BL189" s="3"/>
      <c r="BM189" s="3"/>
      <c r="BN189" s="3"/>
      <c r="BO189" s="3" t="s">
        <v>63</v>
      </c>
      <c r="BP189" s="3" t="b">
        <v>1</v>
      </c>
      <c r="BQ189" s="3" t="b">
        <v>1</v>
      </c>
      <c r="BR189" s="3" t="b">
        <v>1</v>
      </c>
      <c r="BS189" s="3" t="b">
        <v>1</v>
      </c>
      <c r="BT189" s="3" t="b">
        <v>1</v>
      </c>
      <c r="BU189" s="3"/>
      <c r="BV189" s="3"/>
      <c r="BW189" s="3"/>
      <c r="BX189" s="3"/>
    </row>
    <row r="190" spans="1:76" x14ac:dyDescent="0.35">
      <c r="A190" s="3"/>
      <c r="B190" s="3"/>
      <c r="C190" s="3" t="s">
        <v>68</v>
      </c>
      <c r="D190" s="3"/>
      <c r="E190" s="3"/>
      <c r="F190" s="3"/>
      <c r="G190" s="3" t="s">
        <v>3656</v>
      </c>
      <c r="H190" s="3" t="s">
        <v>501</v>
      </c>
      <c r="I190" s="3" t="b">
        <v>1</v>
      </c>
      <c r="J190" s="3" t="b">
        <v>1</v>
      </c>
      <c r="K190" s="3" t="b">
        <v>1</v>
      </c>
      <c r="L190" s="3" t="b">
        <v>1</v>
      </c>
      <c r="M190" s="3" t="b">
        <v>1</v>
      </c>
      <c r="N190" s="3" t="b">
        <f t="shared" si="0"/>
        <v>1</v>
      </c>
      <c r="O190" s="3" t="b">
        <f t="shared" si="1"/>
        <v>0</v>
      </c>
      <c r="P190" s="3" t="b">
        <f t="shared" si="2"/>
        <v>0</v>
      </c>
      <c r="Q190" s="3" t="b">
        <f t="shared" si="3"/>
        <v>0</v>
      </c>
      <c r="R190" s="3" t="b">
        <f t="shared" si="4"/>
        <v>0</v>
      </c>
      <c r="S190" s="3" t="b">
        <f t="shared" si="5"/>
        <v>0</v>
      </c>
      <c r="U190" s="3" t="s">
        <v>501</v>
      </c>
      <c r="V190" s="3" t="b">
        <v>1</v>
      </c>
      <c r="W190" s="3" t="b">
        <v>1</v>
      </c>
      <c r="X190" s="3" t="b">
        <v>1</v>
      </c>
      <c r="Y190" s="3" t="b">
        <v>1</v>
      </c>
      <c r="Z190" s="3" t="b">
        <v>1</v>
      </c>
      <c r="AA190" s="3"/>
      <c r="AB190" s="3"/>
      <c r="AC190" s="3"/>
      <c r="AD190" s="3"/>
      <c r="AE190" s="3"/>
      <c r="AF190" s="3" t="s">
        <v>502</v>
      </c>
      <c r="AG190" s="3" t="b">
        <v>1</v>
      </c>
      <c r="AH190" s="3" t="b">
        <v>1</v>
      </c>
      <c r="AI190" s="3" t="b">
        <v>1</v>
      </c>
      <c r="AJ190" s="3" t="b">
        <v>1</v>
      </c>
      <c r="AK190" s="3" t="b">
        <v>1</v>
      </c>
      <c r="AL190" s="3"/>
      <c r="AM190" s="3"/>
      <c r="AN190" s="3"/>
      <c r="AO190" s="3"/>
      <c r="AP190" s="3"/>
      <c r="AQ190" s="3" t="s">
        <v>503</v>
      </c>
      <c r="AR190" s="3" t="b">
        <v>1</v>
      </c>
      <c r="AS190" s="3" t="b">
        <v>0</v>
      </c>
      <c r="AT190" s="3" t="b">
        <v>0</v>
      </c>
      <c r="AU190" s="3" t="b">
        <v>1</v>
      </c>
      <c r="AV190" s="3" t="b">
        <v>0</v>
      </c>
      <c r="AW190" s="3" t="b">
        <f t="shared" si="6"/>
        <v>0</v>
      </c>
      <c r="AX190" s="3" t="b">
        <f t="shared" si="7"/>
        <v>0</v>
      </c>
      <c r="AY190" s="3" t="b">
        <f t="shared" si="8"/>
        <v>1</v>
      </c>
      <c r="AZ190" s="3" t="b">
        <f t="shared" si="9"/>
        <v>0</v>
      </c>
      <c r="BA190" s="3" t="b">
        <f t="shared" si="10"/>
        <v>0</v>
      </c>
      <c r="BB190" s="3" t="b">
        <f t="shared" si="11"/>
        <v>0</v>
      </c>
      <c r="BC190" s="3"/>
      <c r="BD190" s="3" t="s">
        <v>480</v>
      </c>
      <c r="BE190" s="3" t="b">
        <v>1</v>
      </c>
      <c r="BF190" s="3" t="b">
        <v>0</v>
      </c>
      <c r="BG190" s="3" t="b">
        <v>0</v>
      </c>
      <c r="BH190" s="3" t="b">
        <v>1</v>
      </c>
      <c r="BI190" s="3" t="b">
        <v>0</v>
      </c>
      <c r="BJ190" s="3"/>
      <c r="BK190" s="3"/>
      <c r="BL190" s="3"/>
      <c r="BM190" s="3"/>
      <c r="BN190" s="3"/>
      <c r="BO190" s="3" t="s">
        <v>504</v>
      </c>
      <c r="BP190" s="3" t="b">
        <v>1</v>
      </c>
      <c r="BQ190" s="3" t="b">
        <v>0</v>
      </c>
      <c r="BR190" s="3" t="b">
        <v>0</v>
      </c>
      <c r="BS190" s="3" t="b">
        <v>1</v>
      </c>
      <c r="BT190" s="3" t="b">
        <v>0</v>
      </c>
      <c r="BU190" s="3"/>
      <c r="BV190" s="3"/>
      <c r="BW190" s="3"/>
      <c r="BX190" s="3"/>
    </row>
    <row r="191" spans="1:76" x14ac:dyDescent="0.35">
      <c r="A191" s="3"/>
      <c r="B191" s="3" t="s">
        <v>105</v>
      </c>
      <c r="C191" s="3" t="s">
        <v>25</v>
      </c>
      <c r="D191" s="3"/>
      <c r="E191" s="3"/>
      <c r="F191" s="3"/>
      <c r="G191" s="3" t="s">
        <v>3657</v>
      </c>
      <c r="H191" s="3" t="s">
        <v>460</v>
      </c>
      <c r="I191" s="3" t="b">
        <v>1</v>
      </c>
      <c r="J191" s="3" t="b">
        <v>1</v>
      </c>
      <c r="K191" s="3" t="b">
        <v>1</v>
      </c>
      <c r="L191" s="3" t="b">
        <v>1</v>
      </c>
      <c r="M191" s="3" t="b">
        <v>1</v>
      </c>
      <c r="N191" s="3" t="b">
        <f t="shared" si="0"/>
        <v>1</v>
      </c>
      <c r="O191" s="3" t="b">
        <f t="shared" si="1"/>
        <v>0</v>
      </c>
      <c r="P191" s="3" t="b">
        <f t="shared" si="2"/>
        <v>0</v>
      </c>
      <c r="Q191" s="3" t="b">
        <f t="shared" si="3"/>
        <v>0</v>
      </c>
      <c r="R191" s="3" t="b">
        <f t="shared" si="4"/>
        <v>0</v>
      </c>
      <c r="S191" s="3" t="b">
        <f t="shared" si="5"/>
        <v>0</v>
      </c>
      <c r="U191" s="3" t="s">
        <v>27</v>
      </c>
      <c r="V191" s="3" t="b">
        <v>1</v>
      </c>
      <c r="W191" s="3" t="b">
        <v>1</v>
      </c>
      <c r="X191" s="3" t="b">
        <v>1</v>
      </c>
      <c r="Y191" s="3" t="b">
        <v>1</v>
      </c>
      <c r="Z191" s="3" t="b">
        <v>1</v>
      </c>
      <c r="AA191" s="3"/>
      <c r="AB191" s="3"/>
      <c r="AC191" s="3"/>
      <c r="AD191" s="3"/>
      <c r="AE191" s="3"/>
      <c r="AF191" s="3" t="s">
        <v>27</v>
      </c>
      <c r="AG191" s="3" t="b">
        <v>1</v>
      </c>
      <c r="AH191" s="3" t="b">
        <v>1</v>
      </c>
      <c r="AI191" s="3" t="b">
        <v>1</v>
      </c>
      <c r="AJ191" s="3" t="b">
        <v>1</v>
      </c>
      <c r="AK191" s="3" t="b">
        <v>1</v>
      </c>
      <c r="AL191" s="3"/>
      <c r="AM191" s="3"/>
      <c r="AN191" s="3"/>
      <c r="AO191" s="3"/>
      <c r="AP191" s="3"/>
      <c r="AQ191" s="3" t="s">
        <v>28</v>
      </c>
      <c r="AR191" s="3" t="b">
        <v>1</v>
      </c>
      <c r="AS191" s="3" t="b">
        <v>1</v>
      </c>
      <c r="AT191" s="3" t="b">
        <v>1</v>
      </c>
      <c r="AU191" s="3" t="b">
        <v>1</v>
      </c>
      <c r="AV191" s="3" t="b">
        <v>1</v>
      </c>
      <c r="AW191" s="3" t="b">
        <f t="shared" si="6"/>
        <v>1</v>
      </c>
      <c r="AX191" s="3" t="b">
        <f t="shared" si="7"/>
        <v>0</v>
      </c>
      <c r="AY191" s="3" t="b">
        <f t="shared" si="8"/>
        <v>0</v>
      </c>
      <c r="AZ191" s="3" t="b">
        <f t="shared" si="9"/>
        <v>0</v>
      </c>
      <c r="BA191" s="3" t="b">
        <f t="shared" si="10"/>
        <v>0</v>
      </c>
      <c r="BB191" s="3" t="b">
        <f t="shared" si="11"/>
        <v>0</v>
      </c>
      <c r="BC191" s="3"/>
      <c r="BD191" s="3" t="s">
        <v>28</v>
      </c>
      <c r="BE191" s="3" t="b">
        <v>1</v>
      </c>
      <c r="BF191" s="3" t="b">
        <v>1</v>
      </c>
      <c r="BG191" s="3" t="b">
        <v>1</v>
      </c>
      <c r="BH191" s="3" t="b">
        <v>1</v>
      </c>
      <c r="BI191" s="3" t="b">
        <v>1</v>
      </c>
      <c r="BJ191" s="3"/>
      <c r="BK191" s="3"/>
      <c r="BL191" s="3"/>
      <c r="BM191" s="3"/>
      <c r="BN191" s="3"/>
      <c r="BO191" s="3" t="s">
        <v>28</v>
      </c>
      <c r="BP191" s="3" t="b">
        <v>1</v>
      </c>
      <c r="BQ191" s="3" t="b">
        <v>1</v>
      </c>
      <c r="BR191" s="3" t="b">
        <v>1</v>
      </c>
      <c r="BS191" s="3" t="b">
        <v>1</v>
      </c>
      <c r="BT191" s="3" t="b">
        <v>1</v>
      </c>
      <c r="BU191" s="3"/>
      <c r="BV191" s="3"/>
      <c r="BW191" s="3"/>
      <c r="BX191" s="3"/>
    </row>
    <row r="192" spans="1:76" x14ac:dyDescent="0.35">
      <c r="A192" s="3"/>
      <c r="B192" s="3"/>
      <c r="C192" s="3" t="s">
        <v>29</v>
      </c>
      <c r="D192" s="3"/>
      <c r="E192" s="3"/>
      <c r="F192" s="3"/>
      <c r="G192" s="3" t="s">
        <v>3658</v>
      </c>
      <c r="H192" s="3" t="s">
        <v>31</v>
      </c>
      <c r="I192" s="3" t="b">
        <v>1</v>
      </c>
      <c r="J192" s="3" t="b">
        <v>1</v>
      </c>
      <c r="K192" s="3" t="b">
        <v>1</v>
      </c>
      <c r="L192" s="3" t="b">
        <v>1</v>
      </c>
      <c r="M192" s="3" t="b">
        <v>1</v>
      </c>
      <c r="N192" s="3" t="b">
        <f t="shared" si="0"/>
        <v>1</v>
      </c>
      <c r="O192" s="3" t="b">
        <f t="shared" si="1"/>
        <v>0</v>
      </c>
      <c r="P192" s="3" t="b">
        <f t="shared" si="2"/>
        <v>0</v>
      </c>
      <c r="Q192" s="3" t="b">
        <f t="shared" si="3"/>
        <v>0</v>
      </c>
      <c r="R192" s="3" t="b">
        <f t="shared" si="4"/>
        <v>0</v>
      </c>
      <c r="S192" s="3" t="b">
        <f t="shared" si="5"/>
        <v>0</v>
      </c>
      <c r="U192" s="3" t="s">
        <v>31</v>
      </c>
      <c r="V192" s="3" t="b">
        <v>1</v>
      </c>
      <c r="W192" s="3" t="b">
        <v>1</v>
      </c>
      <c r="X192" s="3" t="b">
        <v>1</v>
      </c>
      <c r="Y192" s="3" t="b">
        <v>1</v>
      </c>
      <c r="Z192" s="3" t="b">
        <v>1</v>
      </c>
      <c r="AA192" s="3"/>
      <c r="AB192" s="3"/>
      <c r="AC192" s="3"/>
      <c r="AD192" s="3"/>
      <c r="AE192" s="3"/>
      <c r="AF192" s="3" t="s">
        <v>31</v>
      </c>
      <c r="AG192" s="3" t="b">
        <v>1</v>
      </c>
      <c r="AH192" s="3" t="b">
        <v>1</v>
      </c>
      <c r="AI192" s="3" t="b">
        <v>1</v>
      </c>
      <c r="AJ192" s="3" t="b">
        <v>1</v>
      </c>
      <c r="AK192" s="3" t="b">
        <v>1</v>
      </c>
      <c r="AL192" s="3"/>
      <c r="AM192" s="3"/>
      <c r="AN192" s="3"/>
      <c r="AO192" s="3"/>
      <c r="AP192" s="3"/>
      <c r="AQ192" s="3" t="s">
        <v>31</v>
      </c>
      <c r="AR192" s="3" t="b">
        <v>1</v>
      </c>
      <c r="AS192" s="3" t="b">
        <v>1</v>
      </c>
      <c r="AT192" s="3" t="b">
        <v>1</v>
      </c>
      <c r="AU192" s="3" t="b">
        <v>1</v>
      </c>
      <c r="AV192" s="3" t="b">
        <v>1</v>
      </c>
      <c r="AW192" s="3" t="b">
        <f t="shared" si="6"/>
        <v>1</v>
      </c>
      <c r="AX192" s="3" t="b">
        <f t="shared" si="7"/>
        <v>0</v>
      </c>
      <c r="AY192" s="3" t="b">
        <f t="shared" si="8"/>
        <v>0</v>
      </c>
      <c r="AZ192" s="3" t="b">
        <f t="shared" si="9"/>
        <v>0</v>
      </c>
      <c r="BA192" s="3" t="b">
        <f t="shared" si="10"/>
        <v>0</v>
      </c>
      <c r="BB192" s="3" t="b">
        <f t="shared" si="11"/>
        <v>0</v>
      </c>
      <c r="BC192" s="3"/>
      <c r="BD192" s="3" t="s">
        <v>31</v>
      </c>
      <c r="BE192" s="3" t="b">
        <v>1</v>
      </c>
      <c r="BF192" s="3" t="b">
        <v>1</v>
      </c>
      <c r="BG192" s="3" t="b">
        <v>1</v>
      </c>
      <c r="BH192" s="3" t="b">
        <v>1</v>
      </c>
      <c r="BI192" s="3" t="b">
        <v>1</v>
      </c>
      <c r="BJ192" s="3"/>
      <c r="BK192" s="3"/>
      <c r="BL192" s="3"/>
      <c r="BM192" s="3"/>
      <c r="BN192" s="3"/>
      <c r="BO192" s="3" t="s">
        <v>31</v>
      </c>
      <c r="BP192" s="3" t="b">
        <v>1</v>
      </c>
      <c r="BQ192" s="3" t="b">
        <v>1</v>
      </c>
      <c r="BR192" s="3" t="b">
        <v>1</v>
      </c>
      <c r="BS192" s="3" t="b">
        <v>1</v>
      </c>
      <c r="BT192" s="3" t="b">
        <v>1</v>
      </c>
      <c r="BU192" s="3"/>
      <c r="BV192" s="3"/>
      <c r="BW192" s="3"/>
      <c r="BX192" s="3"/>
    </row>
    <row r="193" spans="1:76" x14ac:dyDescent="0.35">
      <c r="A193" s="3"/>
      <c r="B193" s="3" t="s">
        <v>108</v>
      </c>
      <c r="C193" s="3" t="s">
        <v>109</v>
      </c>
      <c r="D193" s="3"/>
      <c r="E193" s="3"/>
      <c r="F193" s="3"/>
      <c r="G193" s="3" t="s">
        <v>3659</v>
      </c>
      <c r="H193" s="3" t="s">
        <v>111</v>
      </c>
      <c r="I193" s="3" t="b">
        <v>1</v>
      </c>
      <c r="J193" s="3" t="b">
        <v>1</v>
      </c>
      <c r="K193" s="3" t="b">
        <v>1</v>
      </c>
      <c r="L193" s="3" t="b">
        <v>1</v>
      </c>
      <c r="M193" s="3" t="b">
        <v>1</v>
      </c>
      <c r="N193" s="3" t="b">
        <f t="shared" si="0"/>
        <v>1</v>
      </c>
      <c r="O193" s="3" t="b">
        <f t="shared" si="1"/>
        <v>0</v>
      </c>
      <c r="P193" s="3" t="b">
        <f t="shared" si="2"/>
        <v>0</v>
      </c>
      <c r="Q193" s="3" t="b">
        <f t="shared" si="3"/>
        <v>0</v>
      </c>
      <c r="R193" s="3" t="b">
        <f t="shared" si="4"/>
        <v>0</v>
      </c>
      <c r="S193" s="3" t="b">
        <f t="shared" si="5"/>
        <v>0</v>
      </c>
      <c r="U193" s="3" t="s">
        <v>111</v>
      </c>
      <c r="V193" s="3" t="b">
        <v>1</v>
      </c>
      <c r="W193" s="3" t="b">
        <v>1</v>
      </c>
      <c r="X193" s="3" t="b">
        <v>1</v>
      </c>
      <c r="Y193" s="3" t="b">
        <v>1</v>
      </c>
      <c r="Z193" s="3" t="b">
        <v>1</v>
      </c>
      <c r="AA193" s="3"/>
      <c r="AB193" s="3"/>
      <c r="AC193" s="3"/>
      <c r="AD193" s="3"/>
      <c r="AE193" s="3"/>
      <c r="AF193" s="3" t="s">
        <v>111</v>
      </c>
      <c r="AG193" s="3" t="b">
        <v>1</v>
      </c>
      <c r="AH193" s="3" t="b">
        <v>1</v>
      </c>
      <c r="AI193" s="3" t="b">
        <v>1</v>
      </c>
      <c r="AJ193" s="3" t="b">
        <v>1</v>
      </c>
      <c r="AK193" s="3" t="b">
        <v>1</v>
      </c>
      <c r="AL193" s="3"/>
      <c r="AM193" s="3"/>
      <c r="AN193" s="3"/>
      <c r="AO193" s="3"/>
      <c r="AP193" s="3"/>
      <c r="AQ193" s="3" t="s">
        <v>112</v>
      </c>
      <c r="AR193" s="3" t="b">
        <v>1</v>
      </c>
      <c r="AS193" s="3" t="b">
        <v>1</v>
      </c>
      <c r="AT193" s="3" t="b">
        <v>1</v>
      </c>
      <c r="AU193" s="3" t="b">
        <v>1</v>
      </c>
      <c r="AV193" s="3" t="b">
        <v>1</v>
      </c>
      <c r="AW193" s="3" t="b">
        <f t="shared" si="6"/>
        <v>1</v>
      </c>
      <c r="AX193" s="3" t="b">
        <f t="shared" si="7"/>
        <v>0</v>
      </c>
      <c r="AY193" s="3" t="b">
        <f t="shared" si="8"/>
        <v>0</v>
      </c>
      <c r="AZ193" s="3" t="b">
        <f t="shared" si="9"/>
        <v>0</v>
      </c>
      <c r="BA193" s="3" t="b">
        <f t="shared" si="10"/>
        <v>0</v>
      </c>
      <c r="BB193" s="3" t="b">
        <f t="shared" si="11"/>
        <v>0</v>
      </c>
      <c r="BC193" s="3"/>
      <c r="BD193" s="3" t="s">
        <v>112</v>
      </c>
      <c r="BE193" s="3" t="b">
        <v>1</v>
      </c>
      <c r="BF193" s="3" t="b">
        <v>1</v>
      </c>
      <c r="BG193" s="3" t="b">
        <v>1</v>
      </c>
      <c r="BH193" s="3" t="b">
        <v>1</v>
      </c>
      <c r="BI193" s="3" t="b">
        <v>1</v>
      </c>
      <c r="BJ193" s="3"/>
      <c r="BK193" s="3"/>
      <c r="BL193" s="3"/>
      <c r="BM193" s="3"/>
      <c r="BN193" s="3"/>
      <c r="BO193" s="3" t="s">
        <v>112</v>
      </c>
      <c r="BP193" s="3" t="b">
        <v>1</v>
      </c>
      <c r="BQ193" s="3" t="b">
        <v>1</v>
      </c>
      <c r="BR193" s="3" t="b">
        <v>1</v>
      </c>
      <c r="BS193" s="3" t="b">
        <v>1</v>
      </c>
      <c r="BT193" s="3" t="b">
        <v>1</v>
      </c>
      <c r="BU193" s="3"/>
      <c r="BV193" s="3"/>
      <c r="BW193" s="3"/>
      <c r="BX193" s="3"/>
    </row>
    <row r="194" spans="1:76" x14ac:dyDescent="0.35">
      <c r="A194" s="3"/>
      <c r="B194" s="3"/>
      <c r="C194" s="3" t="s">
        <v>113</v>
      </c>
      <c r="D194" s="3"/>
      <c r="E194" s="3"/>
      <c r="F194" s="3"/>
      <c r="G194" s="3" t="s">
        <v>3660</v>
      </c>
      <c r="H194" s="3" t="s">
        <v>117</v>
      </c>
      <c r="I194" s="3" t="b">
        <v>1</v>
      </c>
      <c r="J194" s="3" t="b">
        <v>1</v>
      </c>
      <c r="K194" s="3" t="b">
        <v>1</v>
      </c>
      <c r="L194" s="3" t="b">
        <v>1</v>
      </c>
      <c r="M194" s="3" t="b">
        <v>1</v>
      </c>
      <c r="N194" s="3" t="b">
        <f t="shared" si="0"/>
        <v>1</v>
      </c>
      <c r="O194" s="3" t="b">
        <f t="shared" si="1"/>
        <v>0</v>
      </c>
      <c r="P194" s="3" t="b">
        <f t="shared" si="2"/>
        <v>0</v>
      </c>
      <c r="Q194" s="3" t="b">
        <f t="shared" si="3"/>
        <v>0</v>
      </c>
      <c r="R194" s="3" t="b">
        <f t="shared" si="4"/>
        <v>0</v>
      </c>
      <c r="S194" s="3" t="b">
        <f t="shared" si="5"/>
        <v>0</v>
      </c>
      <c r="U194" s="3" t="s">
        <v>118</v>
      </c>
      <c r="V194" s="3" t="b">
        <v>1</v>
      </c>
      <c r="W194" s="3" t="b">
        <v>1</v>
      </c>
      <c r="X194" s="3" t="b">
        <v>1</v>
      </c>
      <c r="Y194" s="3" t="b">
        <v>1</v>
      </c>
      <c r="Z194" s="3" t="b">
        <v>1</v>
      </c>
      <c r="AA194" s="3"/>
      <c r="AB194" s="3"/>
      <c r="AC194" s="3"/>
      <c r="AD194" s="3"/>
      <c r="AE194" s="3"/>
      <c r="AF194" s="3" t="s">
        <v>117</v>
      </c>
      <c r="AG194" s="3" t="b">
        <v>1</v>
      </c>
      <c r="AH194" s="3" t="b">
        <v>1</v>
      </c>
      <c r="AI194" s="3" t="b">
        <v>1</v>
      </c>
      <c r="AJ194" s="3" t="b">
        <v>1</v>
      </c>
      <c r="AK194" s="3" t="b">
        <v>1</v>
      </c>
      <c r="AL194" s="3"/>
      <c r="AM194" s="3"/>
      <c r="AN194" s="3"/>
      <c r="AO194" s="3"/>
      <c r="AP194" s="3"/>
      <c r="AQ194" s="3" t="s">
        <v>508</v>
      </c>
      <c r="AR194" s="3" t="b">
        <v>1</v>
      </c>
      <c r="AS194" s="3" t="b">
        <v>0</v>
      </c>
      <c r="AT194" s="3" t="b">
        <v>0</v>
      </c>
      <c r="AU194" s="3" t="b">
        <v>1</v>
      </c>
      <c r="AV194" s="3" t="b">
        <v>0</v>
      </c>
      <c r="AW194" s="3" t="b">
        <f t="shared" si="6"/>
        <v>0</v>
      </c>
      <c r="AX194" s="3" t="b">
        <f t="shared" si="7"/>
        <v>0</v>
      </c>
      <c r="AY194" s="3" t="b">
        <f t="shared" si="8"/>
        <v>1</v>
      </c>
      <c r="AZ194" s="3" t="b">
        <f t="shared" si="9"/>
        <v>0</v>
      </c>
      <c r="BA194" s="3" t="b">
        <f t="shared" si="10"/>
        <v>0</v>
      </c>
      <c r="BB194" s="3" t="b">
        <f t="shared" si="11"/>
        <v>0</v>
      </c>
      <c r="BC194" s="3"/>
      <c r="BD194" s="3" t="s">
        <v>508</v>
      </c>
      <c r="BE194" s="3" t="b">
        <v>1</v>
      </c>
      <c r="BF194" s="3" t="b">
        <v>0</v>
      </c>
      <c r="BG194" s="3" t="b">
        <v>0</v>
      </c>
      <c r="BH194" s="3" t="b">
        <v>1</v>
      </c>
      <c r="BI194" s="3" t="b">
        <v>0</v>
      </c>
      <c r="BJ194" s="3"/>
      <c r="BK194" s="3"/>
      <c r="BL194" s="3"/>
      <c r="BM194" s="3"/>
      <c r="BN194" s="3"/>
      <c r="BO194" s="3" t="s">
        <v>117</v>
      </c>
      <c r="BP194" s="3" t="b">
        <v>1</v>
      </c>
      <c r="BQ194" s="3" t="b">
        <v>1</v>
      </c>
      <c r="BR194" s="3" t="b">
        <v>1</v>
      </c>
      <c r="BS194" s="3" t="b">
        <v>1</v>
      </c>
      <c r="BT194" s="3" t="b">
        <v>1</v>
      </c>
      <c r="BU194" s="3"/>
      <c r="BV194" s="3"/>
      <c r="BW194" s="3"/>
      <c r="BX194" s="3"/>
    </row>
    <row r="195" spans="1:76" x14ac:dyDescent="0.35">
      <c r="A195" s="3"/>
      <c r="B195" s="3"/>
      <c r="C195" s="3" t="s">
        <v>509</v>
      </c>
      <c r="D195" s="3"/>
      <c r="E195" s="3"/>
      <c r="F195" s="3"/>
      <c r="G195" s="3" t="s">
        <v>3661</v>
      </c>
      <c r="H195" s="3" t="s">
        <v>511</v>
      </c>
      <c r="I195" s="3" t="b">
        <v>1</v>
      </c>
      <c r="J195" s="3" t="b">
        <v>1</v>
      </c>
      <c r="K195" s="3" t="b">
        <v>1</v>
      </c>
      <c r="L195" s="3" t="b">
        <v>1</v>
      </c>
      <c r="M195" s="3" t="b">
        <v>1</v>
      </c>
      <c r="N195" s="3" t="b">
        <f t="shared" si="0"/>
        <v>1</v>
      </c>
      <c r="O195" s="3" t="b">
        <f t="shared" si="1"/>
        <v>0</v>
      </c>
      <c r="P195" s="3" t="b">
        <f t="shared" si="2"/>
        <v>0</v>
      </c>
      <c r="Q195" s="3" t="b">
        <f t="shared" si="3"/>
        <v>0</v>
      </c>
      <c r="R195" s="3" t="b">
        <f t="shared" si="4"/>
        <v>0</v>
      </c>
      <c r="S195" s="3" t="b">
        <f t="shared" si="5"/>
        <v>0</v>
      </c>
      <c r="U195" s="3" t="s">
        <v>122</v>
      </c>
      <c r="V195" s="3" t="b">
        <v>1</v>
      </c>
      <c r="W195" s="3" t="b">
        <v>0</v>
      </c>
      <c r="X195" s="3" t="b">
        <v>0</v>
      </c>
      <c r="Y195" s="3" t="b">
        <v>1</v>
      </c>
      <c r="Z195" s="3" t="b">
        <v>0</v>
      </c>
      <c r="AA195" s="3"/>
      <c r="AB195" s="3"/>
      <c r="AC195" s="3"/>
      <c r="AD195" s="3"/>
      <c r="AE195" s="3"/>
      <c r="AF195" s="3" t="s">
        <v>122</v>
      </c>
      <c r="AG195" s="3" t="b">
        <v>1</v>
      </c>
      <c r="AH195" s="3" t="b">
        <v>0</v>
      </c>
      <c r="AI195" s="3" t="b">
        <v>0</v>
      </c>
      <c r="AJ195" s="3" t="b">
        <v>1</v>
      </c>
      <c r="AK195" s="3" t="b">
        <v>0</v>
      </c>
      <c r="AL195" s="3"/>
      <c r="AM195" s="3"/>
      <c r="AN195" s="3"/>
      <c r="AO195" s="3"/>
      <c r="AP195" s="3"/>
      <c r="AQ195" s="3" t="s">
        <v>512</v>
      </c>
      <c r="AR195" s="3" t="b">
        <v>1</v>
      </c>
      <c r="AS195" s="3" t="b">
        <v>0</v>
      </c>
      <c r="AT195" s="3" t="b">
        <v>0</v>
      </c>
      <c r="AU195" s="3" t="b">
        <v>1</v>
      </c>
      <c r="AV195" s="3" t="b">
        <v>0</v>
      </c>
      <c r="AW195" s="3" t="b">
        <f t="shared" si="6"/>
        <v>0</v>
      </c>
      <c r="AX195" s="3" t="b">
        <f t="shared" si="7"/>
        <v>0</v>
      </c>
      <c r="AY195" s="3" t="b">
        <f t="shared" si="8"/>
        <v>1</v>
      </c>
      <c r="AZ195" s="3" t="b">
        <f t="shared" si="9"/>
        <v>0</v>
      </c>
      <c r="BA195" s="3" t="b">
        <f t="shared" si="10"/>
        <v>0</v>
      </c>
      <c r="BB195" s="3" t="b">
        <f t="shared" si="11"/>
        <v>0</v>
      </c>
      <c r="BC195" s="3"/>
      <c r="BD195" s="3" t="s">
        <v>513</v>
      </c>
      <c r="BE195" s="3" t="b">
        <v>1</v>
      </c>
      <c r="BF195" s="3" t="b">
        <v>1</v>
      </c>
      <c r="BG195" s="3" t="b">
        <v>1</v>
      </c>
      <c r="BH195" s="3" t="b">
        <v>1</v>
      </c>
      <c r="BI195" s="3" t="b">
        <v>1</v>
      </c>
      <c r="BJ195" s="3"/>
      <c r="BK195" s="3"/>
      <c r="BL195" s="3"/>
      <c r="BM195" s="3"/>
      <c r="BN195" s="3"/>
      <c r="BO195" s="3" t="s">
        <v>240</v>
      </c>
      <c r="BP195" s="3" t="b">
        <v>1</v>
      </c>
      <c r="BQ195" s="3" t="b">
        <v>1</v>
      </c>
      <c r="BR195" s="3" t="b">
        <v>1</v>
      </c>
      <c r="BS195" s="3" t="b">
        <v>1</v>
      </c>
      <c r="BT195" s="3" t="b">
        <v>0</v>
      </c>
      <c r="BU195" s="3"/>
      <c r="BV195" s="3"/>
      <c r="BW195" s="3"/>
      <c r="BX195" s="3"/>
    </row>
    <row r="196" spans="1:76" x14ac:dyDescent="0.35">
      <c r="A196" s="3"/>
      <c r="B196" s="3"/>
      <c r="C196" s="3" t="s">
        <v>514</v>
      </c>
      <c r="D196" s="3"/>
      <c r="E196" s="3"/>
      <c r="F196" s="3"/>
      <c r="G196" s="3" t="s">
        <v>3662</v>
      </c>
      <c r="H196" s="3" t="s">
        <v>516</v>
      </c>
      <c r="I196" s="3" t="b">
        <v>1</v>
      </c>
      <c r="J196" s="3" t="b">
        <v>1</v>
      </c>
      <c r="K196" s="3" t="b">
        <v>1</v>
      </c>
      <c r="L196" s="3" t="b">
        <v>1</v>
      </c>
      <c r="M196" s="3" t="b">
        <v>1</v>
      </c>
      <c r="N196" s="3" t="b">
        <f t="shared" si="0"/>
        <v>1</v>
      </c>
      <c r="O196" s="3" t="b">
        <f t="shared" si="1"/>
        <v>0</v>
      </c>
      <c r="P196" s="3" t="b">
        <f t="shared" si="2"/>
        <v>0</v>
      </c>
      <c r="Q196" s="3" t="b">
        <f t="shared" si="3"/>
        <v>0</v>
      </c>
      <c r="R196" s="3" t="b">
        <f t="shared" si="4"/>
        <v>0</v>
      </c>
      <c r="S196" s="3" t="b">
        <f t="shared" si="5"/>
        <v>0</v>
      </c>
      <c r="U196" s="3" t="s">
        <v>517</v>
      </c>
      <c r="V196" s="3" t="b">
        <v>1</v>
      </c>
      <c r="W196" s="3" t="b">
        <v>0</v>
      </c>
      <c r="X196" s="3" t="b">
        <v>0</v>
      </c>
      <c r="Y196" s="3" t="b">
        <v>1</v>
      </c>
      <c r="Z196" s="3" t="b">
        <v>0</v>
      </c>
      <c r="AA196" s="3"/>
      <c r="AB196" s="3"/>
      <c r="AC196" s="3"/>
      <c r="AD196" s="3"/>
      <c r="AE196" s="3"/>
      <c r="AF196" s="3" t="s">
        <v>517</v>
      </c>
      <c r="AG196" s="3" t="b">
        <v>1</v>
      </c>
      <c r="AH196" s="3" t="b">
        <v>0</v>
      </c>
      <c r="AI196" s="3" t="b">
        <v>0</v>
      </c>
      <c r="AJ196" s="3" t="b">
        <v>1</v>
      </c>
      <c r="AK196" s="3" t="b">
        <v>0</v>
      </c>
      <c r="AL196" s="3"/>
      <c r="AM196" s="3"/>
      <c r="AN196" s="3"/>
      <c r="AO196" s="3"/>
      <c r="AP196" s="3"/>
      <c r="AQ196" s="3" t="s">
        <v>518</v>
      </c>
      <c r="AR196" s="3" t="b">
        <v>1</v>
      </c>
      <c r="AS196" s="3" t="b">
        <v>0</v>
      </c>
      <c r="AT196" s="3" t="b">
        <v>0</v>
      </c>
      <c r="AU196" s="3" t="b">
        <v>1</v>
      </c>
      <c r="AV196" s="3" t="b">
        <v>0</v>
      </c>
      <c r="AW196" s="3" t="b">
        <f t="shared" si="6"/>
        <v>0</v>
      </c>
      <c r="AX196" s="3" t="b">
        <f t="shared" si="7"/>
        <v>0</v>
      </c>
      <c r="AY196" s="3" t="b">
        <f t="shared" si="8"/>
        <v>1</v>
      </c>
      <c r="AZ196" s="3" t="b">
        <f t="shared" si="9"/>
        <v>0</v>
      </c>
      <c r="BA196" s="3" t="b">
        <f t="shared" si="10"/>
        <v>0</v>
      </c>
      <c r="BB196" s="3" t="b">
        <f t="shared" si="11"/>
        <v>0</v>
      </c>
      <c r="BC196" s="3"/>
      <c r="BD196" s="3" t="s">
        <v>519</v>
      </c>
      <c r="BE196" s="3" t="b">
        <v>1</v>
      </c>
      <c r="BF196" s="3" t="b">
        <v>1</v>
      </c>
      <c r="BG196" s="3" t="b">
        <v>1</v>
      </c>
      <c r="BH196" s="3" t="b">
        <v>1</v>
      </c>
      <c r="BI196" s="3" t="b">
        <v>1</v>
      </c>
      <c r="BJ196" s="3"/>
      <c r="BK196" s="3"/>
      <c r="BL196" s="3"/>
      <c r="BM196" s="3"/>
      <c r="BN196" s="3"/>
      <c r="BO196" s="3" t="s">
        <v>520</v>
      </c>
      <c r="BP196" s="3" t="b">
        <v>1</v>
      </c>
      <c r="BQ196" s="3" t="b">
        <v>0</v>
      </c>
      <c r="BR196" s="3" t="b">
        <v>0</v>
      </c>
      <c r="BS196" s="3" t="b">
        <v>1</v>
      </c>
      <c r="BT196" s="3" t="b">
        <v>0</v>
      </c>
      <c r="BU196" s="3"/>
      <c r="BV196" s="3"/>
      <c r="BW196" s="3"/>
      <c r="BX196" s="3"/>
    </row>
    <row r="197" spans="1:76" x14ac:dyDescent="0.35">
      <c r="A197" s="3"/>
      <c r="B197" s="3"/>
      <c r="C197" s="3" t="s">
        <v>131</v>
      </c>
      <c r="D197" s="3"/>
      <c r="E197" s="3"/>
      <c r="F197" s="3"/>
      <c r="G197" s="3" t="s">
        <v>3663</v>
      </c>
      <c r="H197" s="3" t="s">
        <v>133</v>
      </c>
      <c r="I197" s="3" t="b">
        <v>1</v>
      </c>
      <c r="J197" s="3" t="b">
        <v>1</v>
      </c>
      <c r="K197" s="3" t="b">
        <v>1</v>
      </c>
      <c r="L197" s="3" t="b">
        <v>1</v>
      </c>
      <c r="M197" s="3" t="b">
        <v>1</v>
      </c>
      <c r="N197" s="3" t="b">
        <f t="shared" si="0"/>
        <v>1</v>
      </c>
      <c r="O197" s="3" t="b">
        <f t="shared" si="1"/>
        <v>0</v>
      </c>
      <c r="P197" s="3" t="b">
        <f t="shared" si="2"/>
        <v>0</v>
      </c>
      <c r="Q197" s="3" t="b">
        <f t="shared" si="3"/>
        <v>0</v>
      </c>
      <c r="R197" s="3" t="b">
        <f t="shared" si="4"/>
        <v>0</v>
      </c>
      <c r="S197" s="3" t="b">
        <f t="shared" si="5"/>
        <v>0</v>
      </c>
      <c r="U197" s="3" t="s">
        <v>133</v>
      </c>
      <c r="V197" s="3" t="b">
        <v>1</v>
      </c>
      <c r="W197" s="3" t="b">
        <v>1</v>
      </c>
      <c r="X197" s="3" t="b">
        <v>1</v>
      </c>
      <c r="Y197" s="3" t="b">
        <v>1</v>
      </c>
      <c r="Z197" s="3" t="b">
        <v>1</v>
      </c>
      <c r="AA197" s="3"/>
      <c r="AB197" s="3"/>
      <c r="AC197" s="3"/>
      <c r="AD197" s="3"/>
      <c r="AE197" s="3"/>
      <c r="AF197" s="3" t="s">
        <v>133</v>
      </c>
      <c r="AG197" s="3" t="b">
        <v>1</v>
      </c>
      <c r="AH197" s="3" t="b">
        <v>1</v>
      </c>
      <c r="AI197" s="3" t="b">
        <v>1</v>
      </c>
      <c r="AJ197" s="3" t="b">
        <v>1</v>
      </c>
      <c r="AK197" s="3" t="b">
        <v>1</v>
      </c>
      <c r="AL197" s="3"/>
      <c r="AM197" s="3"/>
      <c r="AN197" s="3"/>
      <c r="AO197" s="3"/>
      <c r="AP197" s="3"/>
      <c r="AQ197" s="3" t="s">
        <v>133</v>
      </c>
      <c r="AR197" s="3" t="b">
        <v>1</v>
      </c>
      <c r="AS197" s="3" t="b">
        <v>1</v>
      </c>
      <c r="AT197" s="3" t="b">
        <v>1</v>
      </c>
      <c r="AU197" s="3" t="b">
        <v>1</v>
      </c>
      <c r="AV197" s="3" t="b">
        <v>1</v>
      </c>
      <c r="AW197" s="3" t="b">
        <f t="shared" si="6"/>
        <v>1</v>
      </c>
      <c r="AX197" s="3" t="b">
        <f t="shared" si="7"/>
        <v>0</v>
      </c>
      <c r="AY197" s="3" t="b">
        <f t="shared" si="8"/>
        <v>0</v>
      </c>
      <c r="AZ197" s="3" t="b">
        <f t="shared" si="9"/>
        <v>0</v>
      </c>
      <c r="BA197" s="3" t="b">
        <f t="shared" si="10"/>
        <v>0</v>
      </c>
      <c r="BB197" s="3" t="b">
        <f t="shared" si="11"/>
        <v>0</v>
      </c>
      <c r="BC197" s="3"/>
      <c r="BD197" s="3" t="s">
        <v>133</v>
      </c>
      <c r="BE197" s="3" t="b">
        <v>1</v>
      </c>
      <c r="BF197" s="3" t="b">
        <v>1</v>
      </c>
      <c r="BG197" s="3" t="b">
        <v>1</v>
      </c>
      <c r="BH197" s="3" t="b">
        <v>1</v>
      </c>
      <c r="BI197" s="3" t="b">
        <v>1</v>
      </c>
      <c r="BJ197" s="3"/>
      <c r="BK197" s="3"/>
      <c r="BL197" s="3"/>
      <c r="BM197" s="3"/>
      <c r="BN197" s="3"/>
      <c r="BO197" s="3" t="s">
        <v>133</v>
      </c>
      <c r="BP197" s="3" t="b">
        <v>1</v>
      </c>
      <c r="BQ197" s="3" t="b">
        <v>1</v>
      </c>
      <c r="BR197" s="3" t="b">
        <v>1</v>
      </c>
      <c r="BS197" s="3" t="b">
        <v>1</v>
      </c>
      <c r="BT197" s="3" t="b">
        <v>1</v>
      </c>
      <c r="BU197" s="3"/>
      <c r="BV197" s="3"/>
      <c r="BW197" s="3"/>
      <c r="BX197" s="3"/>
    </row>
    <row r="198" spans="1:76" x14ac:dyDescent="0.35">
      <c r="A198" s="3"/>
      <c r="B198" s="5" t="s">
        <v>242</v>
      </c>
      <c r="C198" s="5" t="s">
        <v>131</v>
      </c>
      <c r="D198" s="3"/>
      <c r="E198" s="3"/>
      <c r="F198" s="3"/>
      <c r="G198" s="3"/>
      <c r="H198" s="3"/>
      <c r="I198" s="3"/>
      <c r="J198" s="3"/>
      <c r="K198" s="3"/>
      <c r="L198" s="3"/>
      <c r="M198" s="3"/>
      <c r="N198" s="3">
        <f t="shared" si="0"/>
        <v>0</v>
      </c>
      <c r="O198" s="3">
        <f t="shared" si="1"/>
        <v>0</v>
      </c>
      <c r="P198" s="3">
        <f t="shared" si="2"/>
        <v>0</v>
      </c>
      <c r="Q198" s="3">
        <f t="shared" si="3"/>
        <v>0</v>
      </c>
      <c r="R198" s="3">
        <f t="shared" si="4"/>
        <v>0</v>
      </c>
      <c r="S198" s="3">
        <f t="shared" si="5"/>
        <v>0</v>
      </c>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f t="shared" si="6"/>
        <v>0</v>
      </c>
      <c r="AX198" s="3">
        <f t="shared" si="7"/>
        <v>0</v>
      </c>
      <c r="AY198" s="3">
        <f t="shared" si="8"/>
        <v>0</v>
      </c>
      <c r="AZ198" s="3">
        <f t="shared" si="9"/>
        <v>0</v>
      </c>
      <c r="BA198" s="3">
        <f t="shared" si="10"/>
        <v>0</v>
      </c>
      <c r="BB198" s="3">
        <f t="shared" si="11"/>
        <v>0</v>
      </c>
      <c r="BC198" s="3"/>
      <c r="BD198" s="3"/>
      <c r="BE198" s="3"/>
      <c r="BF198" s="3"/>
      <c r="BG198" s="3"/>
      <c r="BH198" s="3"/>
      <c r="BI198" s="3"/>
      <c r="BJ198" s="3"/>
      <c r="BK198" s="3"/>
      <c r="BL198" s="3"/>
      <c r="BM198" s="3"/>
      <c r="BN198" s="3"/>
      <c r="BO198" s="3"/>
      <c r="BP198" s="3"/>
      <c r="BQ198" s="3"/>
      <c r="BR198" s="3"/>
      <c r="BS198" s="3"/>
      <c r="BT198" s="3"/>
      <c r="BU198" s="3"/>
      <c r="BV198" s="3"/>
      <c r="BW198" s="3"/>
      <c r="BX198" s="3"/>
    </row>
    <row r="199" spans="1:76" x14ac:dyDescent="0.35">
      <c r="A199" s="3"/>
      <c r="B199" s="3" t="s">
        <v>243</v>
      </c>
      <c r="C199" s="3"/>
      <c r="D199" s="3"/>
      <c r="E199" s="3"/>
      <c r="F199" s="3"/>
      <c r="G199" s="3"/>
      <c r="H199" s="3"/>
      <c r="I199" s="3"/>
      <c r="J199" s="3"/>
      <c r="K199" s="3"/>
      <c r="L199" s="3"/>
      <c r="M199" s="3"/>
      <c r="N199" s="3">
        <f t="shared" si="0"/>
        <v>0</v>
      </c>
      <c r="O199" s="3">
        <f t="shared" si="1"/>
        <v>0</v>
      </c>
      <c r="P199" s="3">
        <f t="shared" si="2"/>
        <v>0</v>
      </c>
      <c r="Q199" s="3">
        <f t="shared" si="3"/>
        <v>0</v>
      </c>
      <c r="R199" s="3">
        <f t="shared" si="4"/>
        <v>0</v>
      </c>
      <c r="S199" s="3">
        <f t="shared" si="5"/>
        <v>0</v>
      </c>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f t="shared" si="6"/>
        <v>0</v>
      </c>
      <c r="AX199" s="3">
        <f t="shared" si="7"/>
        <v>0</v>
      </c>
      <c r="AY199" s="3">
        <f t="shared" si="8"/>
        <v>0</v>
      </c>
      <c r="AZ199" s="3">
        <f t="shared" si="9"/>
        <v>0</v>
      </c>
      <c r="BA199" s="3">
        <f t="shared" si="10"/>
        <v>0</v>
      </c>
      <c r="BB199" s="3">
        <f t="shared" si="11"/>
        <v>0</v>
      </c>
      <c r="BC199" s="3"/>
      <c r="BD199" s="3"/>
      <c r="BE199" s="3"/>
      <c r="BF199" s="3"/>
      <c r="BG199" s="3"/>
      <c r="BH199" s="3"/>
      <c r="BI199" s="3"/>
      <c r="BJ199" s="3"/>
      <c r="BK199" s="3"/>
      <c r="BL199" s="3"/>
      <c r="BM199" s="3"/>
      <c r="BN199" s="3"/>
      <c r="BO199" s="3"/>
      <c r="BP199" s="3"/>
      <c r="BQ199" s="3"/>
      <c r="BR199" s="3"/>
      <c r="BS199" s="3"/>
      <c r="BT199" s="3"/>
      <c r="BU199" s="3"/>
      <c r="BV199" s="3"/>
      <c r="BW199" s="3"/>
      <c r="BX199" s="3"/>
    </row>
    <row r="200" spans="1:76" x14ac:dyDescent="0.35">
      <c r="A200" s="3"/>
      <c r="B200" s="3" t="s">
        <v>134</v>
      </c>
      <c r="C200" s="3"/>
      <c r="D200" s="3"/>
      <c r="E200" s="3"/>
      <c r="F200" s="3"/>
      <c r="G200" s="3"/>
      <c r="H200" s="3"/>
      <c r="I200" s="3"/>
      <c r="J200" s="3"/>
      <c r="K200" s="3"/>
      <c r="L200" s="3"/>
      <c r="M200" s="3"/>
      <c r="N200" s="3">
        <f t="shared" si="0"/>
        <v>0</v>
      </c>
      <c r="O200" s="3">
        <f t="shared" si="1"/>
        <v>0</v>
      </c>
      <c r="P200" s="3">
        <f t="shared" si="2"/>
        <v>0</v>
      </c>
      <c r="Q200" s="3">
        <f t="shared" si="3"/>
        <v>0</v>
      </c>
      <c r="R200" s="3">
        <f t="shared" si="4"/>
        <v>0</v>
      </c>
      <c r="S200" s="3">
        <f t="shared" si="5"/>
        <v>0</v>
      </c>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f t="shared" si="6"/>
        <v>0</v>
      </c>
      <c r="AX200" s="3">
        <f t="shared" si="7"/>
        <v>0</v>
      </c>
      <c r="AY200" s="3">
        <f t="shared" si="8"/>
        <v>0</v>
      </c>
      <c r="AZ200" s="3">
        <f t="shared" si="9"/>
        <v>0</v>
      </c>
      <c r="BA200" s="3">
        <f t="shared" si="10"/>
        <v>0</v>
      </c>
      <c r="BB200" s="3">
        <f t="shared" si="11"/>
        <v>0</v>
      </c>
      <c r="BC200" s="3"/>
      <c r="BD200" s="3"/>
      <c r="BE200" s="3"/>
      <c r="BF200" s="3"/>
      <c r="BG200" s="3"/>
      <c r="BH200" s="3"/>
      <c r="BI200" s="3"/>
      <c r="BJ200" s="3"/>
      <c r="BK200" s="3"/>
      <c r="BL200" s="3"/>
      <c r="BM200" s="3"/>
      <c r="BN200" s="3"/>
      <c r="BO200" s="3"/>
      <c r="BP200" s="3"/>
      <c r="BQ200" s="3"/>
      <c r="BR200" s="3"/>
      <c r="BS200" s="3"/>
      <c r="BT200" s="3"/>
      <c r="BU200" s="3"/>
      <c r="BV200" s="3"/>
      <c r="BW200" s="3"/>
      <c r="BX200" s="3"/>
    </row>
    <row r="201" spans="1:76" x14ac:dyDescent="0.35">
      <c r="A201" s="3"/>
      <c r="B201" s="3" t="s">
        <v>244</v>
      </c>
      <c r="C201" s="3"/>
      <c r="D201" s="3"/>
      <c r="E201" s="3"/>
      <c r="F201" s="3"/>
      <c r="G201" s="3"/>
      <c r="H201" s="3"/>
      <c r="I201" s="3"/>
      <c r="J201" s="3"/>
      <c r="K201" s="3"/>
      <c r="L201" s="3"/>
      <c r="M201" s="3"/>
      <c r="N201" s="3">
        <f t="shared" si="0"/>
        <v>0</v>
      </c>
      <c r="O201" s="3">
        <f t="shared" si="1"/>
        <v>0</v>
      </c>
      <c r="P201" s="3">
        <f t="shared" si="2"/>
        <v>0</v>
      </c>
      <c r="Q201" s="3">
        <f t="shared" si="3"/>
        <v>0</v>
      </c>
      <c r="R201" s="3">
        <f t="shared" si="4"/>
        <v>0</v>
      </c>
      <c r="S201" s="3">
        <f t="shared" si="5"/>
        <v>0</v>
      </c>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f t="shared" si="6"/>
        <v>0</v>
      </c>
      <c r="AX201" s="3">
        <f t="shared" si="7"/>
        <v>0</v>
      </c>
      <c r="AY201" s="3">
        <f t="shared" si="8"/>
        <v>0</v>
      </c>
      <c r="AZ201" s="3">
        <f t="shared" si="9"/>
        <v>0</v>
      </c>
      <c r="BA201" s="3">
        <f t="shared" si="10"/>
        <v>0</v>
      </c>
      <c r="BB201" s="3">
        <f t="shared" si="11"/>
        <v>0</v>
      </c>
      <c r="BC201" s="3"/>
      <c r="BD201" s="3"/>
      <c r="BE201" s="3"/>
      <c r="BF201" s="3"/>
      <c r="BG201" s="3"/>
      <c r="BH201" s="3"/>
      <c r="BI201" s="3"/>
      <c r="BJ201" s="3"/>
      <c r="BK201" s="3"/>
      <c r="BL201" s="3"/>
      <c r="BM201" s="3"/>
      <c r="BN201" s="3"/>
      <c r="BO201" s="3"/>
      <c r="BP201" s="3"/>
      <c r="BQ201" s="3"/>
      <c r="BR201" s="3"/>
      <c r="BS201" s="3"/>
      <c r="BT201" s="3"/>
      <c r="BU201" s="3"/>
      <c r="BV201" s="3"/>
      <c r="BW201" s="3"/>
      <c r="BX201" s="3"/>
    </row>
    <row r="202" spans="1:76" x14ac:dyDescent="0.35">
      <c r="A202" s="3"/>
      <c r="B202" s="3" t="s">
        <v>245</v>
      </c>
      <c r="C202" s="3"/>
      <c r="D202" s="3"/>
      <c r="E202" s="3"/>
      <c r="F202" s="3"/>
      <c r="G202" s="3"/>
      <c r="H202" s="3"/>
      <c r="I202" s="3"/>
      <c r="J202" s="3"/>
      <c r="K202" s="3"/>
      <c r="L202" s="3"/>
      <c r="M202" s="3"/>
      <c r="N202" s="3">
        <f t="shared" si="0"/>
        <v>0</v>
      </c>
      <c r="O202" s="3">
        <f t="shared" si="1"/>
        <v>0</v>
      </c>
      <c r="P202" s="3">
        <f t="shared" si="2"/>
        <v>0</v>
      </c>
      <c r="Q202" s="3">
        <f t="shared" si="3"/>
        <v>0</v>
      </c>
      <c r="R202" s="3">
        <f t="shared" si="4"/>
        <v>0</v>
      </c>
      <c r="S202" s="3">
        <f t="shared" si="5"/>
        <v>0</v>
      </c>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f t="shared" si="6"/>
        <v>0</v>
      </c>
      <c r="AX202" s="3">
        <f t="shared" si="7"/>
        <v>0</v>
      </c>
      <c r="AY202" s="3">
        <f t="shared" si="8"/>
        <v>0</v>
      </c>
      <c r="AZ202" s="3">
        <f t="shared" si="9"/>
        <v>0</v>
      </c>
      <c r="BA202" s="3">
        <f t="shared" si="10"/>
        <v>0</v>
      </c>
      <c r="BB202" s="3">
        <f t="shared" si="11"/>
        <v>0</v>
      </c>
      <c r="BC202" s="3"/>
      <c r="BD202" s="3"/>
      <c r="BE202" s="3"/>
      <c r="BF202" s="3"/>
      <c r="BG202" s="3"/>
      <c r="BH202" s="3"/>
      <c r="BI202" s="3"/>
      <c r="BJ202" s="3"/>
      <c r="BK202" s="3"/>
      <c r="BL202" s="3"/>
      <c r="BM202" s="3"/>
      <c r="BN202" s="3"/>
      <c r="BO202" s="3"/>
      <c r="BP202" s="3"/>
      <c r="BQ202" s="3"/>
      <c r="BR202" s="3"/>
      <c r="BS202" s="3"/>
      <c r="BT202" s="3"/>
      <c r="BU202" s="3"/>
      <c r="BV202" s="3"/>
      <c r="BW202" s="3"/>
      <c r="BX202" s="3"/>
    </row>
    <row r="203" spans="1:76" x14ac:dyDescent="0.35">
      <c r="A203" s="3"/>
      <c r="B203" s="3" t="s">
        <v>135</v>
      </c>
      <c r="C203" s="3"/>
      <c r="D203" s="3"/>
      <c r="E203" s="3"/>
      <c r="F203" s="3"/>
      <c r="G203" s="3"/>
      <c r="H203" s="3"/>
      <c r="I203" s="3"/>
      <c r="J203" s="3"/>
      <c r="K203" s="3"/>
      <c r="L203" s="3"/>
      <c r="M203" s="3"/>
      <c r="N203" s="3">
        <f t="shared" si="0"/>
        <v>0</v>
      </c>
      <c r="O203" s="3">
        <f t="shared" si="1"/>
        <v>0</v>
      </c>
      <c r="P203" s="3">
        <f t="shared" si="2"/>
        <v>0</v>
      </c>
      <c r="Q203" s="3">
        <f t="shared" si="3"/>
        <v>0</v>
      </c>
      <c r="R203" s="3">
        <f t="shared" si="4"/>
        <v>0</v>
      </c>
      <c r="S203" s="3">
        <f t="shared" si="5"/>
        <v>0</v>
      </c>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f t="shared" si="6"/>
        <v>0</v>
      </c>
      <c r="AX203" s="3">
        <f t="shared" si="7"/>
        <v>0</v>
      </c>
      <c r="AY203" s="3">
        <f t="shared" si="8"/>
        <v>0</v>
      </c>
      <c r="AZ203" s="3">
        <f t="shared" si="9"/>
        <v>0</v>
      </c>
      <c r="BA203" s="3">
        <f t="shared" si="10"/>
        <v>0</v>
      </c>
      <c r="BB203" s="3">
        <f t="shared" si="11"/>
        <v>0</v>
      </c>
      <c r="BC203" s="3"/>
      <c r="BD203" s="3"/>
      <c r="BE203" s="3"/>
      <c r="BF203" s="3"/>
      <c r="BG203" s="3"/>
      <c r="BH203" s="3"/>
      <c r="BI203" s="3"/>
      <c r="BJ203" s="3"/>
      <c r="BK203" s="3"/>
      <c r="BL203" s="3"/>
      <c r="BM203" s="3"/>
      <c r="BN203" s="3"/>
      <c r="BO203" s="3"/>
      <c r="BP203" s="3"/>
      <c r="BQ203" s="3"/>
      <c r="BR203" s="3"/>
      <c r="BS203" s="3"/>
      <c r="BT203" s="3"/>
      <c r="BU203" s="3"/>
      <c r="BV203" s="3"/>
      <c r="BW203" s="3"/>
      <c r="BX203" s="3"/>
    </row>
    <row r="204" spans="1:76" x14ac:dyDescent="0.35">
      <c r="A204" s="3"/>
      <c r="B204" s="3" t="s">
        <v>138</v>
      </c>
      <c r="C204" s="3"/>
      <c r="D204" s="3"/>
      <c r="E204" s="3"/>
      <c r="F204" s="3"/>
      <c r="G204" s="3"/>
      <c r="H204" s="3"/>
      <c r="I204" s="3"/>
      <c r="J204" s="3"/>
      <c r="K204" s="3"/>
      <c r="L204" s="3"/>
      <c r="M204" s="3"/>
      <c r="N204" s="3">
        <f t="shared" si="0"/>
        <v>0</v>
      </c>
      <c r="O204" s="3">
        <f t="shared" si="1"/>
        <v>0</v>
      </c>
      <c r="P204" s="3">
        <f t="shared" si="2"/>
        <v>0</v>
      </c>
      <c r="Q204" s="3">
        <f t="shared" si="3"/>
        <v>0</v>
      </c>
      <c r="R204" s="3">
        <f t="shared" si="4"/>
        <v>0</v>
      </c>
      <c r="S204" s="3">
        <f t="shared" si="5"/>
        <v>0</v>
      </c>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f t="shared" si="6"/>
        <v>0</v>
      </c>
      <c r="AX204" s="3">
        <f t="shared" si="7"/>
        <v>0</v>
      </c>
      <c r="AY204" s="3">
        <f t="shared" si="8"/>
        <v>0</v>
      </c>
      <c r="AZ204" s="3">
        <f t="shared" si="9"/>
        <v>0</v>
      </c>
      <c r="BA204" s="3">
        <f t="shared" si="10"/>
        <v>0</v>
      </c>
      <c r="BB204" s="3">
        <f t="shared" si="11"/>
        <v>0</v>
      </c>
      <c r="BC204" s="3"/>
      <c r="BD204" s="3"/>
      <c r="BE204" s="3"/>
      <c r="BF204" s="3"/>
      <c r="BG204" s="3"/>
      <c r="BH204" s="3"/>
      <c r="BI204" s="3"/>
      <c r="BJ204" s="3"/>
      <c r="BK204" s="3"/>
      <c r="BL204" s="3"/>
      <c r="BM204" s="3"/>
      <c r="BN204" s="3"/>
      <c r="BO204" s="3"/>
      <c r="BP204" s="3"/>
      <c r="BQ204" s="3"/>
      <c r="BR204" s="3"/>
      <c r="BS204" s="3"/>
      <c r="BT204" s="3"/>
      <c r="BU204" s="3"/>
      <c r="BV204" s="3"/>
      <c r="BW204" s="3"/>
      <c r="BX204" s="3"/>
    </row>
    <row r="205" spans="1:76" x14ac:dyDescent="0.35">
      <c r="A205" s="3"/>
      <c r="B205" s="5" t="s">
        <v>140</v>
      </c>
      <c r="C205" s="5" t="s">
        <v>131</v>
      </c>
      <c r="D205" s="5" t="s">
        <v>76</v>
      </c>
      <c r="E205" s="5" t="s">
        <v>522</v>
      </c>
      <c r="F205" s="3"/>
      <c r="G205" s="3"/>
      <c r="H205" s="3"/>
      <c r="I205" s="3"/>
      <c r="J205" s="3"/>
      <c r="K205" s="3"/>
      <c r="L205" s="3"/>
      <c r="M205" s="3"/>
      <c r="N205" s="3">
        <f t="shared" si="0"/>
        <v>0</v>
      </c>
      <c r="O205" s="3">
        <f t="shared" si="1"/>
        <v>0</v>
      </c>
      <c r="P205" s="3">
        <f t="shared" si="2"/>
        <v>0</v>
      </c>
      <c r="Q205" s="3">
        <f t="shared" si="3"/>
        <v>0</v>
      </c>
      <c r="R205" s="3">
        <f t="shared" si="4"/>
        <v>0</v>
      </c>
      <c r="S205" s="3">
        <f t="shared" si="5"/>
        <v>0</v>
      </c>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f t="shared" si="6"/>
        <v>0</v>
      </c>
      <c r="AX205" s="3">
        <f t="shared" si="7"/>
        <v>0</v>
      </c>
      <c r="AY205" s="3">
        <f t="shared" si="8"/>
        <v>0</v>
      </c>
      <c r="AZ205" s="3">
        <f t="shared" si="9"/>
        <v>0</v>
      </c>
      <c r="BA205" s="3">
        <f t="shared" si="10"/>
        <v>0</v>
      </c>
      <c r="BB205" s="3">
        <f t="shared" si="11"/>
        <v>0</v>
      </c>
      <c r="BC205" s="3"/>
      <c r="BD205" s="3"/>
      <c r="BE205" s="3"/>
      <c r="BF205" s="3"/>
      <c r="BG205" s="3"/>
      <c r="BH205" s="3"/>
      <c r="BI205" s="3"/>
      <c r="BJ205" s="3"/>
      <c r="BK205" s="3"/>
      <c r="BL205" s="3"/>
      <c r="BM205" s="3"/>
      <c r="BN205" s="3"/>
      <c r="BO205" s="3"/>
      <c r="BP205" s="3"/>
      <c r="BQ205" s="3"/>
      <c r="BR205" s="3"/>
      <c r="BS205" s="3"/>
      <c r="BT205" s="3"/>
      <c r="BU205" s="3"/>
      <c r="BV205" s="3"/>
      <c r="BW205" s="3"/>
      <c r="BX205" s="3"/>
    </row>
    <row r="206" spans="1:76" x14ac:dyDescent="0.35">
      <c r="A206" s="3"/>
      <c r="B206" s="3" t="s">
        <v>246</v>
      </c>
      <c r="C206" s="3" t="s">
        <v>61</v>
      </c>
      <c r="D206" s="3"/>
      <c r="E206" s="3"/>
      <c r="F206" s="3"/>
      <c r="G206" s="3" t="s">
        <v>3664</v>
      </c>
      <c r="H206" s="3" t="s">
        <v>63</v>
      </c>
      <c r="I206" s="3" t="b">
        <v>1</v>
      </c>
      <c r="J206" s="3" t="b">
        <v>1</v>
      </c>
      <c r="K206" s="3" t="b">
        <v>1</v>
      </c>
      <c r="L206" s="3" t="b">
        <v>1</v>
      </c>
      <c r="M206" s="3" t="b">
        <v>1</v>
      </c>
      <c r="N206" s="3" t="b">
        <f t="shared" si="0"/>
        <v>1</v>
      </c>
      <c r="O206" s="3" t="b">
        <f t="shared" si="1"/>
        <v>0</v>
      </c>
      <c r="P206" s="3" t="b">
        <f t="shared" si="2"/>
        <v>0</v>
      </c>
      <c r="Q206" s="3" t="b">
        <f t="shared" si="3"/>
        <v>0</v>
      </c>
      <c r="R206" s="3" t="b">
        <f t="shared" si="4"/>
        <v>0</v>
      </c>
      <c r="S206" s="3" t="b">
        <f t="shared" si="5"/>
        <v>0</v>
      </c>
      <c r="U206" s="3" t="s">
        <v>63</v>
      </c>
      <c r="V206" s="3" t="b">
        <v>1</v>
      </c>
      <c r="W206" s="3" t="b">
        <v>1</v>
      </c>
      <c r="X206" s="3" t="b">
        <v>1</v>
      </c>
      <c r="Y206" s="3" t="b">
        <v>1</v>
      </c>
      <c r="Z206" s="3" t="b">
        <v>1</v>
      </c>
      <c r="AA206" s="3"/>
      <c r="AB206" s="3"/>
      <c r="AC206" s="3"/>
      <c r="AD206" s="3"/>
      <c r="AE206" s="3"/>
      <c r="AF206" s="3" t="s">
        <v>63</v>
      </c>
      <c r="AG206" s="3" t="b">
        <v>1</v>
      </c>
      <c r="AH206" s="3" t="b">
        <v>1</v>
      </c>
      <c r="AI206" s="3" t="b">
        <v>1</v>
      </c>
      <c r="AJ206" s="3" t="b">
        <v>1</v>
      </c>
      <c r="AK206" s="3" t="b">
        <v>1</v>
      </c>
      <c r="AL206" s="3"/>
      <c r="AM206" s="3"/>
      <c r="AN206" s="3"/>
      <c r="AO206" s="3"/>
      <c r="AP206" s="3"/>
      <c r="AQ206" s="3" t="s">
        <v>63</v>
      </c>
      <c r="AR206" s="3" t="b">
        <v>1</v>
      </c>
      <c r="AS206" s="3" t="b">
        <v>1</v>
      </c>
      <c r="AT206" s="3" t="b">
        <v>1</v>
      </c>
      <c r="AU206" s="3" t="b">
        <v>1</v>
      </c>
      <c r="AV206" s="3" t="b">
        <v>1</v>
      </c>
      <c r="AW206" s="3" t="b">
        <f t="shared" si="6"/>
        <v>1</v>
      </c>
      <c r="AX206" s="3" t="b">
        <f t="shared" si="7"/>
        <v>0</v>
      </c>
      <c r="AY206" s="3" t="b">
        <f t="shared" si="8"/>
        <v>0</v>
      </c>
      <c r="AZ206" s="3" t="b">
        <f t="shared" si="9"/>
        <v>0</v>
      </c>
      <c r="BA206" s="3" t="b">
        <f t="shared" si="10"/>
        <v>0</v>
      </c>
      <c r="BB206" s="3" t="b">
        <f t="shared" si="11"/>
        <v>0</v>
      </c>
      <c r="BC206" s="3"/>
      <c r="BD206" s="3" t="s">
        <v>63</v>
      </c>
      <c r="BE206" s="3" t="b">
        <v>1</v>
      </c>
      <c r="BF206" s="3" t="b">
        <v>1</v>
      </c>
      <c r="BG206" s="3" t="b">
        <v>1</v>
      </c>
      <c r="BH206" s="3" t="b">
        <v>1</v>
      </c>
      <c r="BI206" s="3" t="b">
        <v>1</v>
      </c>
      <c r="BJ206" s="3"/>
      <c r="BK206" s="3"/>
      <c r="BL206" s="3"/>
      <c r="BM206" s="3"/>
      <c r="BN206" s="3"/>
      <c r="BO206" s="3" t="s">
        <v>63</v>
      </c>
      <c r="BP206" s="3" t="b">
        <v>1</v>
      </c>
      <c r="BQ206" s="3" t="b">
        <v>1</v>
      </c>
      <c r="BR206" s="3" t="b">
        <v>1</v>
      </c>
      <c r="BS206" s="3" t="b">
        <v>1</v>
      </c>
      <c r="BT206" s="3" t="b">
        <v>1</v>
      </c>
      <c r="BU206" s="3"/>
      <c r="BV206" s="3"/>
      <c r="BW206" s="3"/>
      <c r="BX206" s="3"/>
    </row>
    <row r="207" spans="1:76" x14ac:dyDescent="0.35">
      <c r="A207" s="3"/>
      <c r="B207" s="3"/>
      <c r="C207" s="3" t="s">
        <v>68</v>
      </c>
      <c r="D207" s="3"/>
      <c r="E207" s="3"/>
      <c r="F207" s="3"/>
      <c r="G207" s="3" t="s">
        <v>3665</v>
      </c>
      <c r="H207" s="3" t="s">
        <v>502</v>
      </c>
      <c r="I207" s="3" t="b">
        <v>1</v>
      </c>
      <c r="J207" s="3" t="b">
        <v>1</v>
      </c>
      <c r="K207" s="3" t="b">
        <v>1</v>
      </c>
      <c r="L207" s="3" t="b">
        <v>1</v>
      </c>
      <c r="M207" s="3" t="b">
        <v>1</v>
      </c>
      <c r="N207" s="3" t="b">
        <f t="shared" si="0"/>
        <v>1</v>
      </c>
      <c r="O207" s="3" t="b">
        <f t="shared" si="1"/>
        <v>0</v>
      </c>
      <c r="P207" s="3" t="b">
        <f t="shared" si="2"/>
        <v>0</v>
      </c>
      <c r="Q207" s="3" t="b">
        <f t="shared" si="3"/>
        <v>0</v>
      </c>
      <c r="R207" s="3" t="b">
        <f t="shared" si="4"/>
        <v>0</v>
      </c>
      <c r="S207" s="3" t="b">
        <f t="shared" si="5"/>
        <v>0</v>
      </c>
      <c r="U207" s="3" t="s">
        <v>477</v>
      </c>
      <c r="V207" s="3" t="b">
        <v>1</v>
      </c>
      <c r="W207" s="3" t="b">
        <v>1</v>
      </c>
      <c r="X207" s="3" t="b">
        <v>1</v>
      </c>
      <c r="Y207" s="3" t="b">
        <v>1</v>
      </c>
      <c r="Z207" s="3" t="b">
        <v>1</v>
      </c>
      <c r="AA207" s="3"/>
      <c r="AB207" s="3"/>
      <c r="AC207" s="3"/>
      <c r="AD207" s="3"/>
      <c r="AE207" s="3"/>
      <c r="AF207" s="3" t="s">
        <v>480</v>
      </c>
      <c r="AG207" s="3" t="b">
        <v>1</v>
      </c>
      <c r="AH207" s="3" t="b">
        <v>0</v>
      </c>
      <c r="AI207" s="3" t="b">
        <v>0</v>
      </c>
      <c r="AJ207" s="3" t="b">
        <v>1</v>
      </c>
      <c r="AK207" s="3" t="b">
        <v>0</v>
      </c>
      <c r="AL207" s="3"/>
      <c r="AM207" s="3"/>
      <c r="AN207" s="3"/>
      <c r="AO207" s="3"/>
      <c r="AP207" s="3"/>
      <c r="AQ207" s="3" t="s">
        <v>480</v>
      </c>
      <c r="AR207" s="3" t="b">
        <v>1</v>
      </c>
      <c r="AS207" s="3" t="b">
        <v>0</v>
      </c>
      <c r="AT207" s="3" t="b">
        <v>0</v>
      </c>
      <c r="AU207" s="3" t="b">
        <v>1</v>
      </c>
      <c r="AV207" s="3" t="b">
        <v>0</v>
      </c>
      <c r="AW207" s="3" t="b">
        <f t="shared" si="6"/>
        <v>0</v>
      </c>
      <c r="AX207" s="3" t="b">
        <f t="shared" si="7"/>
        <v>0</v>
      </c>
      <c r="AY207" s="3" t="b">
        <f t="shared" si="8"/>
        <v>1</v>
      </c>
      <c r="AZ207" s="3" t="b">
        <f t="shared" si="9"/>
        <v>0</v>
      </c>
      <c r="BA207" s="3" t="b">
        <f t="shared" si="10"/>
        <v>0</v>
      </c>
      <c r="BB207" s="3" t="b">
        <f t="shared" si="11"/>
        <v>0</v>
      </c>
      <c r="BC207" s="3"/>
      <c r="BD207" s="3" t="s">
        <v>480</v>
      </c>
      <c r="BE207" s="3" t="b">
        <v>1</v>
      </c>
      <c r="BF207" s="3" t="b">
        <v>0</v>
      </c>
      <c r="BG207" s="3" t="b">
        <v>0</v>
      </c>
      <c r="BH207" s="3" t="b">
        <v>1</v>
      </c>
      <c r="BI207" s="3" t="b">
        <v>0</v>
      </c>
      <c r="BJ207" s="3"/>
      <c r="BK207" s="3"/>
      <c r="BL207" s="3"/>
      <c r="BM207" s="3"/>
      <c r="BN207" s="3"/>
      <c r="BO207" s="3" t="s">
        <v>480</v>
      </c>
      <c r="BP207" s="3" t="b">
        <v>1</v>
      </c>
      <c r="BQ207" s="3" t="b">
        <v>0</v>
      </c>
      <c r="BR207" s="3" t="b">
        <v>0</v>
      </c>
      <c r="BS207" s="3" t="b">
        <v>1</v>
      </c>
      <c r="BT207" s="3" t="b">
        <v>0</v>
      </c>
      <c r="BU207" s="3"/>
      <c r="BV207" s="3"/>
      <c r="BW207" s="3"/>
      <c r="BX207" s="3"/>
    </row>
    <row r="208" spans="1:76" x14ac:dyDescent="0.35">
      <c r="A208" s="3"/>
      <c r="B208" s="3"/>
      <c r="C208" s="3" t="s">
        <v>64</v>
      </c>
      <c r="D208" s="3"/>
      <c r="E208" s="3"/>
      <c r="F208" s="3"/>
      <c r="G208" s="3" t="s">
        <v>3666</v>
      </c>
      <c r="H208" s="3" t="s">
        <v>67</v>
      </c>
      <c r="I208" s="3" t="b">
        <v>1</v>
      </c>
      <c r="J208" s="3" t="b">
        <v>1</v>
      </c>
      <c r="K208" s="3" t="b">
        <v>1</v>
      </c>
      <c r="L208" s="3" t="b">
        <v>1</v>
      </c>
      <c r="M208" s="3" t="b">
        <v>1</v>
      </c>
      <c r="N208" s="3" t="b">
        <f t="shared" si="0"/>
        <v>1</v>
      </c>
      <c r="O208" s="3" t="b">
        <f t="shared" si="1"/>
        <v>0</v>
      </c>
      <c r="P208" s="3" t="b">
        <f t="shared" si="2"/>
        <v>0</v>
      </c>
      <c r="Q208" s="3" t="b">
        <f t="shared" si="3"/>
        <v>0</v>
      </c>
      <c r="R208" s="3" t="b">
        <f t="shared" si="4"/>
        <v>0</v>
      </c>
      <c r="S208" s="3" t="b">
        <f t="shared" si="5"/>
        <v>0</v>
      </c>
      <c r="U208" s="3" t="s">
        <v>67</v>
      </c>
      <c r="V208" s="3" t="b">
        <v>1</v>
      </c>
      <c r="W208" s="3" t="b">
        <v>1</v>
      </c>
      <c r="X208" s="3" t="b">
        <v>1</v>
      </c>
      <c r="Y208" s="3" t="b">
        <v>1</v>
      </c>
      <c r="Z208" s="3" t="b">
        <v>1</v>
      </c>
      <c r="AA208" s="3"/>
      <c r="AB208" s="3"/>
      <c r="AC208" s="3"/>
      <c r="AD208" s="3"/>
      <c r="AE208" s="3"/>
      <c r="AF208" s="3" t="s">
        <v>67</v>
      </c>
      <c r="AG208" s="3" t="b">
        <v>1</v>
      </c>
      <c r="AH208" s="3" t="b">
        <v>1</v>
      </c>
      <c r="AI208" s="3" t="b">
        <v>1</v>
      </c>
      <c r="AJ208" s="3" t="b">
        <v>1</v>
      </c>
      <c r="AK208" s="3" t="b">
        <v>1</v>
      </c>
      <c r="AL208" s="3"/>
      <c r="AM208" s="3"/>
      <c r="AN208" s="3"/>
      <c r="AO208" s="3"/>
      <c r="AP208" s="3"/>
      <c r="AQ208" s="3" t="s">
        <v>66</v>
      </c>
      <c r="AR208" s="3" t="b">
        <v>1</v>
      </c>
      <c r="AS208" s="3" t="b">
        <v>1</v>
      </c>
      <c r="AT208" s="3" t="b">
        <v>1</v>
      </c>
      <c r="AU208" s="3" t="b">
        <v>1</v>
      </c>
      <c r="AV208" s="3" t="b">
        <v>1</v>
      </c>
      <c r="AW208" s="3" t="b">
        <f t="shared" si="6"/>
        <v>1</v>
      </c>
      <c r="AX208" s="3" t="b">
        <f t="shared" si="7"/>
        <v>0</v>
      </c>
      <c r="AY208" s="3" t="b">
        <f t="shared" si="8"/>
        <v>0</v>
      </c>
      <c r="AZ208" s="3" t="b">
        <f t="shared" si="9"/>
        <v>0</v>
      </c>
      <c r="BA208" s="3" t="b">
        <f t="shared" si="10"/>
        <v>0</v>
      </c>
      <c r="BB208" s="3" t="b">
        <f t="shared" si="11"/>
        <v>0</v>
      </c>
      <c r="BC208" s="3"/>
      <c r="BD208" s="3" t="s">
        <v>66</v>
      </c>
      <c r="BE208" s="3" t="b">
        <v>1</v>
      </c>
      <c r="BF208" s="3" t="b">
        <v>1</v>
      </c>
      <c r="BG208" s="3" t="b">
        <v>1</v>
      </c>
      <c r="BH208" s="3" t="b">
        <v>1</v>
      </c>
      <c r="BI208" s="3" t="b">
        <v>1</v>
      </c>
      <c r="BJ208" s="3"/>
      <c r="BK208" s="3"/>
      <c r="BL208" s="3"/>
      <c r="BM208" s="3"/>
      <c r="BN208" s="3"/>
      <c r="BO208" s="3" t="s">
        <v>66</v>
      </c>
      <c r="BP208" s="3" t="b">
        <v>1</v>
      </c>
      <c r="BQ208" s="3" t="b">
        <v>1</v>
      </c>
      <c r="BR208" s="3" t="b">
        <v>1</v>
      </c>
      <c r="BS208" s="3" t="b">
        <v>1</v>
      </c>
      <c r="BT208" s="3" t="b">
        <v>1</v>
      </c>
      <c r="BU208" s="3"/>
      <c r="BV208" s="3"/>
      <c r="BW208" s="3"/>
      <c r="BX208" s="3"/>
    </row>
    <row r="209" spans="1:76" x14ac:dyDescent="0.35">
      <c r="A209" s="3"/>
      <c r="B209" s="3" t="s">
        <v>249</v>
      </c>
      <c r="C209" s="3" t="s">
        <v>61</v>
      </c>
      <c r="D209" s="3"/>
      <c r="E209" s="3"/>
      <c r="F209" s="3"/>
      <c r="G209" s="3" t="s">
        <v>3667</v>
      </c>
      <c r="H209" s="3" t="s">
        <v>63</v>
      </c>
      <c r="I209" s="3" t="b">
        <v>1</v>
      </c>
      <c r="J209" s="3" t="b">
        <v>1</v>
      </c>
      <c r="K209" s="3" t="b">
        <v>1</v>
      </c>
      <c r="L209" s="3" t="b">
        <v>1</v>
      </c>
      <c r="M209" s="3" t="b">
        <v>1</v>
      </c>
      <c r="N209" s="3" t="b">
        <f t="shared" si="0"/>
        <v>1</v>
      </c>
      <c r="O209" s="3" t="b">
        <f t="shared" si="1"/>
        <v>0</v>
      </c>
      <c r="P209" s="3" t="b">
        <f t="shared" si="2"/>
        <v>0</v>
      </c>
      <c r="Q209" s="3" t="b">
        <f t="shared" si="3"/>
        <v>0</v>
      </c>
      <c r="R209" s="3" t="b">
        <f t="shared" si="4"/>
        <v>0</v>
      </c>
      <c r="S209" s="3" t="b">
        <f t="shared" si="5"/>
        <v>0</v>
      </c>
      <c r="U209" s="3" t="s">
        <v>63</v>
      </c>
      <c r="V209" s="3" t="b">
        <v>1</v>
      </c>
      <c r="W209" s="3" t="b">
        <v>1</v>
      </c>
      <c r="X209" s="3" t="b">
        <v>1</v>
      </c>
      <c r="Y209" s="3" t="b">
        <v>1</v>
      </c>
      <c r="Z209" s="3" t="b">
        <v>1</v>
      </c>
      <c r="AA209" s="3"/>
      <c r="AB209" s="3"/>
      <c r="AC209" s="3"/>
      <c r="AD209" s="3"/>
      <c r="AE209" s="3"/>
      <c r="AF209" s="3" t="s">
        <v>63</v>
      </c>
      <c r="AG209" s="3" t="b">
        <v>1</v>
      </c>
      <c r="AH209" s="3" t="b">
        <v>1</v>
      </c>
      <c r="AI209" s="3" t="b">
        <v>1</v>
      </c>
      <c r="AJ209" s="3" t="b">
        <v>1</v>
      </c>
      <c r="AK209" s="3" t="b">
        <v>1</v>
      </c>
      <c r="AL209" s="3"/>
      <c r="AM209" s="3"/>
      <c r="AN209" s="3"/>
      <c r="AO209" s="3"/>
      <c r="AP209" s="3"/>
      <c r="AQ209" s="3" t="s">
        <v>63</v>
      </c>
      <c r="AR209" s="3" t="b">
        <v>1</v>
      </c>
      <c r="AS209" s="3" t="b">
        <v>1</v>
      </c>
      <c r="AT209" s="3" t="b">
        <v>1</v>
      </c>
      <c r="AU209" s="3" t="b">
        <v>1</v>
      </c>
      <c r="AV209" s="3" t="b">
        <v>1</v>
      </c>
      <c r="AW209" s="3" t="b">
        <f t="shared" si="6"/>
        <v>1</v>
      </c>
      <c r="AX209" s="3" t="b">
        <f t="shared" si="7"/>
        <v>0</v>
      </c>
      <c r="AY209" s="3" t="b">
        <f t="shared" si="8"/>
        <v>0</v>
      </c>
      <c r="AZ209" s="3" t="b">
        <f t="shared" si="9"/>
        <v>0</v>
      </c>
      <c r="BA209" s="3" t="b">
        <f t="shared" si="10"/>
        <v>0</v>
      </c>
      <c r="BB209" s="3" t="b">
        <f t="shared" si="11"/>
        <v>0</v>
      </c>
      <c r="BC209" s="3"/>
      <c r="BD209" s="3" t="s">
        <v>63</v>
      </c>
      <c r="BE209" s="3" t="b">
        <v>1</v>
      </c>
      <c r="BF209" s="3" t="b">
        <v>1</v>
      </c>
      <c r="BG209" s="3" t="b">
        <v>1</v>
      </c>
      <c r="BH209" s="3" t="b">
        <v>1</v>
      </c>
      <c r="BI209" s="3" t="b">
        <v>1</v>
      </c>
      <c r="BJ209" s="3"/>
      <c r="BK209" s="3"/>
      <c r="BL209" s="3"/>
      <c r="BM209" s="3"/>
      <c r="BN209" s="3"/>
      <c r="BO209" s="3" t="s">
        <v>63</v>
      </c>
      <c r="BP209" s="3" t="b">
        <v>1</v>
      </c>
      <c r="BQ209" s="3" t="b">
        <v>1</v>
      </c>
      <c r="BR209" s="3" t="b">
        <v>1</v>
      </c>
      <c r="BS209" s="3" t="b">
        <v>1</v>
      </c>
      <c r="BT209" s="3" t="b">
        <v>1</v>
      </c>
      <c r="BU209" s="3"/>
      <c r="BV209" s="3"/>
      <c r="BW209" s="3"/>
      <c r="BX209" s="3"/>
    </row>
    <row r="210" spans="1:76" x14ac:dyDescent="0.35">
      <c r="A210" s="3"/>
      <c r="B210" s="3"/>
      <c r="C210" s="3" t="s">
        <v>526</v>
      </c>
      <c r="D210" s="3"/>
      <c r="E210" s="3"/>
      <c r="F210" s="3"/>
      <c r="G210" s="3" t="s">
        <v>3668</v>
      </c>
      <c r="H210" s="3"/>
      <c r="I210" s="3" t="b">
        <v>1</v>
      </c>
      <c r="J210" s="3" t="b">
        <v>0</v>
      </c>
      <c r="K210" s="3" t="b">
        <v>0</v>
      </c>
      <c r="L210" s="3" t="b">
        <v>0</v>
      </c>
      <c r="M210" s="3" t="b">
        <v>0</v>
      </c>
      <c r="N210" s="3" t="b">
        <f t="shared" si="0"/>
        <v>0</v>
      </c>
      <c r="O210" s="3" t="b">
        <f t="shared" si="1"/>
        <v>0</v>
      </c>
      <c r="P210" s="3" t="b">
        <f t="shared" si="2"/>
        <v>1</v>
      </c>
      <c r="Q210" s="3" t="b">
        <f t="shared" si="3"/>
        <v>0</v>
      </c>
      <c r="R210" s="3" t="b">
        <f t="shared" si="4"/>
        <v>0</v>
      </c>
      <c r="S210" s="3" t="b">
        <f t="shared" si="5"/>
        <v>0</v>
      </c>
      <c r="U210" s="3" t="s">
        <v>496</v>
      </c>
      <c r="V210" s="3" t="b">
        <v>1</v>
      </c>
      <c r="W210" s="3" t="b">
        <v>1</v>
      </c>
      <c r="X210" s="3" t="b">
        <v>1</v>
      </c>
      <c r="Y210" s="3" t="b">
        <v>1</v>
      </c>
      <c r="Z210" s="3" t="b">
        <v>1</v>
      </c>
      <c r="AA210" s="3"/>
      <c r="AB210" s="3"/>
      <c r="AC210" s="3"/>
      <c r="AD210" s="3"/>
      <c r="AE210" s="3"/>
      <c r="AF210" s="3" t="s">
        <v>499</v>
      </c>
      <c r="AG210" s="3" t="b">
        <v>1</v>
      </c>
      <c r="AH210" s="3" t="b">
        <v>0</v>
      </c>
      <c r="AI210" s="3" t="b">
        <v>0</v>
      </c>
      <c r="AJ210" s="3" t="b">
        <v>1</v>
      </c>
      <c r="AK210" s="3" t="b">
        <v>0</v>
      </c>
      <c r="AL210" s="3"/>
      <c r="AM210" s="3"/>
      <c r="AN210" s="3"/>
      <c r="AO210" s="3"/>
      <c r="AP210" s="3"/>
      <c r="AQ210" s="3" t="s">
        <v>528</v>
      </c>
      <c r="AR210" s="3" t="b">
        <v>1</v>
      </c>
      <c r="AS210" s="3" t="b">
        <v>1</v>
      </c>
      <c r="AT210" s="3" t="b">
        <v>1</v>
      </c>
      <c r="AU210" s="3" t="b">
        <v>1</v>
      </c>
      <c r="AV210" s="3" t="b">
        <v>0</v>
      </c>
      <c r="AW210" s="3" t="b">
        <f t="shared" si="6"/>
        <v>0</v>
      </c>
      <c r="AX210" s="3" t="b">
        <f t="shared" si="7"/>
        <v>1</v>
      </c>
      <c r="AY210" s="3" t="b">
        <f t="shared" si="8"/>
        <v>0</v>
      </c>
      <c r="AZ210" s="3" t="b">
        <f t="shared" si="9"/>
        <v>0</v>
      </c>
      <c r="BA210" s="3" t="b">
        <f t="shared" si="10"/>
        <v>1</v>
      </c>
      <c r="BB210" s="3" t="b">
        <f t="shared" si="11"/>
        <v>0</v>
      </c>
      <c r="BC210" s="3"/>
      <c r="BD210" s="3" t="s">
        <v>499</v>
      </c>
      <c r="BE210" s="3" t="b">
        <v>1</v>
      </c>
      <c r="BF210" s="3" t="b">
        <v>0</v>
      </c>
      <c r="BG210" s="3" t="b">
        <v>0</v>
      </c>
      <c r="BH210" s="3" t="b">
        <v>1</v>
      </c>
      <c r="BI210" s="3" t="b">
        <v>0</v>
      </c>
      <c r="BJ210" s="3"/>
      <c r="BK210" s="3"/>
      <c r="BL210" s="3"/>
      <c r="BM210" s="3"/>
      <c r="BN210" s="3"/>
      <c r="BO210" s="3" t="s">
        <v>499</v>
      </c>
      <c r="BP210" s="3" t="b">
        <v>1</v>
      </c>
      <c r="BQ210" s="3" t="b">
        <v>0</v>
      </c>
      <c r="BR210" s="3" t="b">
        <v>0</v>
      </c>
      <c r="BS210" s="3" t="b">
        <v>1</v>
      </c>
      <c r="BT210" s="3" t="b">
        <v>0</v>
      </c>
      <c r="BU210" s="3"/>
      <c r="BV210" s="3"/>
      <c r="BW210" s="3"/>
      <c r="BX210" s="3"/>
    </row>
    <row r="211" spans="1:76" x14ac:dyDescent="0.35">
      <c r="A211" s="3"/>
      <c r="B211" s="3"/>
      <c r="C211" s="3" t="s">
        <v>64</v>
      </c>
      <c r="D211" s="3"/>
      <c r="E211" s="3"/>
      <c r="F211" s="3"/>
      <c r="G211" s="3" t="s">
        <v>3669</v>
      </c>
      <c r="H211" s="3" t="s">
        <v>67</v>
      </c>
      <c r="I211" s="3" t="b">
        <v>1</v>
      </c>
      <c r="J211" s="3" t="b">
        <v>1</v>
      </c>
      <c r="K211" s="3" t="b">
        <v>1</v>
      </c>
      <c r="L211" s="3" t="b">
        <v>1</v>
      </c>
      <c r="M211" s="3" t="b">
        <v>1</v>
      </c>
      <c r="N211" s="3" t="b">
        <f t="shared" si="0"/>
        <v>1</v>
      </c>
      <c r="O211" s="3" t="b">
        <f t="shared" si="1"/>
        <v>0</v>
      </c>
      <c r="P211" s="3" t="b">
        <f t="shared" si="2"/>
        <v>0</v>
      </c>
      <c r="Q211" s="3" t="b">
        <f t="shared" si="3"/>
        <v>0</v>
      </c>
      <c r="R211" s="3" t="b">
        <f t="shared" si="4"/>
        <v>0</v>
      </c>
      <c r="S211" s="3" t="b">
        <f t="shared" si="5"/>
        <v>0</v>
      </c>
      <c r="U211" s="3" t="s">
        <v>67</v>
      </c>
      <c r="V211" s="3" t="b">
        <v>1</v>
      </c>
      <c r="W211" s="3" t="b">
        <v>1</v>
      </c>
      <c r="X211" s="3" t="b">
        <v>1</v>
      </c>
      <c r="Y211" s="3" t="b">
        <v>1</v>
      </c>
      <c r="Z211" s="3" t="b">
        <v>1</v>
      </c>
      <c r="AA211" s="3"/>
      <c r="AB211" s="3"/>
      <c r="AC211" s="3"/>
      <c r="AD211" s="3"/>
      <c r="AE211" s="3"/>
      <c r="AF211" s="3" t="s">
        <v>67</v>
      </c>
      <c r="AG211" s="3" t="b">
        <v>1</v>
      </c>
      <c r="AH211" s="3" t="b">
        <v>1</v>
      </c>
      <c r="AI211" s="3" t="b">
        <v>1</v>
      </c>
      <c r="AJ211" s="3" t="b">
        <v>1</v>
      </c>
      <c r="AK211" s="3" t="b">
        <v>1</v>
      </c>
      <c r="AL211" s="3"/>
      <c r="AM211" s="3"/>
      <c r="AN211" s="3"/>
      <c r="AO211" s="3"/>
      <c r="AP211" s="3"/>
      <c r="AQ211" s="3" t="s">
        <v>66</v>
      </c>
      <c r="AR211" s="3" t="b">
        <v>1</v>
      </c>
      <c r="AS211" s="3" t="b">
        <v>1</v>
      </c>
      <c r="AT211" s="3" t="b">
        <v>1</v>
      </c>
      <c r="AU211" s="3" t="b">
        <v>1</v>
      </c>
      <c r="AV211" s="3" t="b">
        <v>1</v>
      </c>
      <c r="AW211" s="3" t="b">
        <f t="shared" si="6"/>
        <v>1</v>
      </c>
      <c r="AX211" s="3" t="b">
        <f t="shared" si="7"/>
        <v>0</v>
      </c>
      <c r="AY211" s="3" t="b">
        <f t="shared" si="8"/>
        <v>0</v>
      </c>
      <c r="AZ211" s="3" t="b">
        <f t="shared" si="9"/>
        <v>0</v>
      </c>
      <c r="BA211" s="3" t="b">
        <f t="shared" si="10"/>
        <v>0</v>
      </c>
      <c r="BB211" s="3" t="b">
        <f t="shared" si="11"/>
        <v>0</v>
      </c>
      <c r="BC211" s="3"/>
      <c r="BD211" s="3" t="s">
        <v>66</v>
      </c>
      <c r="BE211" s="3" t="b">
        <v>1</v>
      </c>
      <c r="BF211" s="3" t="b">
        <v>1</v>
      </c>
      <c r="BG211" s="3" t="b">
        <v>1</v>
      </c>
      <c r="BH211" s="3" t="b">
        <v>1</v>
      </c>
      <c r="BI211" s="3" t="b">
        <v>1</v>
      </c>
      <c r="BJ211" s="3"/>
      <c r="BK211" s="3"/>
      <c r="BL211" s="3"/>
      <c r="BM211" s="3"/>
      <c r="BN211" s="3"/>
      <c r="BO211" s="3" t="s">
        <v>66</v>
      </c>
      <c r="BP211" s="3" t="b">
        <v>1</v>
      </c>
      <c r="BQ211" s="3" t="b">
        <v>1</v>
      </c>
      <c r="BR211" s="3" t="b">
        <v>1</v>
      </c>
      <c r="BS211" s="3" t="b">
        <v>1</v>
      </c>
      <c r="BT211" s="3" t="b">
        <v>1</v>
      </c>
      <c r="BU211" s="3"/>
      <c r="BV211" s="3"/>
      <c r="BW211" s="3"/>
      <c r="BX211" s="3"/>
    </row>
    <row r="212" spans="1:76" x14ac:dyDescent="0.35">
      <c r="A212" s="3"/>
      <c r="B212" s="3" t="s">
        <v>253</v>
      </c>
      <c r="C212" s="3" t="s">
        <v>61</v>
      </c>
      <c r="D212" s="3"/>
      <c r="E212" s="3"/>
      <c r="F212" s="3"/>
      <c r="G212" s="3" t="s">
        <v>3670</v>
      </c>
      <c r="H212" s="3" t="s">
        <v>63</v>
      </c>
      <c r="I212" s="3" t="b">
        <v>1</v>
      </c>
      <c r="J212" s="3" t="b">
        <v>1</v>
      </c>
      <c r="K212" s="3" t="b">
        <v>1</v>
      </c>
      <c r="L212" s="3" t="b">
        <v>1</v>
      </c>
      <c r="M212" s="3" t="b">
        <v>1</v>
      </c>
      <c r="N212" s="3" t="b">
        <f t="shared" si="0"/>
        <v>1</v>
      </c>
      <c r="O212" s="3" t="b">
        <f t="shared" si="1"/>
        <v>0</v>
      </c>
      <c r="P212" s="3" t="b">
        <f t="shared" si="2"/>
        <v>0</v>
      </c>
      <c r="Q212" s="3" t="b">
        <f t="shared" si="3"/>
        <v>0</v>
      </c>
      <c r="R212" s="3" t="b">
        <f t="shared" si="4"/>
        <v>0</v>
      </c>
      <c r="S212" s="3" t="b">
        <f t="shared" si="5"/>
        <v>0</v>
      </c>
      <c r="U212" s="3" t="s">
        <v>63</v>
      </c>
      <c r="V212" s="3" t="b">
        <v>1</v>
      </c>
      <c r="W212" s="3" t="b">
        <v>1</v>
      </c>
      <c r="X212" s="3" t="b">
        <v>1</v>
      </c>
      <c r="Y212" s="3" t="b">
        <v>1</v>
      </c>
      <c r="Z212" s="3" t="b">
        <v>1</v>
      </c>
      <c r="AA212" s="3"/>
      <c r="AB212" s="3"/>
      <c r="AC212" s="3"/>
      <c r="AD212" s="3"/>
      <c r="AE212" s="3"/>
      <c r="AF212" s="3" t="s">
        <v>63</v>
      </c>
      <c r="AG212" s="3" t="b">
        <v>1</v>
      </c>
      <c r="AH212" s="3" t="b">
        <v>1</v>
      </c>
      <c r="AI212" s="3" t="b">
        <v>1</v>
      </c>
      <c r="AJ212" s="3" t="b">
        <v>1</v>
      </c>
      <c r="AK212" s="3" t="b">
        <v>1</v>
      </c>
      <c r="AL212" s="3"/>
      <c r="AM212" s="3"/>
      <c r="AN212" s="3"/>
      <c r="AO212" s="3"/>
      <c r="AP212" s="3"/>
      <c r="AQ212" s="3" t="s">
        <v>63</v>
      </c>
      <c r="AR212" s="3" t="b">
        <v>1</v>
      </c>
      <c r="AS212" s="3" t="b">
        <v>1</v>
      </c>
      <c r="AT212" s="3" t="b">
        <v>1</v>
      </c>
      <c r="AU212" s="3" t="b">
        <v>1</v>
      </c>
      <c r="AV212" s="3" t="b">
        <v>1</v>
      </c>
      <c r="AW212" s="3" t="b">
        <f t="shared" si="6"/>
        <v>1</v>
      </c>
      <c r="AX212" s="3" t="b">
        <f t="shared" si="7"/>
        <v>0</v>
      </c>
      <c r="AY212" s="3" t="b">
        <f t="shared" si="8"/>
        <v>0</v>
      </c>
      <c r="AZ212" s="3" t="b">
        <f t="shared" si="9"/>
        <v>0</v>
      </c>
      <c r="BA212" s="3" t="b">
        <f t="shared" si="10"/>
        <v>0</v>
      </c>
      <c r="BB212" s="3" t="b">
        <f t="shared" si="11"/>
        <v>0</v>
      </c>
      <c r="BC212" s="3"/>
      <c r="BD212" s="3" t="s">
        <v>63</v>
      </c>
      <c r="BE212" s="3" t="b">
        <v>1</v>
      </c>
      <c r="BF212" s="3" t="b">
        <v>1</v>
      </c>
      <c r="BG212" s="3" t="b">
        <v>1</v>
      </c>
      <c r="BH212" s="3" t="b">
        <v>1</v>
      </c>
      <c r="BI212" s="3" t="b">
        <v>1</v>
      </c>
      <c r="BJ212" s="3"/>
      <c r="BK212" s="3"/>
      <c r="BL212" s="3"/>
      <c r="BM212" s="3"/>
      <c r="BN212" s="3"/>
      <c r="BO212" s="3" t="s">
        <v>63</v>
      </c>
      <c r="BP212" s="3" t="b">
        <v>1</v>
      </c>
      <c r="BQ212" s="3" t="b">
        <v>1</v>
      </c>
      <c r="BR212" s="3" t="b">
        <v>1</v>
      </c>
      <c r="BS212" s="3" t="b">
        <v>1</v>
      </c>
      <c r="BT212" s="3" t="b">
        <v>1</v>
      </c>
      <c r="BU212" s="3"/>
      <c r="BV212" s="3"/>
      <c r="BW212" s="3"/>
      <c r="BX212" s="3"/>
    </row>
    <row r="213" spans="1:76" x14ac:dyDescent="0.35">
      <c r="A213" s="3"/>
      <c r="B213" s="3"/>
      <c r="C213" s="3" t="s">
        <v>68</v>
      </c>
      <c r="D213" s="3"/>
      <c r="E213" s="3"/>
      <c r="F213" s="3"/>
      <c r="G213" s="3" t="s">
        <v>3671</v>
      </c>
      <c r="H213" s="3" t="s">
        <v>532</v>
      </c>
      <c r="I213" s="3" t="b">
        <v>1</v>
      </c>
      <c r="J213" s="3" t="b">
        <v>0</v>
      </c>
      <c r="K213" s="3" t="b">
        <v>0</v>
      </c>
      <c r="L213" s="3" t="b">
        <v>1</v>
      </c>
      <c r="M213" s="3" t="b">
        <v>0</v>
      </c>
      <c r="N213" s="3" t="b">
        <f t="shared" si="0"/>
        <v>0</v>
      </c>
      <c r="O213" s="3" t="b">
        <f t="shared" si="1"/>
        <v>0</v>
      </c>
      <c r="P213" s="3" t="b">
        <f t="shared" si="2"/>
        <v>1</v>
      </c>
      <c r="Q213" s="3" t="b">
        <f t="shared" si="3"/>
        <v>0</v>
      </c>
      <c r="R213" s="3" t="b">
        <f t="shared" si="4"/>
        <v>0</v>
      </c>
      <c r="S213" s="3" t="b">
        <f t="shared" si="5"/>
        <v>0</v>
      </c>
      <c r="U213" s="3" t="s">
        <v>533</v>
      </c>
      <c r="V213" s="3" t="b">
        <v>1</v>
      </c>
      <c r="W213" s="3" t="b">
        <v>1</v>
      </c>
      <c r="X213" s="3" t="b">
        <v>1</v>
      </c>
      <c r="Y213" s="3" t="b">
        <v>1</v>
      </c>
      <c r="Z213" s="3" t="b">
        <v>1</v>
      </c>
      <c r="AA213" s="3"/>
      <c r="AB213" s="3"/>
      <c r="AC213" s="3"/>
      <c r="AD213" s="3"/>
      <c r="AE213" s="3"/>
      <c r="AF213" s="3"/>
      <c r="AG213" s="3" t="b">
        <v>1</v>
      </c>
      <c r="AH213" s="3" t="b">
        <v>0</v>
      </c>
      <c r="AI213" s="3" t="b">
        <v>0</v>
      </c>
      <c r="AJ213" s="3" t="b">
        <v>0</v>
      </c>
      <c r="AK213" s="3" t="b">
        <v>0</v>
      </c>
      <c r="AL213" s="3"/>
      <c r="AM213" s="3"/>
      <c r="AN213" s="3"/>
      <c r="AO213" s="3"/>
      <c r="AP213" s="3"/>
      <c r="AQ213" s="3" t="s">
        <v>480</v>
      </c>
      <c r="AR213" s="3" t="b">
        <v>1</v>
      </c>
      <c r="AS213" s="3" t="b">
        <v>0</v>
      </c>
      <c r="AT213" s="3" t="b">
        <v>0</v>
      </c>
      <c r="AU213" s="3" t="b">
        <v>1</v>
      </c>
      <c r="AV213" s="3" t="b">
        <v>0</v>
      </c>
      <c r="AW213" s="3" t="b">
        <f t="shared" si="6"/>
        <v>0</v>
      </c>
      <c r="AX213" s="3" t="b">
        <f t="shared" si="7"/>
        <v>0</v>
      </c>
      <c r="AY213" s="3" t="b">
        <f t="shared" si="8"/>
        <v>1</v>
      </c>
      <c r="AZ213" s="3" t="b">
        <f t="shared" si="9"/>
        <v>0</v>
      </c>
      <c r="BA213" s="3" t="b">
        <f t="shared" si="10"/>
        <v>0</v>
      </c>
      <c r="BB213" s="3" t="b">
        <f t="shared" si="11"/>
        <v>0</v>
      </c>
      <c r="BC213" s="3"/>
      <c r="BD213" s="3" t="s">
        <v>534</v>
      </c>
      <c r="BE213" s="3" t="b">
        <v>1</v>
      </c>
      <c r="BF213" s="3" t="b">
        <v>0</v>
      </c>
      <c r="BG213" s="3" t="b">
        <v>0</v>
      </c>
      <c r="BH213" s="3" t="b">
        <v>1</v>
      </c>
      <c r="BI213" s="3" t="b">
        <v>0</v>
      </c>
      <c r="BJ213" s="3"/>
      <c r="BK213" s="3"/>
      <c r="BL213" s="3"/>
      <c r="BM213" s="3"/>
      <c r="BN213" s="3"/>
      <c r="BO213" s="3" t="s">
        <v>535</v>
      </c>
      <c r="BP213" s="3" t="b">
        <v>1</v>
      </c>
      <c r="BQ213" s="3" t="b">
        <v>0</v>
      </c>
      <c r="BR213" s="3" t="b">
        <v>0</v>
      </c>
      <c r="BS213" s="3" t="b">
        <v>1</v>
      </c>
      <c r="BT213" s="3" t="b">
        <v>0</v>
      </c>
      <c r="BU213" s="3"/>
      <c r="BV213" s="3"/>
      <c r="BW213" s="3"/>
      <c r="BX213" s="3"/>
    </row>
    <row r="214" spans="1:76" x14ac:dyDescent="0.35">
      <c r="A214" s="3"/>
      <c r="B214" s="3"/>
      <c r="C214" s="3" t="s">
        <v>64</v>
      </c>
      <c r="D214" s="3"/>
      <c r="E214" s="3"/>
      <c r="F214" s="3"/>
      <c r="G214" s="3" t="s">
        <v>3672</v>
      </c>
      <c r="H214" s="3" t="s">
        <v>67</v>
      </c>
      <c r="I214" s="3" t="b">
        <v>1</v>
      </c>
      <c r="J214" s="3" t="b">
        <v>1</v>
      </c>
      <c r="K214" s="3" t="b">
        <v>1</v>
      </c>
      <c r="L214" s="3" t="b">
        <v>1</v>
      </c>
      <c r="M214" s="3" t="b">
        <v>1</v>
      </c>
      <c r="N214" s="3" t="b">
        <f t="shared" si="0"/>
        <v>1</v>
      </c>
      <c r="O214" s="3" t="b">
        <f t="shared" si="1"/>
        <v>0</v>
      </c>
      <c r="P214" s="3" t="b">
        <f t="shared" si="2"/>
        <v>0</v>
      </c>
      <c r="Q214" s="3" t="b">
        <f t="shared" si="3"/>
        <v>0</v>
      </c>
      <c r="R214" s="3" t="b">
        <f t="shared" si="4"/>
        <v>0</v>
      </c>
      <c r="S214" s="3" t="b">
        <f t="shared" si="5"/>
        <v>0</v>
      </c>
      <c r="U214" s="3" t="s">
        <v>67</v>
      </c>
      <c r="V214" s="3" t="b">
        <v>1</v>
      </c>
      <c r="W214" s="3" t="b">
        <v>1</v>
      </c>
      <c r="X214" s="3" t="b">
        <v>1</v>
      </c>
      <c r="Y214" s="3" t="b">
        <v>1</v>
      </c>
      <c r="Z214" s="3" t="b">
        <v>1</v>
      </c>
      <c r="AA214" s="3"/>
      <c r="AB214" s="3"/>
      <c r="AC214" s="3"/>
      <c r="AD214" s="3"/>
      <c r="AE214" s="3"/>
      <c r="AF214" s="3" t="s">
        <v>66</v>
      </c>
      <c r="AG214" s="3" t="b">
        <v>1</v>
      </c>
      <c r="AH214" s="3" t="b">
        <v>1</v>
      </c>
      <c r="AI214" s="3" t="b">
        <v>1</v>
      </c>
      <c r="AJ214" s="3" t="b">
        <v>1</v>
      </c>
      <c r="AK214" s="3" t="b">
        <v>1</v>
      </c>
      <c r="AL214" s="3"/>
      <c r="AM214" s="3"/>
      <c r="AN214" s="3"/>
      <c r="AO214" s="3"/>
      <c r="AP214" s="3"/>
      <c r="AQ214" s="3" t="s">
        <v>66</v>
      </c>
      <c r="AR214" s="3" t="b">
        <v>1</v>
      </c>
      <c r="AS214" s="3" t="b">
        <v>1</v>
      </c>
      <c r="AT214" s="3" t="b">
        <v>1</v>
      </c>
      <c r="AU214" s="3" t="b">
        <v>1</v>
      </c>
      <c r="AV214" s="3" t="b">
        <v>1</v>
      </c>
      <c r="AW214" s="3" t="b">
        <f t="shared" si="6"/>
        <v>1</v>
      </c>
      <c r="AX214" s="3" t="b">
        <f t="shared" si="7"/>
        <v>0</v>
      </c>
      <c r="AY214" s="3" t="b">
        <f t="shared" si="8"/>
        <v>0</v>
      </c>
      <c r="AZ214" s="3" t="b">
        <f t="shared" si="9"/>
        <v>0</v>
      </c>
      <c r="BA214" s="3" t="b">
        <f t="shared" si="10"/>
        <v>0</v>
      </c>
      <c r="BB214" s="3" t="b">
        <f t="shared" si="11"/>
        <v>0</v>
      </c>
      <c r="BC214" s="3"/>
      <c r="BD214" s="3" t="s">
        <v>66</v>
      </c>
      <c r="BE214" s="3" t="b">
        <v>1</v>
      </c>
      <c r="BF214" s="3" t="b">
        <v>1</v>
      </c>
      <c r="BG214" s="3" t="b">
        <v>1</v>
      </c>
      <c r="BH214" s="3" t="b">
        <v>1</v>
      </c>
      <c r="BI214" s="3" t="b">
        <v>1</v>
      </c>
      <c r="BJ214" s="3"/>
      <c r="BK214" s="3"/>
      <c r="BL214" s="3"/>
      <c r="BM214" s="3"/>
      <c r="BN214" s="3"/>
      <c r="BO214" s="3" t="s">
        <v>66</v>
      </c>
      <c r="BP214" s="3" t="b">
        <v>1</v>
      </c>
      <c r="BQ214" s="3" t="b">
        <v>1</v>
      </c>
      <c r="BR214" s="3" t="b">
        <v>1</v>
      </c>
      <c r="BS214" s="3" t="b">
        <v>1</v>
      </c>
      <c r="BT214" s="3" t="b">
        <v>1</v>
      </c>
      <c r="BU214" s="3"/>
      <c r="BV214" s="3"/>
      <c r="BW214" s="3"/>
      <c r="BX214" s="3"/>
    </row>
    <row r="215" spans="1:76" x14ac:dyDescent="0.35">
      <c r="A215" s="3"/>
      <c r="B215" s="3" t="s">
        <v>254</v>
      </c>
      <c r="C215" s="3"/>
      <c r="D215" s="3"/>
      <c r="E215" s="3"/>
      <c r="F215" s="3"/>
      <c r="G215" s="3"/>
      <c r="H215" s="3"/>
      <c r="I215" s="3"/>
      <c r="J215" s="3"/>
      <c r="K215" s="3"/>
      <c r="L215" s="3"/>
      <c r="M215" s="3"/>
      <c r="N215" s="3">
        <f t="shared" si="0"/>
        <v>0</v>
      </c>
      <c r="O215" s="3">
        <f t="shared" si="1"/>
        <v>0</v>
      </c>
      <c r="P215" s="3">
        <f t="shared" si="2"/>
        <v>0</v>
      </c>
      <c r="Q215" s="3">
        <f t="shared" si="3"/>
        <v>0</v>
      </c>
      <c r="R215" s="3">
        <f t="shared" si="4"/>
        <v>0</v>
      </c>
      <c r="S215" s="3">
        <f t="shared" si="5"/>
        <v>0</v>
      </c>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f t="shared" si="6"/>
        <v>0</v>
      </c>
      <c r="AX215" s="3">
        <f t="shared" si="7"/>
        <v>0</v>
      </c>
      <c r="AY215" s="3">
        <f t="shared" si="8"/>
        <v>0</v>
      </c>
      <c r="AZ215" s="3">
        <f t="shared" si="9"/>
        <v>0</v>
      </c>
      <c r="BA215" s="3">
        <f t="shared" si="10"/>
        <v>0</v>
      </c>
      <c r="BB215" s="3">
        <f t="shared" si="11"/>
        <v>0</v>
      </c>
      <c r="BC215" s="3"/>
      <c r="BD215" s="3"/>
      <c r="BE215" s="3"/>
      <c r="BF215" s="3"/>
      <c r="BG215" s="3"/>
      <c r="BH215" s="3"/>
      <c r="BI215" s="3"/>
      <c r="BJ215" s="3"/>
      <c r="BK215" s="3"/>
      <c r="BL215" s="3"/>
      <c r="BM215" s="3"/>
      <c r="BN215" s="3"/>
      <c r="BO215" s="3"/>
      <c r="BP215" s="3"/>
      <c r="BQ215" s="3"/>
      <c r="BR215" s="3"/>
      <c r="BS215" s="3"/>
      <c r="BT215" s="3"/>
      <c r="BU215" s="3"/>
      <c r="BV215" s="3"/>
      <c r="BW215" s="3"/>
      <c r="BX215" s="3"/>
    </row>
    <row r="216" spans="1:76" x14ac:dyDescent="0.35">
      <c r="A216" s="3"/>
      <c r="B216" s="3" t="s">
        <v>255</v>
      </c>
      <c r="C216" s="3"/>
      <c r="D216" s="3"/>
      <c r="E216" s="3"/>
      <c r="F216" s="3"/>
      <c r="G216" s="3"/>
      <c r="H216" s="3"/>
      <c r="I216" s="3"/>
      <c r="J216" s="3"/>
      <c r="K216" s="3"/>
      <c r="L216" s="3"/>
      <c r="M216" s="3"/>
      <c r="N216" s="3">
        <f t="shared" si="0"/>
        <v>0</v>
      </c>
      <c r="O216" s="3">
        <f t="shared" si="1"/>
        <v>0</v>
      </c>
      <c r="P216" s="3">
        <f t="shared" si="2"/>
        <v>0</v>
      </c>
      <c r="Q216" s="3">
        <f t="shared" si="3"/>
        <v>0</v>
      </c>
      <c r="R216" s="3">
        <f t="shared" si="4"/>
        <v>0</v>
      </c>
      <c r="S216" s="3">
        <f t="shared" si="5"/>
        <v>0</v>
      </c>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f t="shared" si="6"/>
        <v>0</v>
      </c>
      <c r="AX216" s="3">
        <f t="shared" si="7"/>
        <v>0</v>
      </c>
      <c r="AY216" s="3">
        <f t="shared" si="8"/>
        <v>0</v>
      </c>
      <c r="AZ216" s="3">
        <f t="shared" si="9"/>
        <v>0</v>
      </c>
      <c r="BA216" s="3">
        <f t="shared" si="10"/>
        <v>0</v>
      </c>
      <c r="BB216" s="3">
        <f t="shared" si="11"/>
        <v>0</v>
      </c>
      <c r="BC216" s="3"/>
      <c r="BD216" s="3"/>
      <c r="BE216" s="3"/>
      <c r="BF216" s="3"/>
      <c r="BG216" s="3"/>
      <c r="BH216" s="3"/>
      <c r="BI216" s="3"/>
      <c r="BJ216" s="3"/>
      <c r="BK216" s="3"/>
      <c r="BL216" s="3"/>
      <c r="BM216" s="3"/>
      <c r="BN216" s="3"/>
      <c r="BO216" s="3"/>
      <c r="BP216" s="3"/>
      <c r="BQ216" s="3"/>
      <c r="BR216" s="3"/>
      <c r="BS216" s="3"/>
      <c r="BT216" s="3"/>
      <c r="BU216" s="3"/>
      <c r="BV216" s="3"/>
      <c r="BW216" s="3"/>
      <c r="BX216" s="3"/>
    </row>
    <row r="217" spans="1:76" x14ac:dyDescent="0.35">
      <c r="A217" s="3"/>
      <c r="B217" s="3" t="s">
        <v>256</v>
      </c>
      <c r="C217" s="3"/>
      <c r="D217" s="3"/>
      <c r="E217" s="3"/>
      <c r="F217" s="3"/>
      <c r="G217" s="3"/>
      <c r="H217" s="3"/>
      <c r="I217" s="3"/>
      <c r="J217" s="3"/>
      <c r="K217" s="3"/>
      <c r="L217" s="3"/>
      <c r="M217" s="3"/>
      <c r="N217" s="3">
        <f t="shared" si="0"/>
        <v>0</v>
      </c>
      <c r="O217" s="3">
        <f t="shared" si="1"/>
        <v>0</v>
      </c>
      <c r="P217" s="3">
        <f t="shared" si="2"/>
        <v>0</v>
      </c>
      <c r="Q217" s="3">
        <f t="shared" si="3"/>
        <v>0</v>
      </c>
      <c r="R217" s="3">
        <f t="shared" si="4"/>
        <v>0</v>
      </c>
      <c r="S217" s="3">
        <f t="shared" si="5"/>
        <v>0</v>
      </c>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f t="shared" si="6"/>
        <v>0</v>
      </c>
      <c r="AX217" s="3">
        <f t="shared" si="7"/>
        <v>0</v>
      </c>
      <c r="AY217" s="3">
        <f t="shared" si="8"/>
        <v>0</v>
      </c>
      <c r="AZ217" s="3">
        <f t="shared" si="9"/>
        <v>0</v>
      </c>
      <c r="BA217" s="3">
        <f t="shared" si="10"/>
        <v>0</v>
      </c>
      <c r="BB217" s="3">
        <f t="shared" si="11"/>
        <v>0</v>
      </c>
      <c r="BC217" s="3"/>
      <c r="BD217" s="3"/>
      <c r="BE217" s="3"/>
      <c r="BF217" s="3"/>
      <c r="BG217" s="3"/>
      <c r="BH217" s="3"/>
      <c r="BI217" s="3"/>
      <c r="BJ217" s="3"/>
      <c r="BK217" s="3"/>
      <c r="BL217" s="3"/>
      <c r="BM217" s="3"/>
      <c r="BN217" s="3"/>
      <c r="BO217" s="3"/>
      <c r="BP217" s="3"/>
      <c r="BQ217" s="3"/>
      <c r="BR217" s="3"/>
      <c r="BS217" s="3"/>
      <c r="BT217" s="3"/>
      <c r="BU217" s="3"/>
      <c r="BV217" s="3"/>
      <c r="BW217" s="3"/>
      <c r="BX217" s="3"/>
    </row>
    <row r="218" spans="1:76" x14ac:dyDescent="0.35">
      <c r="A218" s="3"/>
      <c r="B218" s="3" t="s">
        <v>257</v>
      </c>
      <c r="C218" s="3" t="s">
        <v>536</v>
      </c>
      <c r="D218" s="3"/>
      <c r="E218" s="3"/>
      <c r="F218" s="3"/>
      <c r="G218" s="3" t="s">
        <v>3673</v>
      </c>
      <c r="H218" s="3" t="s">
        <v>538</v>
      </c>
      <c r="I218" s="3" t="b">
        <v>1</v>
      </c>
      <c r="J218" s="3" t="b">
        <v>0</v>
      </c>
      <c r="K218" s="3" t="b">
        <v>0</v>
      </c>
      <c r="L218" s="3" t="b">
        <v>1</v>
      </c>
      <c r="M218" s="3" t="b">
        <v>0</v>
      </c>
      <c r="N218" s="3" t="b">
        <f t="shared" si="0"/>
        <v>0</v>
      </c>
      <c r="O218" s="3" t="b">
        <f t="shared" si="1"/>
        <v>0</v>
      </c>
      <c r="P218" s="3" t="b">
        <f t="shared" si="2"/>
        <v>1</v>
      </c>
      <c r="Q218" s="3" t="b">
        <f t="shared" si="3"/>
        <v>0</v>
      </c>
      <c r="R218" s="3" t="b">
        <f t="shared" si="4"/>
        <v>0</v>
      </c>
      <c r="S218" s="3" t="b">
        <f t="shared" si="5"/>
        <v>0</v>
      </c>
      <c r="U218" s="3" t="s">
        <v>539</v>
      </c>
      <c r="V218" s="3" t="b">
        <v>1</v>
      </c>
      <c r="W218" s="3" t="b">
        <v>1</v>
      </c>
      <c r="X218" s="3" t="b">
        <v>1</v>
      </c>
      <c r="Y218" s="3" t="b">
        <v>1</v>
      </c>
      <c r="Z218" s="3" t="b">
        <v>1</v>
      </c>
      <c r="AA218" s="3"/>
      <c r="AB218" s="3"/>
      <c r="AC218" s="3"/>
      <c r="AD218" s="3"/>
      <c r="AE218" s="3"/>
      <c r="AF218" s="3" t="s">
        <v>539</v>
      </c>
      <c r="AG218" s="3" t="b">
        <v>1</v>
      </c>
      <c r="AH218" s="3" t="b">
        <v>1</v>
      </c>
      <c r="AI218" s="3" t="b">
        <v>1</v>
      </c>
      <c r="AJ218" s="3" t="b">
        <v>1</v>
      </c>
      <c r="AK218" s="3" t="b">
        <v>1</v>
      </c>
      <c r="AL218" s="3"/>
      <c r="AM218" s="3"/>
      <c r="AN218" s="3"/>
      <c r="AO218" s="3"/>
      <c r="AP218" s="3"/>
      <c r="AQ218" s="3" t="s">
        <v>540</v>
      </c>
      <c r="AR218" s="3" t="b">
        <v>1</v>
      </c>
      <c r="AS218" s="3" t="b">
        <v>1</v>
      </c>
      <c r="AT218" s="3" t="b">
        <v>1</v>
      </c>
      <c r="AU218" s="3" t="b">
        <v>0</v>
      </c>
      <c r="AV218" s="3" t="b">
        <v>1</v>
      </c>
      <c r="AW218" s="3" t="b">
        <f t="shared" si="6"/>
        <v>0</v>
      </c>
      <c r="AX218" s="3" t="b">
        <f t="shared" si="7"/>
        <v>0</v>
      </c>
      <c r="AY218" s="3" t="b">
        <f t="shared" si="8"/>
        <v>0</v>
      </c>
      <c r="AZ218" s="3" t="b">
        <f t="shared" si="9"/>
        <v>1</v>
      </c>
      <c r="BA218" s="3" t="b">
        <f t="shared" si="10"/>
        <v>0</v>
      </c>
      <c r="BB218" s="3" t="b">
        <f t="shared" si="11"/>
        <v>0</v>
      </c>
      <c r="BC218" s="3"/>
      <c r="BD218" s="3" t="s">
        <v>540</v>
      </c>
      <c r="BE218" s="3" t="b">
        <v>1</v>
      </c>
      <c r="BF218" s="3" t="b">
        <v>1</v>
      </c>
      <c r="BG218" s="3" t="b">
        <v>1</v>
      </c>
      <c r="BH218" s="3" t="b">
        <v>0</v>
      </c>
      <c r="BI218" s="3" t="b">
        <v>1</v>
      </c>
      <c r="BJ218" s="3"/>
      <c r="BK218" s="3"/>
      <c r="BL218" s="3"/>
      <c r="BM218" s="3"/>
      <c r="BN218" s="3"/>
      <c r="BO218" s="3" t="s">
        <v>540</v>
      </c>
      <c r="BP218" s="3" t="b">
        <v>1</v>
      </c>
      <c r="BQ218" s="3" t="b">
        <v>1</v>
      </c>
      <c r="BR218" s="3" t="b">
        <v>1</v>
      </c>
      <c r="BS218" s="3" t="b">
        <v>0</v>
      </c>
      <c r="BT218" s="3" t="b">
        <v>1</v>
      </c>
      <c r="BU218" s="3"/>
      <c r="BV218" s="3"/>
      <c r="BW218" s="3"/>
      <c r="BX218" s="3"/>
    </row>
    <row r="219" spans="1:76" x14ac:dyDescent="0.35">
      <c r="A219" s="3"/>
      <c r="B219" s="3"/>
      <c r="C219" s="3" t="s">
        <v>258</v>
      </c>
      <c r="D219" s="3"/>
      <c r="E219" s="3"/>
      <c r="F219" s="3"/>
      <c r="G219" s="3" t="s">
        <v>3674</v>
      </c>
      <c r="H219" s="3"/>
      <c r="I219" s="3" t="b">
        <v>1</v>
      </c>
      <c r="J219" s="3" t="b">
        <v>0</v>
      </c>
      <c r="K219" s="3" t="b">
        <v>0</v>
      </c>
      <c r="L219" s="3" t="b">
        <v>0</v>
      </c>
      <c r="M219" s="3" t="b">
        <v>0</v>
      </c>
      <c r="N219" s="3" t="b">
        <f t="shared" si="0"/>
        <v>0</v>
      </c>
      <c r="O219" s="3" t="b">
        <f t="shared" si="1"/>
        <v>0</v>
      </c>
      <c r="P219" s="3" t="b">
        <f t="shared" si="2"/>
        <v>1</v>
      </c>
      <c r="Q219" s="3" t="b">
        <f t="shared" si="3"/>
        <v>0</v>
      </c>
      <c r="R219" s="3" t="b">
        <f t="shared" si="4"/>
        <v>0</v>
      </c>
      <c r="S219" s="3" t="b">
        <f t="shared" si="5"/>
        <v>0</v>
      </c>
      <c r="U219" s="3" t="s">
        <v>259</v>
      </c>
      <c r="V219" s="3" t="b">
        <v>1</v>
      </c>
      <c r="W219" s="3" t="b">
        <v>1</v>
      </c>
      <c r="X219" s="3" t="b">
        <v>0</v>
      </c>
      <c r="Y219" s="3" t="b">
        <v>1</v>
      </c>
      <c r="Z219" s="3" t="b">
        <v>1</v>
      </c>
      <c r="AA219" s="3"/>
      <c r="AB219" s="3"/>
      <c r="AC219" s="3"/>
      <c r="AD219" s="3"/>
      <c r="AE219" s="3"/>
      <c r="AF219" s="3" t="s">
        <v>260</v>
      </c>
      <c r="AG219" s="3" t="b">
        <v>1</v>
      </c>
      <c r="AH219" s="3" t="b">
        <v>1</v>
      </c>
      <c r="AI219" s="3" t="b">
        <v>1</v>
      </c>
      <c r="AJ219" s="3" t="b">
        <v>1</v>
      </c>
      <c r="AK219" s="3" t="b">
        <v>1</v>
      </c>
      <c r="AL219" s="3"/>
      <c r="AM219" s="3"/>
      <c r="AN219" s="3"/>
      <c r="AO219" s="3"/>
      <c r="AP219" s="3"/>
      <c r="AQ219" s="3" t="s">
        <v>260</v>
      </c>
      <c r="AR219" s="3" t="b">
        <v>1</v>
      </c>
      <c r="AS219" s="3" t="b">
        <v>1</v>
      </c>
      <c r="AT219" s="3" t="b">
        <v>1</v>
      </c>
      <c r="AU219" s="3" t="b">
        <v>1</v>
      </c>
      <c r="AV219" s="3" t="b">
        <v>1</v>
      </c>
      <c r="AW219" s="3" t="b">
        <f t="shared" si="6"/>
        <v>1</v>
      </c>
      <c r="AX219" s="3" t="b">
        <f t="shared" si="7"/>
        <v>0</v>
      </c>
      <c r="AY219" s="3" t="b">
        <f t="shared" si="8"/>
        <v>0</v>
      </c>
      <c r="AZ219" s="3" t="b">
        <f t="shared" si="9"/>
        <v>0</v>
      </c>
      <c r="BA219" s="3" t="b">
        <f t="shared" si="10"/>
        <v>0</v>
      </c>
      <c r="BB219" s="3" t="b">
        <f t="shared" si="11"/>
        <v>0</v>
      </c>
      <c r="BC219" s="3"/>
      <c r="BD219" s="3" t="s">
        <v>260</v>
      </c>
      <c r="BE219" s="3" t="b">
        <v>1</v>
      </c>
      <c r="BF219" s="3" t="b">
        <v>1</v>
      </c>
      <c r="BG219" s="3" t="b">
        <v>1</v>
      </c>
      <c r="BH219" s="3" t="b">
        <v>1</v>
      </c>
      <c r="BI219" s="3" t="b">
        <v>1</v>
      </c>
      <c r="BJ219" s="3"/>
      <c r="BK219" s="3"/>
      <c r="BL219" s="3"/>
      <c r="BM219" s="3"/>
      <c r="BN219" s="3"/>
      <c r="BO219" s="3" t="s">
        <v>260</v>
      </c>
      <c r="BP219" s="3" t="b">
        <v>1</v>
      </c>
      <c r="BQ219" s="3" t="b">
        <v>1</v>
      </c>
      <c r="BR219" s="3" t="b">
        <v>1</v>
      </c>
      <c r="BS219" s="3" t="b">
        <v>1</v>
      </c>
      <c r="BT219" s="3" t="b">
        <v>1</v>
      </c>
      <c r="BU219" s="3"/>
      <c r="BV219" s="3"/>
      <c r="BW219" s="3"/>
      <c r="BX219" s="3"/>
    </row>
    <row r="220" spans="1:76" x14ac:dyDescent="0.35">
      <c r="A220" s="3"/>
      <c r="B220" s="3" t="s">
        <v>261</v>
      </c>
      <c r="C220" s="3" t="s">
        <v>536</v>
      </c>
      <c r="D220" s="3"/>
      <c r="E220" s="3"/>
      <c r="F220" s="3"/>
      <c r="G220" s="3" t="s">
        <v>3675</v>
      </c>
      <c r="H220" s="3" t="s">
        <v>543</v>
      </c>
      <c r="I220" s="3" t="b">
        <v>1</v>
      </c>
      <c r="J220" s="3" t="b">
        <v>1</v>
      </c>
      <c r="K220" s="3" t="b">
        <v>1</v>
      </c>
      <c r="L220" s="3" t="b">
        <v>1</v>
      </c>
      <c r="M220" s="3" t="b">
        <v>1</v>
      </c>
      <c r="N220" s="3" t="b">
        <f t="shared" si="0"/>
        <v>1</v>
      </c>
      <c r="O220" s="3" t="b">
        <f t="shared" si="1"/>
        <v>0</v>
      </c>
      <c r="P220" s="3" t="b">
        <f t="shared" si="2"/>
        <v>0</v>
      </c>
      <c r="Q220" s="3" t="b">
        <f t="shared" si="3"/>
        <v>0</v>
      </c>
      <c r="R220" s="3" t="b">
        <f t="shared" si="4"/>
        <v>0</v>
      </c>
      <c r="S220" s="3" t="b">
        <f t="shared" si="5"/>
        <v>0</v>
      </c>
      <c r="U220" s="3" t="s">
        <v>544</v>
      </c>
      <c r="V220" s="3" t="b">
        <v>1</v>
      </c>
      <c r="W220" s="3" t="b">
        <v>1</v>
      </c>
      <c r="X220" s="3" t="b">
        <v>1</v>
      </c>
      <c r="Y220" s="3" t="b">
        <v>1</v>
      </c>
      <c r="Z220" s="3" t="b">
        <v>1</v>
      </c>
      <c r="AA220" s="3"/>
      <c r="AB220" s="3"/>
      <c r="AC220" s="3"/>
      <c r="AD220" s="3"/>
      <c r="AE220" s="3"/>
      <c r="AF220" s="3" t="s">
        <v>543</v>
      </c>
      <c r="AG220" s="3" t="b">
        <v>1</v>
      </c>
      <c r="AH220" s="3" t="b">
        <v>1</v>
      </c>
      <c r="AI220" s="3" t="b">
        <v>1</v>
      </c>
      <c r="AJ220" s="3" t="b">
        <v>1</v>
      </c>
      <c r="AK220" s="3" t="b">
        <v>1</v>
      </c>
      <c r="AL220" s="3"/>
      <c r="AM220" s="3"/>
      <c r="AN220" s="3"/>
      <c r="AO220" s="3"/>
      <c r="AP220" s="3"/>
      <c r="AQ220" s="3" t="s">
        <v>540</v>
      </c>
      <c r="AR220" s="3" t="b">
        <v>1</v>
      </c>
      <c r="AS220" s="3" t="b">
        <v>1</v>
      </c>
      <c r="AT220" s="3" t="b">
        <v>1</v>
      </c>
      <c r="AU220" s="3" t="b">
        <v>0</v>
      </c>
      <c r="AV220" s="3" t="b">
        <v>1</v>
      </c>
      <c r="AW220" s="3" t="b">
        <f t="shared" si="6"/>
        <v>0</v>
      </c>
      <c r="AX220" s="3" t="b">
        <f t="shared" si="7"/>
        <v>0</v>
      </c>
      <c r="AY220" s="3" t="b">
        <f t="shared" si="8"/>
        <v>0</v>
      </c>
      <c r="AZ220" s="3" t="b">
        <f t="shared" si="9"/>
        <v>1</v>
      </c>
      <c r="BA220" s="3" t="b">
        <f t="shared" si="10"/>
        <v>0</v>
      </c>
      <c r="BB220" s="3" t="b">
        <f t="shared" si="11"/>
        <v>0</v>
      </c>
      <c r="BC220" s="3"/>
      <c r="BD220" s="3" t="s">
        <v>540</v>
      </c>
      <c r="BE220" s="3" t="b">
        <v>1</v>
      </c>
      <c r="BF220" s="3" t="b">
        <v>1</v>
      </c>
      <c r="BG220" s="3" t="b">
        <v>1</v>
      </c>
      <c r="BH220" s="3" t="b">
        <v>0</v>
      </c>
      <c r="BI220" s="3" t="b">
        <v>1</v>
      </c>
      <c r="BJ220" s="3"/>
      <c r="BK220" s="3"/>
      <c r="BL220" s="3"/>
      <c r="BM220" s="3"/>
      <c r="BN220" s="3"/>
      <c r="BO220" s="3" t="s">
        <v>540</v>
      </c>
      <c r="BP220" s="3" t="b">
        <v>1</v>
      </c>
      <c r="BQ220" s="3" t="b">
        <v>1</v>
      </c>
      <c r="BR220" s="3" t="b">
        <v>1</v>
      </c>
      <c r="BS220" s="3" t="b">
        <v>0</v>
      </c>
      <c r="BT220" s="3" t="b">
        <v>1</v>
      </c>
      <c r="BU220" s="3"/>
      <c r="BV220" s="3"/>
      <c r="BW220" s="3"/>
      <c r="BX220" s="3"/>
    </row>
    <row r="221" spans="1:76" x14ac:dyDescent="0.35">
      <c r="A221" s="3"/>
      <c r="B221" s="3"/>
      <c r="C221" s="3" t="s">
        <v>258</v>
      </c>
      <c r="D221" s="3"/>
      <c r="E221" s="3"/>
      <c r="F221" s="3"/>
      <c r="G221" s="3" t="s">
        <v>3676</v>
      </c>
      <c r="H221" s="3" t="s">
        <v>260</v>
      </c>
      <c r="I221" s="3" t="b">
        <v>1</v>
      </c>
      <c r="J221" s="3" t="b">
        <v>1</v>
      </c>
      <c r="K221" s="3" t="b">
        <v>1</v>
      </c>
      <c r="L221" s="3" t="b">
        <v>1</v>
      </c>
      <c r="M221" s="3" t="b">
        <v>1</v>
      </c>
      <c r="N221" s="3" t="b">
        <f t="shared" si="0"/>
        <v>1</v>
      </c>
      <c r="O221" s="3" t="b">
        <f t="shared" si="1"/>
        <v>0</v>
      </c>
      <c r="P221" s="3" t="b">
        <f t="shared" si="2"/>
        <v>0</v>
      </c>
      <c r="Q221" s="3" t="b">
        <f t="shared" si="3"/>
        <v>0</v>
      </c>
      <c r="R221" s="3" t="b">
        <f t="shared" si="4"/>
        <v>0</v>
      </c>
      <c r="S221" s="3" t="b">
        <f t="shared" si="5"/>
        <v>0</v>
      </c>
      <c r="U221" s="3" t="s">
        <v>259</v>
      </c>
      <c r="V221" s="3" t="b">
        <v>1</v>
      </c>
      <c r="W221" s="3" t="b">
        <v>1</v>
      </c>
      <c r="X221" s="3" t="b">
        <v>0</v>
      </c>
      <c r="Y221" s="3" t="b">
        <v>1</v>
      </c>
      <c r="Z221" s="3" t="b">
        <v>1</v>
      </c>
      <c r="AA221" s="3"/>
      <c r="AB221" s="3"/>
      <c r="AC221" s="3"/>
      <c r="AD221" s="3"/>
      <c r="AE221" s="3"/>
      <c r="AF221" s="3" t="s">
        <v>260</v>
      </c>
      <c r="AG221" s="3" t="b">
        <v>1</v>
      </c>
      <c r="AH221" s="3" t="b">
        <v>1</v>
      </c>
      <c r="AI221" s="3" t="b">
        <v>1</v>
      </c>
      <c r="AJ221" s="3" t="b">
        <v>1</v>
      </c>
      <c r="AK221" s="3" t="b">
        <v>1</v>
      </c>
      <c r="AL221" s="3"/>
      <c r="AM221" s="3"/>
      <c r="AN221" s="3"/>
      <c r="AO221" s="3"/>
      <c r="AP221" s="3"/>
      <c r="AQ221" s="3" t="s">
        <v>260</v>
      </c>
      <c r="AR221" s="3" t="b">
        <v>1</v>
      </c>
      <c r="AS221" s="3" t="b">
        <v>1</v>
      </c>
      <c r="AT221" s="3" t="b">
        <v>1</v>
      </c>
      <c r="AU221" s="3" t="b">
        <v>1</v>
      </c>
      <c r="AV221" s="3" t="b">
        <v>1</v>
      </c>
      <c r="AW221" s="3" t="b">
        <f t="shared" si="6"/>
        <v>1</v>
      </c>
      <c r="AX221" s="3" t="b">
        <f t="shared" si="7"/>
        <v>0</v>
      </c>
      <c r="AY221" s="3" t="b">
        <f t="shared" si="8"/>
        <v>0</v>
      </c>
      <c r="AZ221" s="3" t="b">
        <f t="shared" si="9"/>
        <v>0</v>
      </c>
      <c r="BA221" s="3" t="b">
        <f t="shared" si="10"/>
        <v>0</v>
      </c>
      <c r="BB221" s="3" t="b">
        <f t="shared" si="11"/>
        <v>0</v>
      </c>
      <c r="BC221" s="3"/>
      <c r="BD221" s="3" t="s">
        <v>260</v>
      </c>
      <c r="BE221" s="3" t="b">
        <v>1</v>
      </c>
      <c r="BF221" s="3" t="b">
        <v>1</v>
      </c>
      <c r="BG221" s="3" t="b">
        <v>1</v>
      </c>
      <c r="BH221" s="3" t="b">
        <v>1</v>
      </c>
      <c r="BI221" s="3" t="b">
        <v>1</v>
      </c>
      <c r="BJ221" s="3"/>
      <c r="BK221" s="3"/>
      <c r="BL221" s="3"/>
      <c r="BM221" s="3"/>
      <c r="BN221" s="3"/>
      <c r="BO221" s="3" t="s">
        <v>260</v>
      </c>
      <c r="BP221" s="3" t="b">
        <v>1</v>
      </c>
      <c r="BQ221" s="3" t="b">
        <v>1</v>
      </c>
      <c r="BR221" s="3" t="b">
        <v>1</v>
      </c>
      <c r="BS221" s="3" t="b">
        <v>1</v>
      </c>
      <c r="BT221" s="3" t="b">
        <v>1</v>
      </c>
      <c r="BU221" s="3"/>
      <c r="BV221" s="3"/>
      <c r="BW221" s="3"/>
      <c r="BX221" s="3"/>
    </row>
    <row r="222" spans="1:76" x14ac:dyDescent="0.35">
      <c r="A222" s="3"/>
      <c r="B222" s="3" t="s">
        <v>263</v>
      </c>
      <c r="C222" s="3" t="s">
        <v>545</v>
      </c>
      <c r="D222" s="3"/>
      <c r="E222" s="3"/>
      <c r="F222" s="3"/>
      <c r="G222" s="3" t="s">
        <v>3677</v>
      </c>
      <c r="H222" s="3" t="s">
        <v>547</v>
      </c>
      <c r="I222" s="3" t="b">
        <v>1</v>
      </c>
      <c r="J222" s="3" t="b">
        <v>1</v>
      </c>
      <c r="K222" s="3" t="b">
        <v>1</v>
      </c>
      <c r="L222" s="3" t="b">
        <v>1</v>
      </c>
      <c r="M222" s="3" t="b">
        <v>1</v>
      </c>
      <c r="N222" s="3" t="b">
        <f t="shared" si="0"/>
        <v>1</v>
      </c>
      <c r="O222" s="3" t="b">
        <f t="shared" si="1"/>
        <v>0</v>
      </c>
      <c r="P222" s="3" t="b">
        <f t="shared" si="2"/>
        <v>0</v>
      </c>
      <c r="Q222" s="3" t="b">
        <f t="shared" si="3"/>
        <v>0</v>
      </c>
      <c r="R222" s="3" t="b">
        <f t="shared" si="4"/>
        <v>0</v>
      </c>
      <c r="S222" s="3" t="b">
        <f t="shared" si="5"/>
        <v>0</v>
      </c>
      <c r="U222" s="3" t="s">
        <v>548</v>
      </c>
      <c r="V222" s="3" t="b">
        <v>1</v>
      </c>
      <c r="W222" s="3" t="b">
        <v>1</v>
      </c>
      <c r="X222" s="3" t="b">
        <v>1</v>
      </c>
      <c r="Y222" s="3" t="b">
        <v>1</v>
      </c>
      <c r="Z222" s="3" t="b">
        <v>1</v>
      </c>
      <c r="AA222" s="3"/>
      <c r="AB222" s="3"/>
      <c r="AC222" s="3"/>
      <c r="AD222" s="3"/>
      <c r="AE222" s="3"/>
      <c r="AF222" s="3" t="s">
        <v>549</v>
      </c>
      <c r="AG222" s="3" t="b">
        <v>1</v>
      </c>
      <c r="AH222" s="3" t="b">
        <v>1</v>
      </c>
      <c r="AI222" s="3" t="b">
        <v>1</v>
      </c>
      <c r="AJ222" s="3" t="b">
        <v>1</v>
      </c>
      <c r="AK222" s="3" t="b">
        <v>1</v>
      </c>
      <c r="AL222" s="3"/>
      <c r="AM222" s="3"/>
      <c r="AN222" s="3"/>
      <c r="AO222" s="3"/>
      <c r="AP222" s="3"/>
      <c r="AQ222" s="3" t="s">
        <v>550</v>
      </c>
      <c r="AR222" s="3" t="b">
        <v>1</v>
      </c>
      <c r="AS222" s="3" t="b">
        <v>1</v>
      </c>
      <c r="AT222" s="3" t="b">
        <v>1</v>
      </c>
      <c r="AU222" s="3" t="b">
        <v>0</v>
      </c>
      <c r="AV222" s="3" t="b">
        <v>1</v>
      </c>
      <c r="AW222" s="3" t="b">
        <f t="shared" si="6"/>
        <v>0</v>
      </c>
      <c r="AX222" s="3" t="b">
        <f t="shared" si="7"/>
        <v>0</v>
      </c>
      <c r="AY222" s="3" t="b">
        <f t="shared" si="8"/>
        <v>0</v>
      </c>
      <c r="AZ222" s="3" t="b">
        <f t="shared" si="9"/>
        <v>1</v>
      </c>
      <c r="BA222" s="3" t="b">
        <f t="shared" si="10"/>
        <v>0</v>
      </c>
      <c r="BB222" s="3" t="b">
        <f t="shared" si="11"/>
        <v>0</v>
      </c>
      <c r="BC222" s="3"/>
      <c r="BD222" s="3" t="s">
        <v>550</v>
      </c>
      <c r="BE222" s="3" t="b">
        <v>1</v>
      </c>
      <c r="BF222" s="3" t="b">
        <v>1</v>
      </c>
      <c r="BG222" s="3" t="b">
        <v>1</v>
      </c>
      <c r="BH222" s="3" t="b">
        <v>0</v>
      </c>
      <c r="BI222" s="3" t="b">
        <v>1</v>
      </c>
      <c r="BJ222" s="3"/>
      <c r="BK222" s="3"/>
      <c r="BL222" s="3"/>
      <c r="BM222" s="3"/>
      <c r="BN222" s="3"/>
      <c r="BO222" s="3" t="s">
        <v>550</v>
      </c>
      <c r="BP222" s="3" t="b">
        <v>1</v>
      </c>
      <c r="BQ222" s="3" t="b">
        <v>1</v>
      </c>
      <c r="BR222" s="3" t="b">
        <v>1</v>
      </c>
      <c r="BS222" s="3" t="b">
        <v>0</v>
      </c>
      <c r="BT222" s="3" t="b">
        <v>1</v>
      </c>
      <c r="BU222" s="3"/>
      <c r="BV222" s="3"/>
      <c r="BW222" s="3"/>
      <c r="BX222" s="3"/>
    </row>
    <row r="223" spans="1:76" x14ac:dyDescent="0.35">
      <c r="A223" s="3"/>
      <c r="B223" s="3"/>
      <c r="C223" s="3" t="s">
        <v>258</v>
      </c>
      <c r="D223" s="3"/>
      <c r="E223" s="3"/>
      <c r="F223" s="3"/>
      <c r="G223" s="3" t="s">
        <v>3678</v>
      </c>
      <c r="H223" s="3" t="s">
        <v>260</v>
      </c>
      <c r="I223" s="3" t="b">
        <v>1</v>
      </c>
      <c r="J223" s="3" t="b">
        <v>1</v>
      </c>
      <c r="K223" s="3" t="b">
        <v>1</v>
      </c>
      <c r="L223" s="3" t="b">
        <v>1</v>
      </c>
      <c r="M223" s="3" t="b">
        <v>1</v>
      </c>
      <c r="N223" s="3" t="b">
        <f t="shared" si="0"/>
        <v>1</v>
      </c>
      <c r="O223" s="3" t="b">
        <f t="shared" si="1"/>
        <v>0</v>
      </c>
      <c r="P223" s="3" t="b">
        <f t="shared" si="2"/>
        <v>0</v>
      </c>
      <c r="Q223" s="3" t="b">
        <f t="shared" si="3"/>
        <v>0</v>
      </c>
      <c r="R223" s="3" t="b">
        <f t="shared" si="4"/>
        <v>0</v>
      </c>
      <c r="S223" s="3" t="b">
        <f t="shared" si="5"/>
        <v>0</v>
      </c>
      <c r="U223" s="3" t="s">
        <v>260</v>
      </c>
      <c r="V223" s="3" t="b">
        <v>1</v>
      </c>
      <c r="W223" s="3" t="b">
        <v>1</v>
      </c>
      <c r="X223" s="3" t="b">
        <v>1</v>
      </c>
      <c r="Y223" s="3" t="b">
        <v>1</v>
      </c>
      <c r="Z223" s="3" t="b">
        <v>1</v>
      </c>
      <c r="AA223" s="3"/>
      <c r="AB223" s="3"/>
      <c r="AC223" s="3"/>
      <c r="AD223" s="3"/>
      <c r="AE223" s="3"/>
      <c r="AF223" s="3" t="s">
        <v>260</v>
      </c>
      <c r="AG223" s="3" t="b">
        <v>1</v>
      </c>
      <c r="AH223" s="3" t="b">
        <v>1</v>
      </c>
      <c r="AI223" s="3" t="b">
        <v>1</v>
      </c>
      <c r="AJ223" s="3" t="b">
        <v>1</v>
      </c>
      <c r="AK223" s="3" t="b">
        <v>1</v>
      </c>
      <c r="AL223" s="3"/>
      <c r="AM223" s="3"/>
      <c r="AN223" s="3"/>
      <c r="AO223" s="3"/>
      <c r="AP223" s="3"/>
      <c r="AQ223" s="3" t="s">
        <v>260</v>
      </c>
      <c r="AR223" s="3" t="b">
        <v>1</v>
      </c>
      <c r="AS223" s="3" t="b">
        <v>1</v>
      </c>
      <c r="AT223" s="3" t="b">
        <v>1</v>
      </c>
      <c r="AU223" s="3" t="b">
        <v>1</v>
      </c>
      <c r="AV223" s="3" t="b">
        <v>1</v>
      </c>
      <c r="AW223" s="3" t="b">
        <f t="shared" si="6"/>
        <v>1</v>
      </c>
      <c r="AX223" s="3" t="b">
        <f t="shared" si="7"/>
        <v>0</v>
      </c>
      <c r="AY223" s="3" t="b">
        <f t="shared" si="8"/>
        <v>0</v>
      </c>
      <c r="AZ223" s="3" t="b">
        <f t="shared" si="9"/>
        <v>0</v>
      </c>
      <c r="BA223" s="3" t="b">
        <f t="shared" si="10"/>
        <v>0</v>
      </c>
      <c r="BB223" s="3" t="b">
        <f t="shared" si="11"/>
        <v>0</v>
      </c>
      <c r="BC223" s="3"/>
      <c r="BD223" s="3" t="s">
        <v>260</v>
      </c>
      <c r="BE223" s="3" t="b">
        <v>1</v>
      </c>
      <c r="BF223" s="3" t="b">
        <v>1</v>
      </c>
      <c r="BG223" s="3" t="b">
        <v>1</v>
      </c>
      <c r="BH223" s="3" t="b">
        <v>1</v>
      </c>
      <c r="BI223" s="3" t="b">
        <v>1</v>
      </c>
      <c r="BJ223" s="3"/>
      <c r="BK223" s="3"/>
      <c r="BL223" s="3"/>
      <c r="BM223" s="3"/>
      <c r="BN223" s="3"/>
      <c r="BO223" s="3" t="s">
        <v>260</v>
      </c>
      <c r="BP223" s="3" t="b">
        <v>1</v>
      </c>
      <c r="BQ223" s="3" t="b">
        <v>1</v>
      </c>
      <c r="BR223" s="3" t="b">
        <v>1</v>
      </c>
      <c r="BS223" s="3" t="b">
        <v>1</v>
      </c>
      <c r="BT223" s="3" t="b">
        <v>1</v>
      </c>
      <c r="BU223" s="3"/>
      <c r="BV223" s="3"/>
      <c r="BW223" s="3"/>
      <c r="BX223" s="3"/>
    </row>
    <row r="224" spans="1:76" x14ac:dyDescent="0.35">
      <c r="A224" s="3"/>
      <c r="B224" s="3" t="s">
        <v>264</v>
      </c>
      <c r="C224" s="3" t="s">
        <v>536</v>
      </c>
      <c r="D224" s="3" t="s">
        <v>265</v>
      </c>
      <c r="E224" s="3" t="s">
        <v>266</v>
      </c>
      <c r="F224" s="3"/>
      <c r="G224" s="3" t="s">
        <v>3679</v>
      </c>
      <c r="H224" s="3" t="s">
        <v>552</v>
      </c>
      <c r="I224" s="3" t="b">
        <v>1</v>
      </c>
      <c r="J224" s="3" t="b">
        <v>1</v>
      </c>
      <c r="K224" s="3" t="b">
        <v>1</v>
      </c>
      <c r="L224" s="3" t="b">
        <v>1</v>
      </c>
      <c r="M224" s="3" t="b">
        <v>1</v>
      </c>
      <c r="N224" s="3" t="b">
        <f t="shared" si="0"/>
        <v>1</v>
      </c>
      <c r="O224" s="3" t="b">
        <f t="shared" si="1"/>
        <v>0</v>
      </c>
      <c r="P224" s="3" t="b">
        <f t="shared" si="2"/>
        <v>0</v>
      </c>
      <c r="Q224" s="3" t="b">
        <f t="shared" si="3"/>
        <v>0</v>
      </c>
      <c r="R224" s="3" t="b">
        <f t="shared" si="4"/>
        <v>0</v>
      </c>
      <c r="S224" s="3" t="b">
        <f t="shared" si="5"/>
        <v>0</v>
      </c>
      <c r="U224" s="3" t="s">
        <v>553</v>
      </c>
      <c r="V224" s="3" t="b">
        <v>1</v>
      </c>
      <c r="W224" s="3" t="b">
        <v>1</v>
      </c>
      <c r="X224" s="3" t="b">
        <v>1</v>
      </c>
      <c r="Y224" s="3" t="b">
        <v>1</v>
      </c>
      <c r="Z224" s="3" t="b">
        <v>1</v>
      </c>
      <c r="AA224" s="3"/>
      <c r="AB224" s="3"/>
      <c r="AC224" s="3"/>
      <c r="AD224" s="3"/>
      <c r="AE224" s="3"/>
      <c r="AF224" s="3" t="s">
        <v>554</v>
      </c>
      <c r="AG224" s="3" t="b">
        <v>1</v>
      </c>
      <c r="AH224" s="3" t="b">
        <v>1</v>
      </c>
      <c r="AI224" s="3" t="b">
        <v>1</v>
      </c>
      <c r="AJ224" s="3" t="b">
        <v>1</v>
      </c>
      <c r="AK224" s="3" t="b">
        <v>1</v>
      </c>
      <c r="AL224" s="3"/>
      <c r="AM224" s="3"/>
      <c r="AN224" s="3"/>
      <c r="AO224" s="3"/>
      <c r="AP224" s="3"/>
      <c r="AQ224" s="3" t="s">
        <v>540</v>
      </c>
      <c r="AR224" s="3" t="b">
        <v>1</v>
      </c>
      <c r="AS224" s="3" t="b">
        <v>1</v>
      </c>
      <c r="AT224" s="3" t="b">
        <v>1</v>
      </c>
      <c r="AU224" s="3" t="b">
        <v>0</v>
      </c>
      <c r="AV224" s="3" t="b">
        <v>1</v>
      </c>
      <c r="AW224" s="3" t="b">
        <f t="shared" si="6"/>
        <v>0</v>
      </c>
      <c r="AX224" s="3" t="b">
        <f t="shared" si="7"/>
        <v>0</v>
      </c>
      <c r="AY224" s="3" t="b">
        <f t="shared" si="8"/>
        <v>0</v>
      </c>
      <c r="AZ224" s="3" t="b">
        <f t="shared" si="9"/>
        <v>1</v>
      </c>
      <c r="BA224" s="3" t="b">
        <f t="shared" si="10"/>
        <v>0</v>
      </c>
      <c r="BB224" s="3" t="b">
        <f t="shared" si="11"/>
        <v>0</v>
      </c>
      <c r="BC224" s="3"/>
      <c r="BD224" s="3" t="s">
        <v>540</v>
      </c>
      <c r="BE224" s="3" t="b">
        <v>1</v>
      </c>
      <c r="BF224" s="3" t="b">
        <v>1</v>
      </c>
      <c r="BG224" s="3" t="b">
        <v>1</v>
      </c>
      <c r="BH224" s="3" t="b">
        <v>0</v>
      </c>
      <c r="BI224" s="3" t="b">
        <v>1</v>
      </c>
      <c r="BJ224" s="3"/>
      <c r="BK224" s="3"/>
      <c r="BL224" s="3"/>
      <c r="BM224" s="3"/>
      <c r="BN224" s="3"/>
      <c r="BO224" s="3" t="s">
        <v>540</v>
      </c>
      <c r="BP224" s="3" t="b">
        <v>1</v>
      </c>
      <c r="BQ224" s="3" t="b">
        <v>1</v>
      </c>
      <c r="BR224" s="3" t="b">
        <v>1</v>
      </c>
      <c r="BS224" s="3" t="b">
        <v>0</v>
      </c>
      <c r="BT224" s="3" t="b">
        <v>1</v>
      </c>
      <c r="BU224" s="3"/>
      <c r="BV224" s="3"/>
      <c r="BW224" s="3"/>
      <c r="BX224" s="3"/>
    </row>
    <row r="225" spans="1:76" x14ac:dyDescent="0.35">
      <c r="A225" s="3"/>
      <c r="B225" s="3" t="s">
        <v>267</v>
      </c>
      <c r="C225" s="3" t="s">
        <v>61</v>
      </c>
      <c r="D225" s="3"/>
      <c r="E225" s="3"/>
      <c r="F225" s="3"/>
      <c r="G225" s="3" t="s">
        <v>3680</v>
      </c>
      <c r="H225" s="3" t="s">
        <v>63</v>
      </c>
      <c r="I225" s="3" t="b">
        <v>1</v>
      </c>
      <c r="J225" s="3" t="b">
        <v>1</v>
      </c>
      <c r="K225" s="3" t="b">
        <v>1</v>
      </c>
      <c r="L225" s="3" t="b">
        <v>1</v>
      </c>
      <c r="M225" s="3" t="b">
        <v>1</v>
      </c>
      <c r="N225" s="3" t="b">
        <f t="shared" si="0"/>
        <v>1</v>
      </c>
      <c r="O225" s="3" t="b">
        <f t="shared" si="1"/>
        <v>0</v>
      </c>
      <c r="P225" s="3" t="b">
        <f t="shared" si="2"/>
        <v>0</v>
      </c>
      <c r="Q225" s="3" t="b">
        <f t="shared" si="3"/>
        <v>0</v>
      </c>
      <c r="R225" s="3" t="b">
        <f t="shared" si="4"/>
        <v>0</v>
      </c>
      <c r="S225" s="3" t="b">
        <f t="shared" si="5"/>
        <v>0</v>
      </c>
      <c r="U225" s="3" t="s">
        <v>63</v>
      </c>
      <c r="V225" s="3" t="b">
        <v>1</v>
      </c>
      <c r="W225" s="3" t="b">
        <v>1</v>
      </c>
      <c r="X225" s="3" t="b">
        <v>1</v>
      </c>
      <c r="Y225" s="3" t="b">
        <v>1</v>
      </c>
      <c r="Z225" s="3" t="b">
        <v>1</v>
      </c>
      <c r="AA225" s="3"/>
      <c r="AB225" s="3"/>
      <c r="AC225" s="3"/>
      <c r="AD225" s="3"/>
      <c r="AE225" s="3"/>
      <c r="AF225" s="3" t="s">
        <v>63</v>
      </c>
      <c r="AG225" s="3" t="b">
        <v>1</v>
      </c>
      <c r="AH225" s="3" t="b">
        <v>1</v>
      </c>
      <c r="AI225" s="3" t="b">
        <v>1</v>
      </c>
      <c r="AJ225" s="3" t="b">
        <v>1</v>
      </c>
      <c r="AK225" s="3" t="b">
        <v>1</v>
      </c>
      <c r="AL225" s="3"/>
      <c r="AM225" s="3"/>
      <c r="AN225" s="3"/>
      <c r="AO225" s="3"/>
      <c r="AP225" s="3"/>
      <c r="AQ225" s="3" t="s">
        <v>63</v>
      </c>
      <c r="AR225" s="3" t="b">
        <v>1</v>
      </c>
      <c r="AS225" s="3" t="b">
        <v>1</v>
      </c>
      <c r="AT225" s="3" t="b">
        <v>1</v>
      </c>
      <c r="AU225" s="3" t="b">
        <v>1</v>
      </c>
      <c r="AV225" s="3" t="b">
        <v>1</v>
      </c>
      <c r="AW225" s="3" t="b">
        <f t="shared" si="6"/>
        <v>1</v>
      </c>
      <c r="AX225" s="3" t="b">
        <f t="shared" si="7"/>
        <v>0</v>
      </c>
      <c r="AY225" s="3" t="b">
        <f t="shared" si="8"/>
        <v>0</v>
      </c>
      <c r="AZ225" s="3" t="b">
        <f t="shared" si="9"/>
        <v>0</v>
      </c>
      <c r="BA225" s="3" t="b">
        <f t="shared" si="10"/>
        <v>0</v>
      </c>
      <c r="BB225" s="3" t="b">
        <f t="shared" si="11"/>
        <v>0</v>
      </c>
      <c r="BC225" s="3"/>
      <c r="BD225" s="3" t="s">
        <v>63</v>
      </c>
      <c r="BE225" s="3" t="b">
        <v>1</v>
      </c>
      <c r="BF225" s="3" t="b">
        <v>1</v>
      </c>
      <c r="BG225" s="3" t="b">
        <v>1</v>
      </c>
      <c r="BH225" s="3" t="b">
        <v>1</v>
      </c>
      <c r="BI225" s="3" t="b">
        <v>1</v>
      </c>
      <c r="BJ225" s="3"/>
      <c r="BK225" s="3"/>
      <c r="BL225" s="3"/>
      <c r="BM225" s="3"/>
      <c r="BN225" s="3"/>
      <c r="BO225" s="3" t="s">
        <v>63</v>
      </c>
      <c r="BP225" s="3" t="b">
        <v>1</v>
      </c>
      <c r="BQ225" s="3" t="b">
        <v>1</v>
      </c>
      <c r="BR225" s="3" t="b">
        <v>1</v>
      </c>
      <c r="BS225" s="3" t="b">
        <v>1</v>
      </c>
      <c r="BT225" s="3" t="b">
        <v>1</v>
      </c>
      <c r="BU225" s="3"/>
      <c r="BV225" s="3"/>
      <c r="BW225" s="3"/>
      <c r="BX225" s="3"/>
    </row>
    <row r="226" spans="1:76" x14ac:dyDescent="0.35">
      <c r="A226" s="3"/>
      <c r="B226" s="3"/>
      <c r="C226" s="3" t="s">
        <v>494</v>
      </c>
      <c r="D226" s="3"/>
      <c r="E226" s="3"/>
      <c r="F226" s="3"/>
      <c r="G226" s="3" t="s">
        <v>3681</v>
      </c>
      <c r="H226" s="3" t="s">
        <v>557</v>
      </c>
      <c r="I226" s="3" t="b">
        <v>1</v>
      </c>
      <c r="J226" s="3" t="b">
        <v>0</v>
      </c>
      <c r="K226" s="3" t="b">
        <v>0</v>
      </c>
      <c r="L226" s="3" t="b">
        <v>1</v>
      </c>
      <c r="M226" s="3" t="b">
        <v>0</v>
      </c>
      <c r="N226" s="3" t="b">
        <f t="shared" si="0"/>
        <v>0</v>
      </c>
      <c r="O226" s="3" t="b">
        <f t="shared" si="1"/>
        <v>0</v>
      </c>
      <c r="P226" s="3" t="b">
        <f t="shared" si="2"/>
        <v>1</v>
      </c>
      <c r="Q226" s="3" t="b">
        <f t="shared" si="3"/>
        <v>0</v>
      </c>
      <c r="R226" s="3" t="b">
        <f t="shared" si="4"/>
        <v>0</v>
      </c>
      <c r="S226" s="3" t="b">
        <f t="shared" si="5"/>
        <v>0</v>
      </c>
      <c r="U226" s="3" t="s">
        <v>498</v>
      </c>
      <c r="V226" s="3" t="b">
        <v>1</v>
      </c>
      <c r="W226" s="3" t="b">
        <v>1</v>
      </c>
      <c r="X226" s="3" t="b">
        <v>1</v>
      </c>
      <c r="Y226" s="3" t="b">
        <v>1</v>
      </c>
      <c r="Z226" s="3" t="b">
        <v>1</v>
      </c>
      <c r="AA226" s="3"/>
      <c r="AB226" s="3"/>
      <c r="AC226" s="3"/>
      <c r="AD226" s="3"/>
      <c r="AE226" s="3"/>
      <c r="AF226" s="3" t="s">
        <v>557</v>
      </c>
      <c r="AG226" s="3" t="b">
        <v>1</v>
      </c>
      <c r="AH226" s="3" t="b">
        <v>0</v>
      </c>
      <c r="AI226" s="3" t="b">
        <v>0</v>
      </c>
      <c r="AJ226" s="3" t="b">
        <v>1</v>
      </c>
      <c r="AK226" s="3" t="b">
        <v>0</v>
      </c>
      <c r="AL226" s="3"/>
      <c r="AM226" s="3"/>
      <c r="AN226" s="3"/>
      <c r="AO226" s="3"/>
      <c r="AP226" s="3"/>
      <c r="AQ226" s="3" t="s">
        <v>558</v>
      </c>
      <c r="AR226" s="3" t="b">
        <v>1</v>
      </c>
      <c r="AS226" s="3" t="b">
        <v>1</v>
      </c>
      <c r="AT226" s="3" t="b">
        <v>1</v>
      </c>
      <c r="AU226" s="3" t="b">
        <v>1</v>
      </c>
      <c r="AV226" s="3" t="b">
        <v>0</v>
      </c>
      <c r="AW226" s="3" t="b">
        <f t="shared" si="6"/>
        <v>0</v>
      </c>
      <c r="AX226" s="3" t="b">
        <f t="shared" si="7"/>
        <v>1</v>
      </c>
      <c r="AY226" s="3" t="b">
        <f t="shared" si="8"/>
        <v>0</v>
      </c>
      <c r="AZ226" s="3" t="b">
        <f t="shared" si="9"/>
        <v>0</v>
      </c>
      <c r="BA226" s="3" t="b">
        <f t="shared" si="10"/>
        <v>1</v>
      </c>
      <c r="BB226" s="3" t="b">
        <f t="shared" si="11"/>
        <v>0</v>
      </c>
      <c r="BC226" s="3"/>
      <c r="BD226" s="3" t="s">
        <v>559</v>
      </c>
      <c r="BE226" s="3" t="b">
        <v>1</v>
      </c>
      <c r="BF226" s="3" t="b">
        <v>0</v>
      </c>
      <c r="BG226" s="3" t="b">
        <v>0</v>
      </c>
      <c r="BH226" s="3" t="b">
        <v>1</v>
      </c>
      <c r="BI226" s="3" t="b">
        <v>0</v>
      </c>
      <c r="BJ226" s="3"/>
      <c r="BK226" s="3"/>
      <c r="BL226" s="3"/>
      <c r="BM226" s="3"/>
      <c r="BN226" s="3"/>
      <c r="BO226" s="3" t="s">
        <v>499</v>
      </c>
      <c r="BP226" s="3" t="b">
        <v>1</v>
      </c>
      <c r="BQ226" s="3" t="b">
        <v>0</v>
      </c>
      <c r="BR226" s="3" t="b">
        <v>0</v>
      </c>
      <c r="BS226" s="3" t="b">
        <v>1</v>
      </c>
      <c r="BT226" s="3" t="b">
        <v>0</v>
      </c>
      <c r="BU226" s="3"/>
      <c r="BV226" s="3"/>
      <c r="BW226" s="3"/>
      <c r="BX226" s="3"/>
    </row>
    <row r="227" spans="1:76" x14ac:dyDescent="0.35">
      <c r="A227" s="3"/>
      <c r="B227" s="3" t="s">
        <v>268</v>
      </c>
      <c r="C227" s="3" t="s">
        <v>536</v>
      </c>
      <c r="D227" s="3" t="s">
        <v>265</v>
      </c>
      <c r="E227" s="3" t="s">
        <v>266</v>
      </c>
      <c r="F227" s="3"/>
      <c r="G227" s="3" t="s">
        <v>3682</v>
      </c>
      <c r="H227" s="3" t="s">
        <v>554</v>
      </c>
      <c r="I227" s="3" t="b">
        <v>1</v>
      </c>
      <c r="J227" s="3" t="b">
        <v>1</v>
      </c>
      <c r="K227" s="3" t="b">
        <v>1</v>
      </c>
      <c r="L227" s="3" t="b">
        <v>1</v>
      </c>
      <c r="M227" s="3" t="b">
        <v>1</v>
      </c>
      <c r="N227" s="3" t="b">
        <f t="shared" si="0"/>
        <v>1</v>
      </c>
      <c r="O227" s="3" t="b">
        <f t="shared" si="1"/>
        <v>0</v>
      </c>
      <c r="P227" s="3" t="b">
        <f t="shared" si="2"/>
        <v>0</v>
      </c>
      <c r="Q227" s="3" t="b">
        <f t="shared" si="3"/>
        <v>0</v>
      </c>
      <c r="R227" s="3" t="b">
        <f t="shared" si="4"/>
        <v>0</v>
      </c>
      <c r="S227" s="3" t="b">
        <f t="shared" si="5"/>
        <v>0</v>
      </c>
      <c r="U227" s="3" t="s">
        <v>561</v>
      </c>
      <c r="V227" s="3" t="b">
        <v>1</v>
      </c>
      <c r="W227" s="3" t="b">
        <v>1</v>
      </c>
      <c r="X227" s="3" t="b">
        <v>1</v>
      </c>
      <c r="Y227" s="3" t="b">
        <v>1</v>
      </c>
      <c r="Z227" s="3" t="b">
        <v>1</v>
      </c>
      <c r="AA227" s="3"/>
      <c r="AB227" s="3"/>
      <c r="AC227" s="3"/>
      <c r="AD227" s="3"/>
      <c r="AE227" s="3"/>
      <c r="AF227" s="3" t="s">
        <v>562</v>
      </c>
      <c r="AG227" s="3" t="b">
        <v>1</v>
      </c>
      <c r="AH227" s="3" t="b">
        <v>1</v>
      </c>
      <c r="AI227" s="3" t="b">
        <v>1</v>
      </c>
      <c r="AJ227" s="3" t="b">
        <v>1</v>
      </c>
      <c r="AK227" s="3" t="b">
        <v>1</v>
      </c>
      <c r="AL227" s="3"/>
      <c r="AM227" s="3"/>
      <c r="AN227" s="3"/>
      <c r="AO227" s="3"/>
      <c r="AP227" s="3"/>
      <c r="AQ227" s="3" t="s">
        <v>563</v>
      </c>
      <c r="AR227" s="3" t="b">
        <v>1</v>
      </c>
      <c r="AS227" s="3" t="b">
        <v>1</v>
      </c>
      <c r="AT227" s="3" t="b">
        <v>1</v>
      </c>
      <c r="AU227" s="3" t="b">
        <v>0</v>
      </c>
      <c r="AV227" s="3" t="b">
        <v>1</v>
      </c>
      <c r="AW227" s="3" t="b">
        <f t="shared" si="6"/>
        <v>0</v>
      </c>
      <c r="AX227" s="3" t="b">
        <f t="shared" si="7"/>
        <v>0</v>
      </c>
      <c r="AY227" s="3" t="b">
        <f t="shared" si="8"/>
        <v>0</v>
      </c>
      <c r="AZ227" s="3" t="b">
        <f t="shared" si="9"/>
        <v>1</v>
      </c>
      <c r="BA227" s="3" t="b">
        <f t="shared" si="10"/>
        <v>0</v>
      </c>
      <c r="BB227" s="3" t="b">
        <f t="shared" si="11"/>
        <v>0</v>
      </c>
      <c r="BC227" s="3"/>
      <c r="BD227" s="3" t="s">
        <v>564</v>
      </c>
      <c r="BE227" s="3" t="b">
        <v>1</v>
      </c>
      <c r="BF227" s="3" t="b">
        <v>1</v>
      </c>
      <c r="BG227" s="3" t="b">
        <v>1</v>
      </c>
      <c r="BH227" s="3" t="b">
        <v>0</v>
      </c>
      <c r="BI227" s="3" t="b">
        <v>1</v>
      </c>
      <c r="BJ227" s="3"/>
      <c r="BK227" s="3"/>
      <c r="BL227" s="3"/>
      <c r="BM227" s="3"/>
      <c r="BN227" s="3"/>
      <c r="BO227" s="3" t="s">
        <v>540</v>
      </c>
      <c r="BP227" s="3" t="b">
        <v>1</v>
      </c>
      <c r="BQ227" s="3" t="b">
        <v>1</v>
      </c>
      <c r="BR227" s="3" t="b">
        <v>1</v>
      </c>
      <c r="BS227" s="3" t="b">
        <v>0</v>
      </c>
      <c r="BT227" s="3" t="b">
        <v>1</v>
      </c>
      <c r="BU227" s="3"/>
      <c r="BV227" s="3"/>
      <c r="BW227" s="3"/>
      <c r="BX227" s="3"/>
    </row>
    <row r="228" spans="1:76" x14ac:dyDescent="0.35">
      <c r="A228" s="3"/>
      <c r="B228" s="3" t="s">
        <v>141</v>
      </c>
      <c r="C228" s="3" t="s">
        <v>142</v>
      </c>
      <c r="D228" s="3" t="s">
        <v>380</v>
      </c>
      <c r="E228" s="3" t="s">
        <v>144</v>
      </c>
      <c r="F228" s="3"/>
      <c r="G228" s="3" t="s">
        <v>3683</v>
      </c>
      <c r="H228" s="3" t="s">
        <v>146</v>
      </c>
      <c r="I228" s="3" t="b">
        <v>1</v>
      </c>
      <c r="J228" s="3" t="b">
        <v>1</v>
      </c>
      <c r="K228" s="3" t="b">
        <v>1</v>
      </c>
      <c r="L228" s="3" t="b">
        <v>1</v>
      </c>
      <c r="M228" s="3" t="b">
        <v>1</v>
      </c>
      <c r="N228" s="3" t="b">
        <f t="shared" si="0"/>
        <v>1</v>
      </c>
      <c r="O228" s="3" t="b">
        <f t="shared" si="1"/>
        <v>0</v>
      </c>
      <c r="P228" s="3" t="b">
        <f t="shared" si="2"/>
        <v>0</v>
      </c>
      <c r="Q228" s="3" t="b">
        <f t="shared" si="3"/>
        <v>0</v>
      </c>
      <c r="R228" s="3" t="b">
        <f t="shared" si="4"/>
        <v>0</v>
      </c>
      <c r="S228" s="3" t="b">
        <f t="shared" si="5"/>
        <v>0</v>
      </c>
      <c r="U228" s="3" t="s">
        <v>146</v>
      </c>
      <c r="V228" s="3" t="b">
        <v>1</v>
      </c>
      <c r="W228" s="3" t="b">
        <v>1</v>
      </c>
      <c r="X228" s="3" t="b">
        <v>1</v>
      </c>
      <c r="Y228" s="3" t="b">
        <v>1</v>
      </c>
      <c r="Z228" s="3" t="b">
        <v>1</v>
      </c>
      <c r="AA228" s="3"/>
      <c r="AB228" s="3"/>
      <c r="AC228" s="3"/>
      <c r="AD228" s="3"/>
      <c r="AE228" s="3"/>
      <c r="AF228" s="3" t="s">
        <v>146</v>
      </c>
      <c r="AG228" s="3" t="b">
        <v>1</v>
      </c>
      <c r="AH228" s="3" t="b">
        <v>1</v>
      </c>
      <c r="AI228" s="3" t="b">
        <v>1</v>
      </c>
      <c r="AJ228" s="3" t="b">
        <v>1</v>
      </c>
      <c r="AK228" s="3" t="b">
        <v>1</v>
      </c>
      <c r="AL228" s="3"/>
      <c r="AM228" s="3"/>
      <c r="AN228" s="3"/>
      <c r="AO228" s="3"/>
      <c r="AP228" s="3"/>
      <c r="AQ228" s="3" t="s">
        <v>147</v>
      </c>
      <c r="AR228" s="3" t="b">
        <v>1</v>
      </c>
      <c r="AS228" s="3" t="b">
        <v>1</v>
      </c>
      <c r="AT228" s="3" t="b">
        <v>1</v>
      </c>
      <c r="AU228" s="3" t="b">
        <v>1</v>
      </c>
      <c r="AV228" s="3" t="b">
        <v>1</v>
      </c>
      <c r="AW228" s="3" t="b">
        <f t="shared" si="6"/>
        <v>1</v>
      </c>
      <c r="AX228" s="3" t="b">
        <f t="shared" si="7"/>
        <v>0</v>
      </c>
      <c r="AY228" s="3" t="b">
        <f t="shared" si="8"/>
        <v>0</v>
      </c>
      <c r="AZ228" s="3" t="b">
        <f t="shared" si="9"/>
        <v>0</v>
      </c>
      <c r="BA228" s="3" t="b">
        <f t="shared" si="10"/>
        <v>0</v>
      </c>
      <c r="BB228" s="3" t="b">
        <f t="shared" si="11"/>
        <v>0</v>
      </c>
      <c r="BC228" s="3"/>
      <c r="BD228" s="3" t="s">
        <v>147</v>
      </c>
      <c r="BE228" s="3" t="b">
        <v>1</v>
      </c>
      <c r="BF228" s="3" t="b">
        <v>1</v>
      </c>
      <c r="BG228" s="3" t="b">
        <v>1</v>
      </c>
      <c r="BH228" s="3" t="b">
        <v>1</v>
      </c>
      <c r="BI228" s="3" t="b">
        <v>1</v>
      </c>
      <c r="BJ228" s="3"/>
      <c r="BK228" s="3"/>
      <c r="BL228" s="3"/>
      <c r="BM228" s="3"/>
      <c r="BN228" s="3"/>
      <c r="BO228" s="3" t="s">
        <v>147</v>
      </c>
      <c r="BP228" s="3" t="b">
        <v>1</v>
      </c>
      <c r="BQ228" s="3" t="b">
        <v>1</v>
      </c>
      <c r="BR228" s="3" t="b">
        <v>1</v>
      </c>
      <c r="BS228" s="3" t="b">
        <v>1</v>
      </c>
      <c r="BT228" s="3" t="b">
        <v>1</v>
      </c>
      <c r="BU228" s="3"/>
      <c r="BV228" s="3"/>
      <c r="BW228" s="3"/>
      <c r="BX228" s="3"/>
    </row>
    <row r="229" spans="1:76" x14ac:dyDescent="0.35">
      <c r="A229" s="3"/>
      <c r="B229" s="3"/>
      <c r="C229" s="3" t="s">
        <v>148</v>
      </c>
      <c r="D229" s="3"/>
      <c r="E229" s="3"/>
      <c r="F229" s="3"/>
      <c r="G229" s="3" t="s">
        <v>3684</v>
      </c>
      <c r="H229" s="3" t="s">
        <v>567</v>
      </c>
      <c r="I229" s="3" t="b">
        <v>1</v>
      </c>
      <c r="J229" s="3" t="b">
        <v>1</v>
      </c>
      <c r="K229" s="3" t="b">
        <v>1</v>
      </c>
      <c r="L229" s="3" t="b">
        <v>1</v>
      </c>
      <c r="M229" s="3" t="b">
        <v>1</v>
      </c>
      <c r="N229" s="3" t="b">
        <f t="shared" si="0"/>
        <v>1</v>
      </c>
      <c r="O229" s="3" t="b">
        <f t="shared" si="1"/>
        <v>0</v>
      </c>
      <c r="P229" s="3" t="b">
        <f t="shared" si="2"/>
        <v>0</v>
      </c>
      <c r="Q229" s="3" t="b">
        <f t="shared" si="3"/>
        <v>0</v>
      </c>
      <c r="R229" s="3" t="b">
        <f t="shared" si="4"/>
        <v>0</v>
      </c>
      <c r="S229" s="3" t="b">
        <f t="shared" si="5"/>
        <v>0</v>
      </c>
      <c r="U229" s="3" t="s">
        <v>568</v>
      </c>
      <c r="V229" s="3" t="b">
        <v>1</v>
      </c>
      <c r="W229" s="3" t="b">
        <v>1</v>
      </c>
      <c r="X229" s="3" t="b">
        <v>1</v>
      </c>
      <c r="Y229" s="3" t="b">
        <v>1</v>
      </c>
      <c r="Z229" s="3" t="b">
        <v>1</v>
      </c>
      <c r="AA229" s="3"/>
      <c r="AB229" s="3"/>
      <c r="AC229" s="3"/>
      <c r="AD229" s="3"/>
      <c r="AE229" s="3"/>
      <c r="AF229" s="3" t="s">
        <v>569</v>
      </c>
      <c r="AG229" s="3" t="b">
        <v>1</v>
      </c>
      <c r="AH229" s="3" t="b">
        <v>0</v>
      </c>
      <c r="AI229" s="3" t="b">
        <v>0</v>
      </c>
      <c r="AJ229" s="3" t="b">
        <v>1</v>
      </c>
      <c r="AK229" s="3" t="b">
        <v>0</v>
      </c>
      <c r="AL229" s="3"/>
      <c r="AM229" s="3"/>
      <c r="AN229" s="3"/>
      <c r="AO229" s="3"/>
      <c r="AP229" s="3"/>
      <c r="AQ229" s="3" t="s">
        <v>570</v>
      </c>
      <c r="AR229" s="3" t="b">
        <v>1</v>
      </c>
      <c r="AS229" s="3" t="b">
        <v>1</v>
      </c>
      <c r="AT229" s="3" t="b">
        <v>1</v>
      </c>
      <c r="AU229" s="3" t="b">
        <v>1</v>
      </c>
      <c r="AV229" s="3" t="b">
        <v>1</v>
      </c>
      <c r="AW229" s="3" t="b">
        <f t="shared" si="6"/>
        <v>1</v>
      </c>
      <c r="AX229" s="3" t="b">
        <f t="shared" si="7"/>
        <v>0</v>
      </c>
      <c r="AY229" s="3" t="b">
        <f t="shared" si="8"/>
        <v>0</v>
      </c>
      <c r="AZ229" s="3" t="b">
        <f t="shared" si="9"/>
        <v>0</v>
      </c>
      <c r="BA229" s="3" t="b">
        <f t="shared" si="10"/>
        <v>0</v>
      </c>
      <c r="BB229" s="3" t="b">
        <f t="shared" si="11"/>
        <v>0</v>
      </c>
      <c r="BC229" s="3"/>
      <c r="BD229" s="3" t="s">
        <v>415</v>
      </c>
      <c r="BE229" s="3" t="b">
        <v>1</v>
      </c>
      <c r="BF229" s="3" t="b">
        <v>0</v>
      </c>
      <c r="BG229" s="3" t="b">
        <v>0</v>
      </c>
      <c r="BH229" s="3" t="b">
        <v>1</v>
      </c>
      <c r="BI229" s="3" t="b">
        <v>0</v>
      </c>
      <c r="BJ229" s="3"/>
      <c r="BK229" s="3"/>
      <c r="BL229" s="3"/>
      <c r="BM229" s="3"/>
      <c r="BN229" s="3"/>
      <c r="BO229" s="3" t="s">
        <v>415</v>
      </c>
      <c r="BP229" s="3" t="b">
        <v>1</v>
      </c>
      <c r="BQ229" s="3" t="b">
        <v>0</v>
      </c>
      <c r="BR229" s="3" t="b">
        <v>0</v>
      </c>
      <c r="BS229" s="3" t="b">
        <v>1</v>
      </c>
      <c r="BT229" s="3" t="b">
        <v>0</v>
      </c>
      <c r="BU229" s="3"/>
      <c r="BV229" s="3"/>
      <c r="BW229" s="3"/>
      <c r="BX229" s="3"/>
    </row>
    <row r="230" spans="1:76" x14ac:dyDescent="0.35">
      <c r="A230" s="3"/>
      <c r="B230" s="3"/>
      <c r="C230" s="3" t="s">
        <v>155</v>
      </c>
      <c r="D230" s="3"/>
      <c r="E230" s="3"/>
      <c r="F230" s="3"/>
      <c r="G230" s="3" t="s">
        <v>3685</v>
      </c>
      <c r="H230" s="3" t="s">
        <v>572</v>
      </c>
      <c r="I230" s="3" t="b">
        <v>1</v>
      </c>
      <c r="J230" s="3" t="b">
        <v>1</v>
      </c>
      <c r="K230" s="3" t="b">
        <v>1</v>
      </c>
      <c r="L230" s="3" t="b">
        <v>1</v>
      </c>
      <c r="M230" s="3" t="b">
        <v>1</v>
      </c>
      <c r="N230" s="3" t="b">
        <f t="shared" si="0"/>
        <v>1</v>
      </c>
      <c r="O230" s="3" t="b">
        <f t="shared" si="1"/>
        <v>0</v>
      </c>
      <c r="P230" s="3" t="b">
        <f t="shared" si="2"/>
        <v>0</v>
      </c>
      <c r="Q230" s="3" t="b">
        <f t="shared" si="3"/>
        <v>0</v>
      </c>
      <c r="R230" s="3" t="b">
        <f t="shared" si="4"/>
        <v>0</v>
      </c>
      <c r="S230" s="3" t="b">
        <f t="shared" si="5"/>
        <v>0</v>
      </c>
      <c r="U230" s="3" t="s">
        <v>573</v>
      </c>
      <c r="V230" s="3" t="b">
        <v>1</v>
      </c>
      <c r="W230" s="3" t="b">
        <v>0</v>
      </c>
      <c r="X230" s="3" t="b">
        <v>0</v>
      </c>
      <c r="Y230" s="3" t="b">
        <v>1</v>
      </c>
      <c r="Z230" s="3" t="b">
        <v>0</v>
      </c>
      <c r="AA230" s="3"/>
      <c r="AB230" s="3"/>
      <c r="AC230" s="3"/>
      <c r="AD230" s="3"/>
      <c r="AE230" s="3"/>
      <c r="AF230" s="3" t="s">
        <v>574</v>
      </c>
      <c r="AG230" s="3" t="b">
        <v>1</v>
      </c>
      <c r="AH230" s="3" t="b">
        <v>1</v>
      </c>
      <c r="AI230" s="3" t="b">
        <v>1</v>
      </c>
      <c r="AJ230" s="3" t="b">
        <v>1</v>
      </c>
      <c r="AK230" s="3" t="b">
        <v>1</v>
      </c>
      <c r="AL230" s="3"/>
      <c r="AM230" s="3"/>
      <c r="AN230" s="3"/>
      <c r="AO230" s="3"/>
      <c r="AP230" s="3"/>
      <c r="AQ230" s="3" t="s">
        <v>575</v>
      </c>
      <c r="AR230" s="3" t="b">
        <v>1</v>
      </c>
      <c r="AS230" s="3" t="b">
        <v>1</v>
      </c>
      <c r="AT230" s="3" t="b">
        <v>1</v>
      </c>
      <c r="AU230" s="3" t="b">
        <v>0</v>
      </c>
      <c r="AV230" s="3" t="b">
        <v>1</v>
      </c>
      <c r="AW230" s="3" t="b">
        <f t="shared" si="6"/>
        <v>0</v>
      </c>
      <c r="AX230" s="3" t="b">
        <f t="shared" si="7"/>
        <v>0</v>
      </c>
      <c r="AY230" s="3" t="b">
        <f t="shared" si="8"/>
        <v>0</v>
      </c>
      <c r="AZ230" s="3" t="b">
        <f t="shared" si="9"/>
        <v>1</v>
      </c>
      <c r="BA230" s="3" t="b">
        <f t="shared" si="10"/>
        <v>0</v>
      </c>
      <c r="BB230" s="3" t="b">
        <f t="shared" si="11"/>
        <v>0</v>
      </c>
      <c r="BC230" s="3"/>
      <c r="BD230" s="3" t="s">
        <v>576</v>
      </c>
      <c r="BE230" s="3" t="b">
        <v>1</v>
      </c>
      <c r="BF230" s="3" t="b">
        <v>1</v>
      </c>
      <c r="BG230" s="3" t="b">
        <v>1</v>
      </c>
      <c r="BH230" s="3" t="b">
        <v>0</v>
      </c>
      <c r="BI230" s="3" t="b">
        <v>1</v>
      </c>
      <c r="BJ230" s="3"/>
      <c r="BK230" s="3"/>
      <c r="BL230" s="3"/>
      <c r="BM230" s="3"/>
      <c r="BN230" s="3"/>
      <c r="BO230" s="3" t="s">
        <v>576</v>
      </c>
      <c r="BP230" s="3" t="b">
        <v>1</v>
      </c>
      <c r="BQ230" s="3" t="b">
        <v>1</v>
      </c>
      <c r="BR230" s="3" t="b">
        <v>1</v>
      </c>
      <c r="BS230" s="3" t="b">
        <v>0</v>
      </c>
      <c r="BT230" s="3" t="b">
        <v>1</v>
      </c>
      <c r="BU230" s="3"/>
      <c r="BV230" s="3"/>
      <c r="BW230" s="3"/>
      <c r="BX230" s="3"/>
    </row>
    <row r="231" spans="1:76" x14ac:dyDescent="0.35">
      <c r="A231" s="3"/>
      <c r="B231" s="3" t="s">
        <v>162</v>
      </c>
      <c r="C231" s="3" t="s">
        <v>163</v>
      </c>
      <c r="D231" s="3"/>
      <c r="E231" s="3"/>
      <c r="F231" s="3"/>
      <c r="G231" s="3" t="s">
        <v>3686</v>
      </c>
      <c r="H231" s="3" t="s">
        <v>165</v>
      </c>
      <c r="I231" s="3" t="b">
        <v>1</v>
      </c>
      <c r="J231" s="3" t="b">
        <v>1</v>
      </c>
      <c r="K231" s="3" t="b">
        <v>1</v>
      </c>
      <c r="L231" s="3" t="b">
        <v>1</v>
      </c>
      <c r="M231" s="3" t="b">
        <v>1</v>
      </c>
      <c r="N231" s="3" t="b">
        <f t="shared" si="0"/>
        <v>1</v>
      </c>
      <c r="O231" s="3" t="b">
        <f t="shared" si="1"/>
        <v>0</v>
      </c>
      <c r="P231" s="3" t="b">
        <f t="shared" si="2"/>
        <v>0</v>
      </c>
      <c r="Q231" s="3" t="b">
        <f t="shared" si="3"/>
        <v>0</v>
      </c>
      <c r="R231" s="3" t="b">
        <f t="shared" si="4"/>
        <v>0</v>
      </c>
      <c r="S231" s="3" t="b">
        <f t="shared" si="5"/>
        <v>0</v>
      </c>
      <c r="U231" s="3" t="s">
        <v>165</v>
      </c>
      <c r="V231" s="3" t="b">
        <v>1</v>
      </c>
      <c r="W231" s="3" t="b">
        <v>1</v>
      </c>
      <c r="X231" s="3" t="b">
        <v>1</v>
      </c>
      <c r="Y231" s="3" t="b">
        <v>1</v>
      </c>
      <c r="Z231" s="3" t="b">
        <v>1</v>
      </c>
      <c r="AA231" s="3"/>
      <c r="AB231" s="3"/>
      <c r="AC231" s="3"/>
      <c r="AD231" s="3"/>
      <c r="AE231" s="3"/>
      <c r="AF231" s="3" t="s">
        <v>165</v>
      </c>
      <c r="AG231" s="3" t="b">
        <v>1</v>
      </c>
      <c r="AH231" s="3" t="b">
        <v>1</v>
      </c>
      <c r="AI231" s="3" t="b">
        <v>1</v>
      </c>
      <c r="AJ231" s="3" t="b">
        <v>1</v>
      </c>
      <c r="AK231" s="3" t="b">
        <v>1</v>
      </c>
      <c r="AL231" s="3"/>
      <c r="AM231" s="3"/>
      <c r="AN231" s="3"/>
      <c r="AO231" s="3"/>
      <c r="AP231" s="3"/>
      <c r="AQ231" s="3" t="s">
        <v>167</v>
      </c>
      <c r="AR231" s="3" t="b">
        <v>1</v>
      </c>
      <c r="AS231" s="3" t="b">
        <v>1</v>
      </c>
      <c r="AT231" s="3" t="b">
        <v>1</v>
      </c>
      <c r="AU231" s="3" t="b">
        <v>1</v>
      </c>
      <c r="AV231" s="3" t="b">
        <v>1</v>
      </c>
      <c r="AW231" s="3" t="b">
        <f t="shared" si="6"/>
        <v>1</v>
      </c>
      <c r="AX231" s="3" t="b">
        <f t="shared" si="7"/>
        <v>0</v>
      </c>
      <c r="AY231" s="3" t="b">
        <f t="shared" si="8"/>
        <v>0</v>
      </c>
      <c r="AZ231" s="3" t="b">
        <f t="shared" si="9"/>
        <v>0</v>
      </c>
      <c r="BA231" s="3" t="b">
        <f t="shared" si="10"/>
        <v>0</v>
      </c>
      <c r="BB231" s="3" t="b">
        <f t="shared" si="11"/>
        <v>0</v>
      </c>
      <c r="BC231" s="3"/>
      <c r="BD231" s="3" t="s">
        <v>166</v>
      </c>
      <c r="BE231" s="3" t="b">
        <v>1</v>
      </c>
      <c r="BF231" s="3" t="b">
        <v>1</v>
      </c>
      <c r="BG231" s="3" t="b">
        <v>1</v>
      </c>
      <c r="BH231" s="3" t="b">
        <v>1</v>
      </c>
      <c r="BI231" s="3" t="b">
        <v>1</v>
      </c>
      <c r="BJ231" s="3"/>
      <c r="BK231" s="3"/>
      <c r="BL231" s="3"/>
      <c r="BM231" s="3"/>
      <c r="BN231" s="3"/>
      <c r="BO231" s="3" t="s">
        <v>166</v>
      </c>
      <c r="BP231" s="3" t="b">
        <v>1</v>
      </c>
      <c r="BQ231" s="3" t="b">
        <v>1</v>
      </c>
      <c r="BR231" s="3" t="b">
        <v>1</v>
      </c>
      <c r="BS231" s="3" t="b">
        <v>1</v>
      </c>
      <c r="BT231" s="3" t="b">
        <v>1</v>
      </c>
      <c r="BU231" s="3"/>
      <c r="BV231" s="3"/>
      <c r="BW231" s="3"/>
      <c r="BX231" s="3"/>
    </row>
    <row r="232" spans="1:76" x14ac:dyDescent="0.35">
      <c r="A232" s="3"/>
      <c r="B232" s="3" t="s">
        <v>270</v>
      </c>
      <c r="C232" s="3" t="s">
        <v>536</v>
      </c>
      <c r="D232" s="3" t="s">
        <v>265</v>
      </c>
      <c r="E232" s="3" t="s">
        <v>266</v>
      </c>
      <c r="F232" s="3"/>
      <c r="G232" s="3" t="s">
        <v>3687</v>
      </c>
      <c r="H232" s="3" t="s">
        <v>579</v>
      </c>
      <c r="I232" s="3" t="b">
        <v>1</v>
      </c>
      <c r="J232" s="3" t="b">
        <v>1</v>
      </c>
      <c r="K232" s="3" t="b">
        <v>1</v>
      </c>
      <c r="L232" s="3" t="b">
        <v>1</v>
      </c>
      <c r="M232" s="3" t="b">
        <v>1</v>
      </c>
      <c r="N232" s="3" t="b">
        <f t="shared" si="0"/>
        <v>1</v>
      </c>
      <c r="O232" s="3" t="b">
        <f t="shared" si="1"/>
        <v>0</v>
      </c>
      <c r="P232" s="3" t="b">
        <f t="shared" si="2"/>
        <v>0</v>
      </c>
      <c r="Q232" s="3" t="b">
        <f t="shared" si="3"/>
        <v>0</v>
      </c>
      <c r="R232" s="3" t="b">
        <f t="shared" si="4"/>
        <v>0</v>
      </c>
      <c r="S232" s="3" t="b">
        <f t="shared" si="5"/>
        <v>0</v>
      </c>
      <c r="U232" s="3" t="s">
        <v>539</v>
      </c>
      <c r="V232" s="3" t="b">
        <v>1</v>
      </c>
      <c r="W232" s="3" t="b">
        <v>1</v>
      </c>
      <c r="X232" s="3" t="b">
        <v>1</v>
      </c>
      <c r="Y232" s="3" t="b">
        <v>1</v>
      </c>
      <c r="Z232" s="3" t="b">
        <v>1</v>
      </c>
      <c r="AA232" s="3"/>
      <c r="AB232" s="3"/>
      <c r="AC232" s="3"/>
      <c r="AD232" s="3"/>
      <c r="AE232" s="3"/>
      <c r="AF232" s="3" t="s">
        <v>579</v>
      </c>
      <c r="AG232" s="3" t="b">
        <v>1</v>
      </c>
      <c r="AH232" s="3" t="b">
        <v>1</v>
      </c>
      <c r="AI232" s="3" t="b">
        <v>1</v>
      </c>
      <c r="AJ232" s="3" t="b">
        <v>1</v>
      </c>
      <c r="AK232" s="3" t="b">
        <v>1</v>
      </c>
      <c r="AL232" s="3"/>
      <c r="AM232" s="3"/>
      <c r="AN232" s="3"/>
      <c r="AO232" s="3"/>
      <c r="AP232" s="3"/>
      <c r="AQ232" s="3" t="s">
        <v>540</v>
      </c>
      <c r="AR232" s="3" t="b">
        <v>1</v>
      </c>
      <c r="AS232" s="3" t="b">
        <v>1</v>
      </c>
      <c r="AT232" s="3" t="b">
        <v>1</v>
      </c>
      <c r="AU232" s="3" t="b">
        <v>0</v>
      </c>
      <c r="AV232" s="3" t="b">
        <v>1</v>
      </c>
      <c r="AW232" s="3" t="b">
        <f t="shared" si="6"/>
        <v>0</v>
      </c>
      <c r="AX232" s="3" t="b">
        <f t="shared" si="7"/>
        <v>0</v>
      </c>
      <c r="AY232" s="3" t="b">
        <f t="shared" si="8"/>
        <v>0</v>
      </c>
      <c r="AZ232" s="3" t="b">
        <f t="shared" si="9"/>
        <v>1</v>
      </c>
      <c r="BA232" s="3" t="b">
        <f t="shared" si="10"/>
        <v>0</v>
      </c>
      <c r="BB232" s="3" t="b">
        <f t="shared" si="11"/>
        <v>0</v>
      </c>
      <c r="BC232" s="3"/>
      <c r="BD232" s="3" t="s">
        <v>540</v>
      </c>
      <c r="BE232" s="3" t="b">
        <v>1</v>
      </c>
      <c r="BF232" s="3" t="b">
        <v>1</v>
      </c>
      <c r="BG232" s="3" t="b">
        <v>1</v>
      </c>
      <c r="BH232" s="3" t="b">
        <v>0</v>
      </c>
      <c r="BI232" s="3" t="b">
        <v>1</v>
      </c>
      <c r="BJ232" s="3"/>
      <c r="BK232" s="3"/>
      <c r="BL232" s="3"/>
      <c r="BM232" s="3"/>
      <c r="BN232" s="3"/>
      <c r="BO232" s="3" t="s">
        <v>540</v>
      </c>
      <c r="BP232" s="3" t="b">
        <v>1</v>
      </c>
      <c r="BQ232" s="3" t="b">
        <v>1</v>
      </c>
      <c r="BR232" s="3" t="b">
        <v>1</v>
      </c>
      <c r="BS232" s="3" t="b">
        <v>0</v>
      </c>
      <c r="BT232" s="3" t="b">
        <v>1</v>
      </c>
      <c r="BU232" s="3"/>
      <c r="BV232" s="3"/>
      <c r="BW232" s="3"/>
      <c r="BX232" s="3"/>
    </row>
    <row r="233" spans="1:76" x14ac:dyDescent="0.35">
      <c r="A233" s="3"/>
      <c r="B233" s="3"/>
      <c r="C233" s="3" t="s">
        <v>580</v>
      </c>
      <c r="D233" s="3"/>
      <c r="E233" s="3"/>
      <c r="F233" s="3"/>
      <c r="G233" s="3" t="s">
        <v>3688</v>
      </c>
      <c r="H233" s="3" t="s">
        <v>582</v>
      </c>
      <c r="I233" s="3" t="b">
        <v>1</v>
      </c>
      <c r="J233" s="3" t="b">
        <v>1</v>
      </c>
      <c r="K233" s="3" t="b">
        <v>1</v>
      </c>
      <c r="L233" s="3" t="b">
        <v>1</v>
      </c>
      <c r="M233" s="3" t="b">
        <v>1</v>
      </c>
      <c r="N233" s="3" t="b">
        <f t="shared" si="0"/>
        <v>1</v>
      </c>
      <c r="O233" s="3" t="b">
        <f t="shared" si="1"/>
        <v>0</v>
      </c>
      <c r="P233" s="3" t="b">
        <f t="shared" si="2"/>
        <v>0</v>
      </c>
      <c r="Q233" s="3" t="b">
        <f t="shared" si="3"/>
        <v>0</v>
      </c>
      <c r="R233" s="3" t="b">
        <f t="shared" si="4"/>
        <v>0</v>
      </c>
      <c r="S233" s="3" t="b">
        <f t="shared" si="5"/>
        <v>0</v>
      </c>
      <c r="U233" s="3" t="s">
        <v>583</v>
      </c>
      <c r="V233" s="3" t="b">
        <v>1</v>
      </c>
      <c r="W233" s="3" t="b">
        <v>1</v>
      </c>
      <c r="X233" s="3" t="b">
        <v>1</v>
      </c>
      <c r="Y233" s="3" t="b">
        <v>1</v>
      </c>
      <c r="Z233" s="3" t="b">
        <v>1</v>
      </c>
      <c r="AA233" s="3"/>
      <c r="AB233" s="3"/>
      <c r="AC233" s="3"/>
      <c r="AD233" s="3"/>
      <c r="AE233" s="3"/>
      <c r="AF233" s="3" t="s">
        <v>584</v>
      </c>
      <c r="AG233" s="3" t="b">
        <v>1</v>
      </c>
      <c r="AH233" s="3" t="b">
        <v>1</v>
      </c>
      <c r="AI233" s="3" t="b">
        <v>1</v>
      </c>
      <c r="AJ233" s="3" t="b">
        <v>1</v>
      </c>
      <c r="AK233" s="3" t="b">
        <v>1</v>
      </c>
      <c r="AL233" s="3"/>
      <c r="AM233" s="3"/>
      <c r="AN233" s="3"/>
      <c r="AO233" s="3"/>
      <c r="AP233" s="3"/>
      <c r="AQ233" s="3" t="s">
        <v>585</v>
      </c>
      <c r="AR233" s="3" t="b">
        <v>1</v>
      </c>
      <c r="AS233" s="3" t="b">
        <v>1</v>
      </c>
      <c r="AT233" s="3" t="b">
        <v>1</v>
      </c>
      <c r="AU233" s="3" t="b">
        <v>1</v>
      </c>
      <c r="AV233" s="3" t="b">
        <v>1</v>
      </c>
      <c r="AW233" s="3" t="b">
        <f t="shared" si="6"/>
        <v>1</v>
      </c>
      <c r="AX233" s="3" t="b">
        <f t="shared" si="7"/>
        <v>0</v>
      </c>
      <c r="AY233" s="3" t="b">
        <f t="shared" si="8"/>
        <v>0</v>
      </c>
      <c r="AZ233" s="3" t="b">
        <f t="shared" si="9"/>
        <v>0</v>
      </c>
      <c r="BA233" s="3" t="b">
        <f t="shared" si="10"/>
        <v>0</v>
      </c>
      <c r="BB233" s="3" t="b">
        <f t="shared" si="11"/>
        <v>0</v>
      </c>
      <c r="BC233" s="3"/>
      <c r="BD233" s="3" t="s">
        <v>585</v>
      </c>
      <c r="BE233" s="3" t="b">
        <v>1</v>
      </c>
      <c r="BF233" s="3" t="b">
        <v>1</v>
      </c>
      <c r="BG233" s="3" t="b">
        <v>1</v>
      </c>
      <c r="BH233" s="3" t="b">
        <v>1</v>
      </c>
      <c r="BI233" s="3" t="b">
        <v>1</v>
      </c>
      <c r="BJ233" s="3"/>
      <c r="BK233" s="3"/>
      <c r="BL233" s="3"/>
      <c r="BM233" s="3"/>
      <c r="BN233" s="3"/>
      <c r="BO233" s="3" t="s">
        <v>585</v>
      </c>
      <c r="BP233" s="3" t="b">
        <v>1</v>
      </c>
      <c r="BQ233" s="3" t="b">
        <v>1</v>
      </c>
      <c r="BR233" s="3" t="b">
        <v>1</v>
      </c>
      <c r="BS233" s="3" t="b">
        <v>1</v>
      </c>
      <c r="BT233" s="3" t="b">
        <v>1</v>
      </c>
      <c r="BU233" s="3"/>
      <c r="BV233" s="3"/>
      <c r="BW233" s="3"/>
      <c r="BX233" s="3"/>
    </row>
    <row r="234" spans="1:76" x14ac:dyDescent="0.35">
      <c r="A234" s="3"/>
      <c r="B234" s="3"/>
      <c r="C234" s="3" t="s">
        <v>586</v>
      </c>
      <c r="D234" s="3"/>
      <c r="E234" s="3"/>
      <c r="F234" s="3"/>
      <c r="G234" s="3" t="s">
        <v>3689</v>
      </c>
      <c r="H234" s="3" t="s">
        <v>588</v>
      </c>
      <c r="I234" s="3" t="b">
        <v>1</v>
      </c>
      <c r="J234" s="3" t="b">
        <v>0</v>
      </c>
      <c r="K234" s="3" t="b">
        <v>0</v>
      </c>
      <c r="L234" s="3" t="b">
        <v>1</v>
      </c>
      <c r="M234" s="3" t="b">
        <v>0</v>
      </c>
      <c r="N234" s="3" t="b">
        <f t="shared" si="0"/>
        <v>0</v>
      </c>
      <c r="O234" s="3" t="b">
        <f t="shared" si="1"/>
        <v>0</v>
      </c>
      <c r="P234" s="3" t="b">
        <f t="shared" si="2"/>
        <v>1</v>
      </c>
      <c r="Q234" s="3" t="b">
        <f t="shared" si="3"/>
        <v>0</v>
      </c>
      <c r="R234" s="3" t="b">
        <f t="shared" si="4"/>
        <v>0</v>
      </c>
      <c r="S234" s="3" t="b">
        <f t="shared" si="5"/>
        <v>0</v>
      </c>
      <c r="U234" s="3" t="s">
        <v>589</v>
      </c>
      <c r="V234" s="3" t="b">
        <v>1</v>
      </c>
      <c r="W234" s="3" t="b">
        <v>0</v>
      </c>
      <c r="X234" s="3" t="b">
        <v>0</v>
      </c>
      <c r="Y234" s="3" t="b">
        <v>0</v>
      </c>
      <c r="Z234" s="3" t="b">
        <v>0</v>
      </c>
      <c r="AA234" s="3"/>
      <c r="AB234" s="3"/>
      <c r="AC234" s="3"/>
      <c r="AD234" s="3"/>
      <c r="AE234" s="3"/>
      <c r="AF234" s="3"/>
      <c r="AG234" s="3" t="b">
        <v>1</v>
      </c>
      <c r="AH234" s="3" t="b">
        <v>0</v>
      </c>
      <c r="AI234" s="3" t="b">
        <v>0</v>
      </c>
      <c r="AJ234" s="3" t="b">
        <v>0</v>
      </c>
      <c r="AK234" s="3" t="b">
        <v>0</v>
      </c>
      <c r="AL234" s="3"/>
      <c r="AM234" s="3"/>
      <c r="AN234" s="3"/>
      <c r="AO234" s="3"/>
      <c r="AP234" s="3"/>
      <c r="AQ234" s="3" t="s">
        <v>590</v>
      </c>
      <c r="AR234" s="3" t="b">
        <v>1</v>
      </c>
      <c r="AS234" s="3" t="b">
        <v>1</v>
      </c>
      <c r="AT234" s="3" t="b">
        <v>0</v>
      </c>
      <c r="AU234" s="3" t="b">
        <v>0</v>
      </c>
      <c r="AV234" s="3" t="b">
        <v>0</v>
      </c>
      <c r="AW234" s="3" t="b">
        <f t="shared" si="6"/>
        <v>0</v>
      </c>
      <c r="AX234" s="3" t="b">
        <f t="shared" si="7"/>
        <v>0</v>
      </c>
      <c r="AY234" s="3" t="b">
        <f t="shared" si="8"/>
        <v>1</v>
      </c>
      <c r="AZ234" s="3" t="b">
        <f t="shared" si="9"/>
        <v>0</v>
      </c>
      <c r="BA234" s="3" t="b">
        <f t="shared" si="10"/>
        <v>0</v>
      </c>
      <c r="BB234" s="3" t="b">
        <f t="shared" si="11"/>
        <v>0</v>
      </c>
      <c r="BC234" s="3"/>
      <c r="BD234" s="3" t="s">
        <v>591</v>
      </c>
      <c r="BE234" s="3" t="b">
        <v>1</v>
      </c>
      <c r="BF234" s="3" t="b">
        <v>1</v>
      </c>
      <c r="BG234" s="3" t="b">
        <v>0</v>
      </c>
      <c r="BH234" s="3" t="b">
        <v>0</v>
      </c>
      <c r="BI234" s="3" t="b">
        <v>1</v>
      </c>
      <c r="BJ234" s="3"/>
      <c r="BK234" s="3"/>
      <c r="BL234" s="3"/>
      <c r="BM234" s="3"/>
      <c r="BN234" s="3"/>
      <c r="BO234" s="3" t="s">
        <v>592</v>
      </c>
      <c r="BP234" s="3" t="b">
        <v>1</v>
      </c>
      <c r="BQ234" s="3" t="b">
        <v>0</v>
      </c>
      <c r="BR234" s="3" t="b">
        <v>0</v>
      </c>
      <c r="BS234" s="3" t="b">
        <v>0</v>
      </c>
      <c r="BT234" s="3" t="b">
        <v>0</v>
      </c>
      <c r="BU234" s="3"/>
      <c r="BV234" s="3"/>
      <c r="BW234" s="3"/>
      <c r="BX234" s="3"/>
    </row>
    <row r="235" spans="1:76" x14ac:dyDescent="0.35">
      <c r="A235" s="3"/>
      <c r="B235" s="3" t="s">
        <v>271</v>
      </c>
      <c r="C235" s="3" t="s">
        <v>163</v>
      </c>
      <c r="D235" s="3"/>
      <c r="E235" s="3"/>
      <c r="F235" s="3"/>
      <c r="G235" s="3" t="s">
        <v>3690</v>
      </c>
      <c r="H235" s="3" t="s">
        <v>165</v>
      </c>
      <c r="I235" s="3" t="b">
        <v>1</v>
      </c>
      <c r="J235" s="3" t="b">
        <v>1</v>
      </c>
      <c r="K235" s="3" t="b">
        <v>1</v>
      </c>
      <c r="L235" s="3" t="b">
        <v>1</v>
      </c>
      <c r="M235" s="3" t="b">
        <v>1</v>
      </c>
      <c r="N235" s="3" t="b">
        <f t="shared" si="0"/>
        <v>1</v>
      </c>
      <c r="O235" s="3" t="b">
        <f t="shared" si="1"/>
        <v>0</v>
      </c>
      <c r="P235" s="3" t="b">
        <f t="shared" si="2"/>
        <v>0</v>
      </c>
      <c r="Q235" s="3" t="b">
        <f t="shared" si="3"/>
        <v>0</v>
      </c>
      <c r="R235" s="3" t="b">
        <f t="shared" si="4"/>
        <v>0</v>
      </c>
      <c r="S235" s="3" t="b">
        <f t="shared" si="5"/>
        <v>0</v>
      </c>
      <c r="U235" s="3" t="s">
        <v>165</v>
      </c>
      <c r="V235" s="3" t="b">
        <v>1</v>
      </c>
      <c r="W235" s="3" t="b">
        <v>1</v>
      </c>
      <c r="X235" s="3" t="b">
        <v>1</v>
      </c>
      <c r="Y235" s="3" t="b">
        <v>1</v>
      </c>
      <c r="Z235" s="3" t="b">
        <v>1</v>
      </c>
      <c r="AA235" s="3"/>
      <c r="AB235" s="3"/>
      <c r="AC235" s="3"/>
      <c r="AD235" s="3"/>
      <c r="AE235" s="3"/>
      <c r="AF235" s="3" t="s">
        <v>165</v>
      </c>
      <c r="AG235" s="3" t="b">
        <v>1</v>
      </c>
      <c r="AH235" s="3" t="b">
        <v>1</v>
      </c>
      <c r="AI235" s="3" t="b">
        <v>1</v>
      </c>
      <c r="AJ235" s="3" t="b">
        <v>1</v>
      </c>
      <c r="AK235" s="3" t="b">
        <v>1</v>
      </c>
      <c r="AL235" s="3"/>
      <c r="AM235" s="3"/>
      <c r="AN235" s="3"/>
      <c r="AO235" s="3"/>
      <c r="AP235" s="3"/>
      <c r="AQ235" s="3" t="s">
        <v>167</v>
      </c>
      <c r="AR235" s="3" t="b">
        <v>1</v>
      </c>
      <c r="AS235" s="3" t="b">
        <v>1</v>
      </c>
      <c r="AT235" s="3" t="b">
        <v>1</v>
      </c>
      <c r="AU235" s="3" t="b">
        <v>1</v>
      </c>
      <c r="AV235" s="3" t="b">
        <v>1</v>
      </c>
      <c r="AW235" s="3" t="b">
        <f t="shared" si="6"/>
        <v>1</v>
      </c>
      <c r="AX235" s="3" t="b">
        <f t="shared" si="7"/>
        <v>0</v>
      </c>
      <c r="AY235" s="3" t="b">
        <f t="shared" si="8"/>
        <v>0</v>
      </c>
      <c r="AZ235" s="3" t="b">
        <f t="shared" si="9"/>
        <v>0</v>
      </c>
      <c r="BA235" s="3" t="b">
        <f t="shared" si="10"/>
        <v>0</v>
      </c>
      <c r="BB235" s="3" t="b">
        <f t="shared" si="11"/>
        <v>0</v>
      </c>
      <c r="BC235" s="3"/>
      <c r="BD235" s="3" t="s">
        <v>167</v>
      </c>
      <c r="BE235" s="3" t="b">
        <v>1</v>
      </c>
      <c r="BF235" s="3" t="b">
        <v>1</v>
      </c>
      <c r="BG235" s="3" t="b">
        <v>1</v>
      </c>
      <c r="BH235" s="3" t="b">
        <v>1</v>
      </c>
      <c r="BI235" s="3" t="b">
        <v>1</v>
      </c>
      <c r="BJ235" s="3"/>
      <c r="BK235" s="3"/>
      <c r="BL235" s="3"/>
      <c r="BM235" s="3"/>
      <c r="BN235" s="3"/>
      <c r="BO235" s="3" t="s">
        <v>167</v>
      </c>
      <c r="BP235" s="3" t="b">
        <v>1</v>
      </c>
      <c r="BQ235" s="3" t="b">
        <v>1</v>
      </c>
      <c r="BR235" s="3" t="b">
        <v>1</v>
      </c>
      <c r="BS235" s="3" t="b">
        <v>1</v>
      </c>
      <c r="BT235" s="3" t="b">
        <v>1</v>
      </c>
      <c r="BU235" s="3"/>
      <c r="BV235" s="3"/>
      <c r="BW235" s="3"/>
      <c r="BX235" s="3"/>
    </row>
    <row r="236" spans="1:76" x14ac:dyDescent="0.35">
      <c r="A236" s="3"/>
      <c r="B236" s="3" t="s">
        <v>275</v>
      </c>
      <c r="C236" s="3" t="s">
        <v>545</v>
      </c>
      <c r="D236" s="3" t="s">
        <v>265</v>
      </c>
      <c r="E236" s="3" t="s">
        <v>266</v>
      </c>
      <c r="F236" s="3"/>
      <c r="G236" s="3" t="s">
        <v>3691</v>
      </c>
      <c r="H236" s="3" t="s">
        <v>549</v>
      </c>
      <c r="I236" s="3" t="b">
        <v>1</v>
      </c>
      <c r="J236" s="3" t="b">
        <v>1</v>
      </c>
      <c r="K236" s="3" t="b">
        <v>1</v>
      </c>
      <c r="L236" s="3" t="b">
        <v>1</v>
      </c>
      <c r="M236" s="3" t="b">
        <v>1</v>
      </c>
      <c r="N236" s="3" t="b">
        <f t="shared" si="0"/>
        <v>1</v>
      </c>
      <c r="O236" s="3" t="b">
        <f t="shared" si="1"/>
        <v>0</v>
      </c>
      <c r="P236" s="3" t="b">
        <f t="shared" si="2"/>
        <v>0</v>
      </c>
      <c r="Q236" s="3" t="b">
        <f t="shared" si="3"/>
        <v>0</v>
      </c>
      <c r="R236" s="3" t="b">
        <f t="shared" si="4"/>
        <v>0</v>
      </c>
      <c r="S236" s="3" t="b">
        <f t="shared" si="5"/>
        <v>0</v>
      </c>
      <c r="U236" s="3" t="s">
        <v>595</v>
      </c>
      <c r="V236" s="3" t="b">
        <v>1</v>
      </c>
      <c r="W236" s="3" t="b">
        <v>1</v>
      </c>
      <c r="X236" s="3" t="b">
        <v>1</v>
      </c>
      <c r="Y236" s="3" t="b">
        <v>1</v>
      </c>
      <c r="Z236" s="3" t="b">
        <v>1</v>
      </c>
      <c r="AA236" s="3"/>
      <c r="AB236" s="3"/>
      <c r="AC236" s="3"/>
      <c r="AD236" s="3"/>
      <c r="AE236" s="3"/>
      <c r="AF236" s="3" t="s">
        <v>596</v>
      </c>
      <c r="AG236" s="3" t="b">
        <v>1</v>
      </c>
      <c r="AH236" s="3" t="b">
        <v>1</v>
      </c>
      <c r="AI236" s="3" t="b">
        <v>1</v>
      </c>
      <c r="AJ236" s="3" t="b">
        <v>1</v>
      </c>
      <c r="AK236" s="3" t="b">
        <v>1</v>
      </c>
      <c r="AL236" s="3"/>
      <c r="AM236" s="3"/>
      <c r="AN236" s="3"/>
      <c r="AO236" s="3"/>
      <c r="AP236" s="3"/>
      <c r="AQ236" s="3" t="s">
        <v>550</v>
      </c>
      <c r="AR236" s="3" t="b">
        <v>1</v>
      </c>
      <c r="AS236" s="3" t="b">
        <v>1</v>
      </c>
      <c r="AT236" s="3" t="b">
        <v>1</v>
      </c>
      <c r="AU236" s="3" t="b">
        <v>0</v>
      </c>
      <c r="AV236" s="3" t="b">
        <v>1</v>
      </c>
      <c r="AW236" s="3" t="b">
        <f t="shared" si="6"/>
        <v>0</v>
      </c>
      <c r="AX236" s="3" t="b">
        <f t="shared" si="7"/>
        <v>0</v>
      </c>
      <c r="AY236" s="3" t="b">
        <f t="shared" si="8"/>
        <v>0</v>
      </c>
      <c r="AZ236" s="3" t="b">
        <f t="shared" si="9"/>
        <v>1</v>
      </c>
      <c r="BA236" s="3" t="b">
        <f t="shared" si="10"/>
        <v>0</v>
      </c>
      <c r="BB236" s="3" t="b">
        <f t="shared" si="11"/>
        <v>0</v>
      </c>
      <c r="BC236" s="3"/>
      <c r="BD236" s="3" t="s">
        <v>550</v>
      </c>
      <c r="BE236" s="3" t="b">
        <v>1</v>
      </c>
      <c r="BF236" s="3" t="b">
        <v>1</v>
      </c>
      <c r="BG236" s="3" t="b">
        <v>1</v>
      </c>
      <c r="BH236" s="3" t="b">
        <v>0</v>
      </c>
      <c r="BI236" s="3" t="b">
        <v>1</v>
      </c>
      <c r="BJ236" s="3"/>
      <c r="BK236" s="3"/>
      <c r="BL236" s="3"/>
      <c r="BM236" s="3"/>
      <c r="BN236" s="3"/>
      <c r="BO236" s="3" t="s">
        <v>550</v>
      </c>
      <c r="BP236" s="3" t="b">
        <v>1</v>
      </c>
      <c r="BQ236" s="3" t="b">
        <v>1</v>
      </c>
      <c r="BR236" s="3" t="b">
        <v>1</v>
      </c>
      <c r="BS236" s="3" t="b">
        <v>0</v>
      </c>
      <c r="BT236" s="3" t="b">
        <v>1</v>
      </c>
      <c r="BU236" s="3"/>
      <c r="BV236" s="3"/>
      <c r="BW236" s="3"/>
      <c r="BX236" s="3"/>
    </row>
    <row r="237" spans="1:76" x14ac:dyDescent="0.35">
      <c r="A237" s="3"/>
      <c r="B237" s="3"/>
      <c r="C237" s="3" t="s">
        <v>597</v>
      </c>
      <c r="D237" s="3"/>
      <c r="E237" s="3"/>
      <c r="F237" s="3"/>
      <c r="G237" s="3" t="s">
        <v>3692</v>
      </c>
      <c r="H237" s="3" t="s">
        <v>599</v>
      </c>
      <c r="I237" s="3" t="b">
        <v>1</v>
      </c>
      <c r="J237" s="3" t="b">
        <v>1</v>
      </c>
      <c r="K237" s="3" t="b">
        <v>1</v>
      </c>
      <c r="L237" s="3" t="b">
        <v>1</v>
      </c>
      <c r="M237" s="3" t="b">
        <v>1</v>
      </c>
      <c r="N237" s="3" t="b">
        <f t="shared" si="0"/>
        <v>1</v>
      </c>
      <c r="O237" s="3" t="b">
        <f t="shared" si="1"/>
        <v>0</v>
      </c>
      <c r="P237" s="3" t="b">
        <f t="shared" si="2"/>
        <v>0</v>
      </c>
      <c r="Q237" s="3" t="b">
        <f t="shared" si="3"/>
        <v>0</v>
      </c>
      <c r="R237" s="3" t="b">
        <f t="shared" si="4"/>
        <v>0</v>
      </c>
      <c r="S237" s="3" t="b">
        <f t="shared" si="5"/>
        <v>0</v>
      </c>
      <c r="U237" s="3" t="s">
        <v>600</v>
      </c>
      <c r="V237" s="3" t="b">
        <v>1</v>
      </c>
      <c r="W237" s="3" t="b">
        <v>1</v>
      </c>
      <c r="X237" s="3" t="b">
        <v>1</v>
      </c>
      <c r="Y237" s="3" t="b">
        <v>1</v>
      </c>
      <c r="Z237" s="3" t="b">
        <v>1</v>
      </c>
      <c r="AA237" s="3"/>
      <c r="AB237" s="3"/>
      <c r="AC237" s="3"/>
      <c r="AD237" s="3"/>
      <c r="AE237" s="3"/>
      <c r="AF237" s="3" t="s">
        <v>601</v>
      </c>
      <c r="AG237" s="3" t="b">
        <v>1</v>
      </c>
      <c r="AH237" s="3" t="b">
        <v>1</v>
      </c>
      <c r="AI237" s="3" t="b">
        <v>1</v>
      </c>
      <c r="AJ237" s="3" t="b">
        <v>1</v>
      </c>
      <c r="AK237" s="3" t="b">
        <v>1</v>
      </c>
      <c r="AL237" s="3"/>
      <c r="AM237" s="3"/>
      <c r="AN237" s="3"/>
      <c r="AO237" s="3"/>
      <c r="AP237" s="3"/>
      <c r="AQ237" s="3" t="s">
        <v>600</v>
      </c>
      <c r="AR237" s="3" t="b">
        <v>1</v>
      </c>
      <c r="AS237" s="3" t="b">
        <v>1</v>
      </c>
      <c r="AT237" s="3" t="b">
        <v>1</v>
      </c>
      <c r="AU237" s="3" t="b">
        <v>1</v>
      </c>
      <c r="AV237" s="3" t="b">
        <v>1</v>
      </c>
      <c r="AW237" s="3" t="b">
        <f t="shared" si="6"/>
        <v>1</v>
      </c>
      <c r="AX237" s="3" t="b">
        <f t="shared" si="7"/>
        <v>0</v>
      </c>
      <c r="AY237" s="3" t="b">
        <f t="shared" si="8"/>
        <v>0</v>
      </c>
      <c r="AZ237" s="3" t="b">
        <f t="shared" si="9"/>
        <v>0</v>
      </c>
      <c r="BA237" s="3" t="b">
        <f t="shared" si="10"/>
        <v>0</v>
      </c>
      <c r="BB237" s="3" t="b">
        <f t="shared" si="11"/>
        <v>0</v>
      </c>
      <c r="BC237" s="3"/>
      <c r="BD237" s="3" t="s">
        <v>600</v>
      </c>
      <c r="BE237" s="3" t="b">
        <v>1</v>
      </c>
      <c r="BF237" s="3" t="b">
        <v>1</v>
      </c>
      <c r="BG237" s="3" t="b">
        <v>1</v>
      </c>
      <c r="BH237" s="3" t="b">
        <v>1</v>
      </c>
      <c r="BI237" s="3" t="b">
        <v>1</v>
      </c>
      <c r="BJ237" s="3"/>
      <c r="BK237" s="3"/>
      <c r="BL237" s="3"/>
      <c r="BM237" s="3"/>
      <c r="BN237" s="3"/>
      <c r="BO237" s="3" t="s">
        <v>600</v>
      </c>
      <c r="BP237" s="3" t="b">
        <v>1</v>
      </c>
      <c r="BQ237" s="3" t="b">
        <v>1</v>
      </c>
      <c r="BR237" s="3" t="b">
        <v>1</v>
      </c>
      <c r="BS237" s="3" t="b">
        <v>1</v>
      </c>
      <c r="BT237" s="3" t="b">
        <v>1</v>
      </c>
      <c r="BU237" s="3"/>
      <c r="BV237" s="3"/>
      <c r="BW237" s="3"/>
      <c r="BX237" s="3"/>
    </row>
    <row r="238" spans="1:76" x14ac:dyDescent="0.35">
      <c r="A238" s="3"/>
      <c r="B238" s="3"/>
      <c r="C238" s="3" t="s">
        <v>602</v>
      </c>
      <c r="D238" s="3"/>
      <c r="E238" s="3"/>
      <c r="F238" s="3"/>
      <c r="G238" s="3" t="s">
        <v>3693</v>
      </c>
      <c r="H238" s="3" t="s">
        <v>604</v>
      </c>
      <c r="I238" s="3" t="b">
        <v>1</v>
      </c>
      <c r="J238" s="3" t="b">
        <v>0</v>
      </c>
      <c r="K238" s="3" t="b">
        <v>0</v>
      </c>
      <c r="L238" s="3" t="b">
        <v>0</v>
      </c>
      <c r="M238" s="3" t="b">
        <v>0</v>
      </c>
      <c r="N238" s="3" t="b">
        <f t="shared" si="0"/>
        <v>0</v>
      </c>
      <c r="O238" s="3" t="b">
        <f t="shared" si="1"/>
        <v>0</v>
      </c>
      <c r="P238" s="3" t="b">
        <f t="shared" si="2"/>
        <v>1</v>
      </c>
      <c r="Q238" s="3" t="b">
        <f t="shared" si="3"/>
        <v>0</v>
      </c>
      <c r="R238" s="3" t="b">
        <f t="shared" si="4"/>
        <v>0</v>
      </c>
      <c r="S238" s="3" t="b">
        <f t="shared" si="5"/>
        <v>0</v>
      </c>
      <c r="U238" s="3"/>
      <c r="V238" s="3" t="b">
        <v>1</v>
      </c>
      <c r="W238" s="3" t="b">
        <v>0</v>
      </c>
      <c r="X238" s="3" t="b">
        <v>0</v>
      </c>
      <c r="Y238" s="3" t="b">
        <v>0</v>
      </c>
      <c r="Z238" s="3" t="b">
        <v>0</v>
      </c>
      <c r="AA238" s="3"/>
      <c r="AB238" s="3"/>
      <c r="AC238" s="3"/>
      <c r="AD238" s="3"/>
      <c r="AE238" s="3"/>
      <c r="AF238" s="3" t="s">
        <v>605</v>
      </c>
      <c r="AG238" s="3" t="b">
        <v>1</v>
      </c>
      <c r="AH238" s="3" t="b">
        <v>1</v>
      </c>
      <c r="AI238" s="3" t="b">
        <v>1</v>
      </c>
      <c r="AJ238" s="3" t="b">
        <v>0</v>
      </c>
      <c r="AK238" s="3" t="b">
        <v>1</v>
      </c>
      <c r="AL238" s="3"/>
      <c r="AM238" s="3"/>
      <c r="AN238" s="3"/>
      <c r="AO238" s="3"/>
      <c r="AP238" s="3"/>
      <c r="AQ238" s="3" t="s">
        <v>606</v>
      </c>
      <c r="AR238" s="3" t="b">
        <v>1</v>
      </c>
      <c r="AS238" s="3" t="b">
        <v>1</v>
      </c>
      <c r="AT238" s="3" t="b">
        <v>0</v>
      </c>
      <c r="AU238" s="3" t="b">
        <v>0</v>
      </c>
      <c r="AV238" s="3" t="b">
        <v>0</v>
      </c>
      <c r="AW238" s="3" t="b">
        <f t="shared" si="6"/>
        <v>0</v>
      </c>
      <c r="AX238" s="3" t="b">
        <f t="shared" si="7"/>
        <v>0</v>
      </c>
      <c r="AY238" s="3" t="b">
        <f t="shared" si="8"/>
        <v>1</v>
      </c>
      <c r="AZ238" s="3" t="b">
        <f t="shared" si="9"/>
        <v>0</v>
      </c>
      <c r="BA238" s="3" t="b">
        <f t="shared" si="10"/>
        <v>0</v>
      </c>
      <c r="BB238" s="3" t="b">
        <f t="shared" si="11"/>
        <v>0</v>
      </c>
      <c r="BC238" s="3"/>
      <c r="BD238" s="3" t="s">
        <v>607</v>
      </c>
      <c r="BE238" s="3" t="b">
        <v>1</v>
      </c>
      <c r="BF238" s="3" t="b">
        <v>1</v>
      </c>
      <c r="BG238" s="3" t="b">
        <v>0</v>
      </c>
      <c r="BH238" s="3" t="b">
        <v>0</v>
      </c>
      <c r="BI238" s="3" t="b">
        <v>0</v>
      </c>
      <c r="BJ238" s="3"/>
      <c r="BK238" s="3"/>
      <c r="BL238" s="3"/>
      <c r="BM238" s="3"/>
      <c r="BN238" s="3"/>
      <c r="BO238" s="3" t="s">
        <v>608</v>
      </c>
      <c r="BP238" s="3" t="b">
        <v>1</v>
      </c>
      <c r="BQ238" s="3" t="b">
        <v>1</v>
      </c>
      <c r="BR238" s="3" t="b">
        <v>1</v>
      </c>
      <c r="BS238" s="3" t="b">
        <v>1</v>
      </c>
      <c r="BT238" s="3" t="b">
        <v>0</v>
      </c>
      <c r="BU238" s="3"/>
      <c r="BV238" s="3"/>
      <c r="BW238" s="3"/>
      <c r="BX238" s="3"/>
    </row>
    <row r="239" spans="1:76" x14ac:dyDescent="0.35">
      <c r="A239" s="3"/>
      <c r="B239" s="3" t="s">
        <v>276</v>
      </c>
      <c r="C239" s="3" t="s">
        <v>163</v>
      </c>
      <c r="D239" s="3"/>
      <c r="E239" s="3"/>
      <c r="F239" s="3"/>
      <c r="G239" s="3" t="s">
        <v>3694</v>
      </c>
      <c r="H239" s="3" t="s">
        <v>165</v>
      </c>
      <c r="I239" s="3" t="b">
        <v>1</v>
      </c>
      <c r="J239" s="3" t="b">
        <v>1</v>
      </c>
      <c r="K239" s="3" t="b">
        <v>1</v>
      </c>
      <c r="L239" s="3" t="b">
        <v>1</v>
      </c>
      <c r="M239" s="3" t="b">
        <v>1</v>
      </c>
      <c r="N239" s="3" t="b">
        <f t="shared" si="0"/>
        <v>1</v>
      </c>
      <c r="O239" s="3" t="b">
        <f t="shared" si="1"/>
        <v>0</v>
      </c>
      <c r="P239" s="3" t="b">
        <f t="shared" si="2"/>
        <v>0</v>
      </c>
      <c r="Q239" s="3" t="b">
        <f t="shared" si="3"/>
        <v>0</v>
      </c>
      <c r="R239" s="3" t="b">
        <f t="shared" si="4"/>
        <v>0</v>
      </c>
      <c r="S239" s="3" t="b">
        <f t="shared" si="5"/>
        <v>0</v>
      </c>
      <c r="U239" s="3" t="s">
        <v>165</v>
      </c>
      <c r="V239" s="3" t="b">
        <v>1</v>
      </c>
      <c r="W239" s="3" t="b">
        <v>1</v>
      </c>
      <c r="X239" s="3" t="b">
        <v>1</v>
      </c>
      <c r="Y239" s="3" t="b">
        <v>1</v>
      </c>
      <c r="Z239" s="3" t="b">
        <v>1</v>
      </c>
      <c r="AA239" s="3"/>
      <c r="AB239" s="3"/>
      <c r="AC239" s="3"/>
      <c r="AD239" s="3"/>
      <c r="AE239" s="3"/>
      <c r="AF239" s="3" t="s">
        <v>165</v>
      </c>
      <c r="AG239" s="3" t="b">
        <v>1</v>
      </c>
      <c r="AH239" s="3" t="b">
        <v>1</v>
      </c>
      <c r="AI239" s="3" t="b">
        <v>1</v>
      </c>
      <c r="AJ239" s="3" t="b">
        <v>1</v>
      </c>
      <c r="AK239" s="3" t="b">
        <v>1</v>
      </c>
      <c r="AL239" s="3"/>
      <c r="AM239" s="3"/>
      <c r="AN239" s="3"/>
      <c r="AO239" s="3"/>
      <c r="AP239" s="3"/>
      <c r="AQ239" s="3" t="s">
        <v>167</v>
      </c>
      <c r="AR239" s="3" t="b">
        <v>1</v>
      </c>
      <c r="AS239" s="3" t="b">
        <v>1</v>
      </c>
      <c r="AT239" s="3" t="b">
        <v>1</v>
      </c>
      <c r="AU239" s="3" t="b">
        <v>1</v>
      </c>
      <c r="AV239" s="3" t="b">
        <v>1</v>
      </c>
      <c r="AW239" s="3" t="b">
        <f t="shared" si="6"/>
        <v>1</v>
      </c>
      <c r="AX239" s="3" t="b">
        <f t="shared" si="7"/>
        <v>0</v>
      </c>
      <c r="AY239" s="3" t="b">
        <f t="shared" si="8"/>
        <v>0</v>
      </c>
      <c r="AZ239" s="3" t="b">
        <f t="shared" si="9"/>
        <v>0</v>
      </c>
      <c r="BA239" s="3" t="b">
        <f t="shared" si="10"/>
        <v>0</v>
      </c>
      <c r="BB239" s="3" t="b">
        <f t="shared" si="11"/>
        <v>0</v>
      </c>
      <c r="BC239" s="3"/>
      <c r="BD239" s="3" t="s">
        <v>167</v>
      </c>
      <c r="BE239" s="3" t="b">
        <v>1</v>
      </c>
      <c r="BF239" s="3" t="b">
        <v>1</v>
      </c>
      <c r="BG239" s="3" t="b">
        <v>1</v>
      </c>
      <c r="BH239" s="3" t="b">
        <v>1</v>
      </c>
      <c r="BI239" s="3" t="b">
        <v>1</v>
      </c>
      <c r="BJ239" s="3"/>
      <c r="BK239" s="3"/>
      <c r="BL239" s="3"/>
      <c r="BM239" s="3"/>
      <c r="BN239" s="3"/>
      <c r="BO239" s="3" t="s">
        <v>167</v>
      </c>
      <c r="BP239" s="3" t="b">
        <v>1</v>
      </c>
      <c r="BQ239" s="3" t="b">
        <v>1</v>
      </c>
      <c r="BR239" s="3" t="b">
        <v>1</v>
      </c>
      <c r="BS239" s="3" t="b">
        <v>1</v>
      </c>
      <c r="BT239" s="3" t="b">
        <v>1</v>
      </c>
      <c r="BU239" s="3"/>
      <c r="BV239" s="3"/>
      <c r="BW239" s="3"/>
      <c r="BX239" s="3"/>
    </row>
    <row r="240" spans="1:76" x14ac:dyDescent="0.35">
      <c r="A240" s="3"/>
      <c r="B240" s="3" t="s">
        <v>173</v>
      </c>
      <c r="C240" s="3" t="s">
        <v>142</v>
      </c>
      <c r="D240" s="3" t="s">
        <v>423</v>
      </c>
      <c r="E240" s="3" t="s">
        <v>175</v>
      </c>
      <c r="F240" s="3"/>
      <c r="G240" s="3" t="s">
        <v>3695</v>
      </c>
      <c r="H240" s="3" t="s">
        <v>611</v>
      </c>
      <c r="I240" s="3" t="b">
        <v>1</v>
      </c>
      <c r="J240" s="3" t="b">
        <v>0</v>
      </c>
      <c r="K240" s="3" t="b">
        <v>0</v>
      </c>
      <c r="L240" s="3" t="b">
        <v>1</v>
      </c>
      <c r="M240" s="3" t="b">
        <v>0</v>
      </c>
      <c r="N240" s="3" t="b">
        <f t="shared" si="0"/>
        <v>0</v>
      </c>
      <c r="O240" s="3" t="b">
        <f t="shared" si="1"/>
        <v>0</v>
      </c>
      <c r="P240" s="3" t="b">
        <f t="shared" si="2"/>
        <v>1</v>
      </c>
      <c r="Q240" s="3" t="b">
        <f t="shared" si="3"/>
        <v>0</v>
      </c>
      <c r="R240" s="3" t="b">
        <f t="shared" si="4"/>
        <v>0</v>
      </c>
      <c r="S240" s="3" t="b">
        <f t="shared" si="5"/>
        <v>0</v>
      </c>
      <c r="U240" s="3" t="s">
        <v>383</v>
      </c>
      <c r="V240" s="3" t="b">
        <v>1</v>
      </c>
      <c r="W240" s="3" t="b">
        <v>1</v>
      </c>
      <c r="X240" s="3" t="b">
        <v>1</v>
      </c>
      <c r="Y240" s="3" t="b">
        <v>1</v>
      </c>
      <c r="Z240" s="3" t="b">
        <v>1</v>
      </c>
      <c r="AA240" s="3"/>
      <c r="AB240" s="3"/>
      <c r="AC240" s="3"/>
      <c r="AD240" s="3"/>
      <c r="AE240" s="3"/>
      <c r="AF240" s="3" t="s">
        <v>383</v>
      </c>
      <c r="AG240" s="3" t="b">
        <v>1</v>
      </c>
      <c r="AH240" s="3" t="b">
        <v>1</v>
      </c>
      <c r="AI240" s="3" t="b">
        <v>1</v>
      </c>
      <c r="AJ240" s="3" t="b">
        <v>1</v>
      </c>
      <c r="AK240" s="3" t="b">
        <v>1</v>
      </c>
      <c r="AL240" s="3"/>
      <c r="AM240" s="3"/>
      <c r="AN240" s="3"/>
      <c r="AO240" s="3"/>
      <c r="AP240" s="3"/>
      <c r="AQ240" s="3" t="s">
        <v>147</v>
      </c>
      <c r="AR240" s="3" t="b">
        <v>1</v>
      </c>
      <c r="AS240" s="3" t="b">
        <v>1</v>
      </c>
      <c r="AT240" s="3" t="b">
        <v>1</v>
      </c>
      <c r="AU240" s="3" t="b">
        <v>1</v>
      </c>
      <c r="AV240" s="3" t="b">
        <v>1</v>
      </c>
      <c r="AW240" s="3" t="b">
        <f t="shared" si="6"/>
        <v>1</v>
      </c>
      <c r="AX240" s="3" t="b">
        <f t="shared" si="7"/>
        <v>0</v>
      </c>
      <c r="AY240" s="3" t="b">
        <f t="shared" si="8"/>
        <v>0</v>
      </c>
      <c r="AZ240" s="3" t="b">
        <f t="shared" si="9"/>
        <v>0</v>
      </c>
      <c r="BA240" s="3" t="b">
        <f t="shared" si="10"/>
        <v>0</v>
      </c>
      <c r="BB240" s="3" t="b">
        <f t="shared" si="11"/>
        <v>0</v>
      </c>
      <c r="BC240" s="3"/>
      <c r="BD240" s="3" t="s">
        <v>147</v>
      </c>
      <c r="BE240" s="3" t="b">
        <v>1</v>
      </c>
      <c r="BF240" s="3" t="b">
        <v>1</v>
      </c>
      <c r="BG240" s="3" t="b">
        <v>1</v>
      </c>
      <c r="BH240" s="3" t="b">
        <v>1</v>
      </c>
      <c r="BI240" s="3" t="b">
        <v>1</v>
      </c>
      <c r="BJ240" s="3"/>
      <c r="BK240" s="3"/>
      <c r="BL240" s="3"/>
      <c r="BM240" s="3"/>
      <c r="BN240" s="3"/>
      <c r="BO240" s="3" t="s">
        <v>147</v>
      </c>
      <c r="BP240" s="3" t="b">
        <v>1</v>
      </c>
      <c r="BQ240" s="3" t="b">
        <v>1</v>
      </c>
      <c r="BR240" s="3" t="b">
        <v>1</v>
      </c>
      <c r="BS240" s="3" t="b">
        <v>1</v>
      </c>
      <c r="BT240" s="3" t="b">
        <v>1</v>
      </c>
      <c r="BU240" s="3"/>
      <c r="BV240" s="3"/>
      <c r="BW240" s="3"/>
      <c r="BX240" s="3"/>
    </row>
    <row r="241" spans="1:76" x14ac:dyDescent="0.35">
      <c r="A241" s="3"/>
      <c r="B241" s="3"/>
      <c r="C241" s="3" t="s">
        <v>148</v>
      </c>
      <c r="D241" s="3"/>
      <c r="E241" s="3"/>
      <c r="F241" s="3"/>
      <c r="G241" s="3" t="s">
        <v>3696</v>
      </c>
      <c r="H241" s="3" t="s">
        <v>613</v>
      </c>
      <c r="I241" s="3" t="b">
        <v>1</v>
      </c>
      <c r="J241" s="3" t="b">
        <v>1</v>
      </c>
      <c r="K241" s="3" t="b">
        <v>1</v>
      </c>
      <c r="L241" s="3" t="b">
        <v>1</v>
      </c>
      <c r="M241" s="3" t="b">
        <v>1</v>
      </c>
      <c r="N241" s="3" t="b">
        <f t="shared" si="0"/>
        <v>1</v>
      </c>
      <c r="O241" s="3" t="b">
        <f t="shared" si="1"/>
        <v>0</v>
      </c>
      <c r="P241" s="3" t="b">
        <f t="shared" si="2"/>
        <v>0</v>
      </c>
      <c r="Q241" s="3" t="b">
        <f t="shared" si="3"/>
        <v>0</v>
      </c>
      <c r="R241" s="3" t="b">
        <f t="shared" si="4"/>
        <v>0</v>
      </c>
      <c r="S241" s="3" t="b">
        <f t="shared" si="5"/>
        <v>0</v>
      </c>
      <c r="U241" s="3" t="s">
        <v>178</v>
      </c>
      <c r="V241" s="3" t="b">
        <v>1</v>
      </c>
      <c r="W241" s="3" t="b">
        <v>0</v>
      </c>
      <c r="X241" s="3" t="b">
        <v>0</v>
      </c>
      <c r="Y241" s="3" t="b">
        <v>1</v>
      </c>
      <c r="Z241" s="3" t="b">
        <v>0</v>
      </c>
      <c r="AA241" s="3"/>
      <c r="AB241" s="3"/>
      <c r="AC241" s="3"/>
      <c r="AD241" s="3"/>
      <c r="AE241" s="3"/>
      <c r="AF241" s="3" t="s">
        <v>614</v>
      </c>
      <c r="AG241" s="3" t="b">
        <v>1</v>
      </c>
      <c r="AH241" s="3" t="b">
        <v>1</v>
      </c>
      <c r="AI241" s="3" t="b">
        <v>1</v>
      </c>
      <c r="AJ241" s="3" t="b">
        <v>1</v>
      </c>
      <c r="AK241" s="3" t="b">
        <v>1</v>
      </c>
      <c r="AL241" s="3"/>
      <c r="AM241" s="3"/>
      <c r="AN241" s="3"/>
      <c r="AO241" s="3"/>
      <c r="AP241" s="3"/>
      <c r="AQ241" s="3" t="s">
        <v>154</v>
      </c>
      <c r="AR241" s="3" t="b">
        <v>1</v>
      </c>
      <c r="AS241" s="3" t="b">
        <v>1</v>
      </c>
      <c r="AT241" s="3" t="b">
        <v>1</v>
      </c>
      <c r="AU241" s="3" t="b">
        <v>1</v>
      </c>
      <c r="AV241" s="3" t="b">
        <v>1</v>
      </c>
      <c r="AW241" s="3" t="b">
        <f t="shared" si="6"/>
        <v>1</v>
      </c>
      <c r="AX241" s="3" t="b">
        <f t="shared" si="7"/>
        <v>0</v>
      </c>
      <c r="AY241" s="3" t="b">
        <f t="shared" si="8"/>
        <v>0</v>
      </c>
      <c r="AZ241" s="3" t="b">
        <f t="shared" si="9"/>
        <v>0</v>
      </c>
      <c r="BA241" s="3" t="b">
        <f t="shared" si="10"/>
        <v>0</v>
      </c>
      <c r="BB241" s="3" t="b">
        <f t="shared" si="11"/>
        <v>0</v>
      </c>
      <c r="BC241" s="3"/>
      <c r="BD241" s="3" t="s">
        <v>414</v>
      </c>
      <c r="BE241" s="3" t="b">
        <v>1</v>
      </c>
      <c r="BF241" s="3" t="b">
        <v>0</v>
      </c>
      <c r="BG241" s="3" t="b">
        <v>0</v>
      </c>
      <c r="BH241" s="3" t="b">
        <v>1</v>
      </c>
      <c r="BI241" s="3" t="b">
        <v>0</v>
      </c>
      <c r="BJ241" s="3"/>
      <c r="BK241" s="3"/>
      <c r="BL241" s="3"/>
      <c r="BM241" s="3"/>
      <c r="BN241" s="3"/>
      <c r="BO241" s="3" t="s">
        <v>615</v>
      </c>
      <c r="BP241" s="3" t="b">
        <v>1</v>
      </c>
      <c r="BQ241" s="3" t="b">
        <v>0</v>
      </c>
      <c r="BR241" s="3" t="b">
        <v>0</v>
      </c>
      <c r="BS241" s="3" t="b">
        <v>0</v>
      </c>
      <c r="BT241" s="3" t="b">
        <v>0</v>
      </c>
      <c r="BU241" s="3"/>
      <c r="BV241" s="3"/>
      <c r="BW241" s="3"/>
      <c r="BX241" s="3"/>
    </row>
    <row r="242" spans="1:76" x14ac:dyDescent="0.35">
      <c r="A242" s="3"/>
      <c r="B242" s="3"/>
      <c r="C242" s="3" t="s">
        <v>182</v>
      </c>
      <c r="D242" s="3"/>
      <c r="E242" s="3"/>
      <c r="F242" s="3"/>
      <c r="G242" s="3" t="s">
        <v>3697</v>
      </c>
      <c r="H242" s="3" t="s">
        <v>184</v>
      </c>
      <c r="I242" s="3" t="b">
        <v>1</v>
      </c>
      <c r="J242" s="3" t="b">
        <v>0</v>
      </c>
      <c r="K242" s="3" t="b">
        <v>0</v>
      </c>
      <c r="L242" s="3" t="b">
        <v>1</v>
      </c>
      <c r="M242" s="3" t="b">
        <v>0</v>
      </c>
      <c r="N242" s="3" t="b">
        <f t="shared" si="0"/>
        <v>0</v>
      </c>
      <c r="O242" s="3" t="b">
        <f t="shared" si="1"/>
        <v>0</v>
      </c>
      <c r="P242" s="3" t="b">
        <f t="shared" si="2"/>
        <v>1</v>
      </c>
      <c r="Q242" s="3" t="b">
        <f t="shared" si="3"/>
        <v>0</v>
      </c>
      <c r="R242" s="3" t="b">
        <f t="shared" si="4"/>
        <v>0</v>
      </c>
      <c r="S242" s="3" t="b">
        <f t="shared" si="5"/>
        <v>0</v>
      </c>
      <c r="U242" s="3" t="s">
        <v>617</v>
      </c>
      <c r="V242" s="3" t="b">
        <v>1</v>
      </c>
      <c r="W242" s="3" t="b">
        <v>1</v>
      </c>
      <c r="X242" s="3" t="b">
        <v>1</v>
      </c>
      <c r="Y242" s="3" t="b">
        <v>1</v>
      </c>
      <c r="Z242" s="3" t="b">
        <v>0</v>
      </c>
      <c r="AA242" s="3"/>
      <c r="AB242" s="3"/>
      <c r="AC242" s="3"/>
      <c r="AD242" s="3"/>
      <c r="AE242" s="3"/>
      <c r="AF242" s="3" t="s">
        <v>618</v>
      </c>
      <c r="AG242" s="3" t="b">
        <v>1</v>
      </c>
      <c r="AH242" s="3" t="b">
        <v>0</v>
      </c>
      <c r="AI242" s="3" t="b">
        <v>0</v>
      </c>
      <c r="AJ242" s="3" t="b">
        <v>1</v>
      </c>
      <c r="AK242" s="3" t="b">
        <v>0</v>
      </c>
      <c r="AL242" s="3"/>
      <c r="AM242" s="3"/>
      <c r="AN242" s="3"/>
      <c r="AO242" s="3"/>
      <c r="AP242" s="3"/>
      <c r="AQ242" s="3" t="s">
        <v>619</v>
      </c>
      <c r="AR242" s="3" t="b">
        <v>1</v>
      </c>
      <c r="AS242" s="3" t="b">
        <v>0</v>
      </c>
      <c r="AT242" s="3" t="b">
        <v>0</v>
      </c>
      <c r="AU242" s="3" t="b">
        <v>1</v>
      </c>
      <c r="AV242" s="3" t="b">
        <v>0</v>
      </c>
      <c r="AW242" s="3" t="b">
        <f t="shared" si="6"/>
        <v>0</v>
      </c>
      <c r="AX242" s="3" t="b">
        <f t="shared" si="7"/>
        <v>0</v>
      </c>
      <c r="AY242" s="3" t="b">
        <f t="shared" si="8"/>
        <v>1</v>
      </c>
      <c r="AZ242" s="3" t="b">
        <f t="shared" si="9"/>
        <v>0</v>
      </c>
      <c r="BA242" s="3" t="b">
        <f t="shared" si="10"/>
        <v>0</v>
      </c>
      <c r="BB242" s="3" t="b">
        <f t="shared" si="11"/>
        <v>0</v>
      </c>
      <c r="BC242" s="3"/>
      <c r="BD242" s="3" t="s">
        <v>186</v>
      </c>
      <c r="BE242" s="3" t="b">
        <v>1</v>
      </c>
      <c r="BF242" s="3" t="b">
        <v>0</v>
      </c>
      <c r="BG242" s="3" t="b">
        <v>0</v>
      </c>
      <c r="BH242" s="3" t="b">
        <v>0</v>
      </c>
      <c r="BI242" s="3" t="b">
        <v>0</v>
      </c>
      <c r="BJ242" s="3"/>
      <c r="BK242" s="3"/>
      <c r="BL242" s="3"/>
      <c r="BM242" s="3"/>
      <c r="BN242" s="3"/>
      <c r="BO242" s="3" t="s">
        <v>620</v>
      </c>
      <c r="BP242" s="3" t="b">
        <v>1</v>
      </c>
      <c r="BQ242" s="3" t="b">
        <v>1</v>
      </c>
      <c r="BR242" s="3" t="b">
        <v>1</v>
      </c>
      <c r="BS242" s="3" t="b">
        <v>0</v>
      </c>
      <c r="BT242" s="3" t="b">
        <v>1</v>
      </c>
      <c r="BU242" s="3"/>
      <c r="BV242" s="3"/>
      <c r="BW242" s="3"/>
      <c r="BX242" s="3"/>
    </row>
    <row r="243" spans="1:76" x14ac:dyDescent="0.35">
      <c r="A243" s="3"/>
      <c r="B243" s="3" t="s">
        <v>188</v>
      </c>
      <c r="C243" s="3"/>
      <c r="D243" s="3"/>
      <c r="E243" s="3"/>
      <c r="F243" s="3"/>
      <c r="G243" s="3"/>
      <c r="H243" s="3"/>
      <c r="I243" s="3"/>
      <c r="J243" s="3"/>
      <c r="K243" s="3"/>
      <c r="L243" s="3"/>
      <c r="M243" s="3"/>
      <c r="N243" s="3">
        <f t="shared" si="0"/>
        <v>0</v>
      </c>
      <c r="O243" s="3">
        <f t="shared" si="1"/>
        <v>0</v>
      </c>
      <c r="P243" s="3">
        <f t="shared" si="2"/>
        <v>0</v>
      </c>
      <c r="Q243" s="3">
        <f t="shared" si="3"/>
        <v>0</v>
      </c>
      <c r="R243" s="3">
        <f t="shared" si="4"/>
        <v>0</v>
      </c>
      <c r="S243" s="3">
        <f t="shared" si="5"/>
        <v>0</v>
      </c>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f t="shared" si="6"/>
        <v>0</v>
      </c>
      <c r="AX243" s="3">
        <f t="shared" si="7"/>
        <v>0</v>
      </c>
      <c r="AY243" s="3">
        <f t="shared" si="8"/>
        <v>0</v>
      </c>
      <c r="AZ243" s="3">
        <f t="shared" si="9"/>
        <v>0</v>
      </c>
      <c r="BA243" s="3">
        <f t="shared" si="10"/>
        <v>0</v>
      </c>
      <c r="BB243" s="3">
        <f t="shared" si="11"/>
        <v>0</v>
      </c>
      <c r="BC243" s="3"/>
      <c r="BD243" s="3"/>
      <c r="BE243" s="3"/>
      <c r="BF243" s="3"/>
      <c r="BG243" s="3"/>
      <c r="BH243" s="3"/>
      <c r="BI243" s="3"/>
      <c r="BJ243" s="3"/>
      <c r="BK243" s="3"/>
      <c r="BL243" s="3"/>
      <c r="BM243" s="3"/>
      <c r="BN243" s="3"/>
      <c r="BO243" s="3"/>
      <c r="BP243" s="3"/>
      <c r="BQ243" s="3"/>
      <c r="BR243" s="3"/>
      <c r="BS243" s="3"/>
      <c r="BT243" s="3"/>
      <c r="BU243" s="3"/>
      <c r="BV243" s="3"/>
      <c r="BW243" s="3"/>
      <c r="BX243" s="3"/>
    </row>
    <row r="244" spans="1:76" x14ac:dyDescent="0.35">
      <c r="A244" s="3"/>
      <c r="B244" s="5" t="s">
        <v>189</v>
      </c>
      <c r="C244" s="5" t="s">
        <v>131</v>
      </c>
      <c r="D244" s="3"/>
      <c r="E244" s="3"/>
      <c r="F244" s="3"/>
      <c r="G244" s="3"/>
      <c r="H244" s="3"/>
      <c r="I244" s="3"/>
      <c r="J244" s="3"/>
      <c r="K244" s="3"/>
      <c r="L244" s="3"/>
      <c r="M244" s="3"/>
      <c r="N244" s="3">
        <f t="shared" si="0"/>
        <v>0</v>
      </c>
      <c r="O244" s="3">
        <f t="shared" si="1"/>
        <v>0</v>
      </c>
      <c r="P244" s="3">
        <f t="shared" si="2"/>
        <v>0</v>
      </c>
      <c r="Q244" s="3">
        <f t="shared" si="3"/>
        <v>0</v>
      </c>
      <c r="R244" s="3">
        <f t="shared" si="4"/>
        <v>0</v>
      </c>
      <c r="S244" s="3">
        <f t="shared" si="5"/>
        <v>0</v>
      </c>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f t="shared" si="6"/>
        <v>0</v>
      </c>
      <c r="AX244" s="3">
        <f t="shared" si="7"/>
        <v>0</v>
      </c>
      <c r="AY244" s="3">
        <f t="shared" si="8"/>
        <v>0</v>
      </c>
      <c r="AZ244" s="3">
        <f t="shared" si="9"/>
        <v>0</v>
      </c>
      <c r="BA244" s="3">
        <f t="shared" si="10"/>
        <v>0</v>
      </c>
      <c r="BB244" s="3">
        <f t="shared" si="11"/>
        <v>0</v>
      </c>
      <c r="BC244" s="3"/>
      <c r="BD244" s="3"/>
      <c r="BE244" s="3"/>
      <c r="BF244" s="3"/>
      <c r="BG244" s="3"/>
      <c r="BH244" s="3"/>
      <c r="BI244" s="3"/>
      <c r="BJ244" s="3"/>
      <c r="BK244" s="3"/>
      <c r="BL244" s="3"/>
      <c r="BM244" s="3"/>
      <c r="BN244" s="3"/>
      <c r="BO244" s="3"/>
      <c r="BP244" s="3"/>
      <c r="BQ244" s="3"/>
      <c r="BR244" s="3"/>
      <c r="BS244" s="3"/>
      <c r="BT244" s="3"/>
      <c r="BU244" s="3"/>
      <c r="BV244" s="3"/>
      <c r="BW244" s="3"/>
      <c r="BX244" s="3"/>
    </row>
    <row r="245" spans="1:76" x14ac:dyDescent="0.35">
      <c r="A245" s="3"/>
      <c r="B245" s="3" t="s">
        <v>195</v>
      </c>
      <c r="C245" s="3" t="s">
        <v>131</v>
      </c>
      <c r="D245" s="3"/>
      <c r="E245" s="3"/>
      <c r="F245" s="3"/>
      <c r="G245" s="3" t="s">
        <v>3698</v>
      </c>
      <c r="H245" s="3" t="s">
        <v>133</v>
      </c>
      <c r="I245" s="3" t="b">
        <v>1</v>
      </c>
      <c r="J245" s="3" t="b">
        <v>1</v>
      </c>
      <c r="K245" s="3" t="b">
        <v>1</v>
      </c>
      <c r="L245" s="3" t="b">
        <v>1</v>
      </c>
      <c r="M245" s="3" t="b">
        <v>1</v>
      </c>
      <c r="N245" s="3" t="b">
        <f t="shared" si="0"/>
        <v>1</v>
      </c>
      <c r="O245" s="3" t="b">
        <f t="shared" si="1"/>
        <v>0</v>
      </c>
      <c r="P245" s="3" t="b">
        <f t="shared" si="2"/>
        <v>0</v>
      </c>
      <c r="Q245" s="3" t="b">
        <f t="shared" si="3"/>
        <v>0</v>
      </c>
      <c r="R245" s="3" t="b">
        <f t="shared" si="4"/>
        <v>0</v>
      </c>
      <c r="S245" s="3" t="b">
        <f t="shared" si="5"/>
        <v>0</v>
      </c>
      <c r="U245" s="3" t="s">
        <v>133</v>
      </c>
      <c r="V245" s="3" t="b">
        <v>1</v>
      </c>
      <c r="W245" s="3" t="b">
        <v>1</v>
      </c>
      <c r="X245" s="3" t="b">
        <v>1</v>
      </c>
      <c r="Y245" s="3" t="b">
        <v>1</v>
      </c>
      <c r="Z245" s="3" t="b">
        <v>1</v>
      </c>
      <c r="AA245" s="3"/>
      <c r="AB245" s="3"/>
      <c r="AC245" s="3"/>
      <c r="AD245" s="3"/>
      <c r="AE245" s="3"/>
      <c r="AF245" s="3" t="s">
        <v>133</v>
      </c>
      <c r="AG245" s="3" t="b">
        <v>1</v>
      </c>
      <c r="AH245" s="3" t="b">
        <v>1</v>
      </c>
      <c r="AI245" s="3" t="b">
        <v>1</v>
      </c>
      <c r="AJ245" s="3" t="b">
        <v>1</v>
      </c>
      <c r="AK245" s="3" t="b">
        <v>1</v>
      </c>
      <c r="AL245" s="3"/>
      <c r="AM245" s="3"/>
      <c r="AN245" s="3"/>
      <c r="AO245" s="3"/>
      <c r="AP245" s="3"/>
      <c r="AQ245" s="3" t="s">
        <v>133</v>
      </c>
      <c r="AR245" s="3" t="b">
        <v>1</v>
      </c>
      <c r="AS245" s="3" t="b">
        <v>1</v>
      </c>
      <c r="AT245" s="3" t="b">
        <v>1</v>
      </c>
      <c r="AU245" s="3" t="b">
        <v>1</v>
      </c>
      <c r="AV245" s="3" t="b">
        <v>1</v>
      </c>
      <c r="AW245" s="3" t="b">
        <f t="shared" si="6"/>
        <v>1</v>
      </c>
      <c r="AX245" s="3" t="b">
        <f t="shared" si="7"/>
        <v>0</v>
      </c>
      <c r="AY245" s="3" t="b">
        <f t="shared" si="8"/>
        <v>0</v>
      </c>
      <c r="AZ245" s="3" t="b">
        <f t="shared" si="9"/>
        <v>0</v>
      </c>
      <c r="BA245" s="3" t="b">
        <f t="shared" si="10"/>
        <v>0</v>
      </c>
      <c r="BB245" s="3" t="b">
        <f t="shared" si="11"/>
        <v>0</v>
      </c>
      <c r="BC245" s="3"/>
      <c r="BD245" s="3" t="s">
        <v>133</v>
      </c>
      <c r="BE245" s="3" t="b">
        <v>1</v>
      </c>
      <c r="BF245" s="3" t="b">
        <v>1</v>
      </c>
      <c r="BG245" s="3" t="b">
        <v>1</v>
      </c>
      <c r="BH245" s="3" t="b">
        <v>1</v>
      </c>
      <c r="BI245" s="3" t="b">
        <v>1</v>
      </c>
      <c r="BJ245" s="3"/>
      <c r="BK245" s="3"/>
      <c r="BL245" s="3"/>
      <c r="BM245" s="3"/>
      <c r="BN245" s="3"/>
      <c r="BO245" s="3" t="s">
        <v>133</v>
      </c>
      <c r="BP245" s="3" t="b">
        <v>1</v>
      </c>
      <c r="BQ245" s="3" t="b">
        <v>1</v>
      </c>
      <c r="BR245" s="3" t="b">
        <v>1</v>
      </c>
      <c r="BS245" s="3" t="b">
        <v>1</v>
      </c>
      <c r="BT245" s="3" t="b">
        <v>1</v>
      </c>
      <c r="BU245" s="3"/>
      <c r="BV245" s="3"/>
      <c r="BW245" s="3"/>
      <c r="BX245" s="3"/>
    </row>
    <row r="246" spans="1:76" x14ac:dyDescent="0.35">
      <c r="A246" s="3"/>
      <c r="B246" s="3"/>
      <c r="C246" s="3" t="s">
        <v>197</v>
      </c>
      <c r="D246" s="3"/>
      <c r="E246" s="3"/>
      <c r="F246" s="3"/>
      <c r="G246" s="3" t="s">
        <v>3699</v>
      </c>
      <c r="H246" s="3" t="s">
        <v>199</v>
      </c>
      <c r="I246" s="3" t="b">
        <v>1</v>
      </c>
      <c r="J246" s="3" t="b">
        <v>1</v>
      </c>
      <c r="K246" s="3" t="b">
        <v>1</v>
      </c>
      <c r="L246" s="3" t="b">
        <v>1</v>
      </c>
      <c r="M246" s="3" t="b">
        <v>1</v>
      </c>
      <c r="N246" s="3" t="b">
        <f t="shared" si="0"/>
        <v>1</v>
      </c>
      <c r="O246" s="3" t="b">
        <f t="shared" si="1"/>
        <v>0</v>
      </c>
      <c r="P246" s="3" t="b">
        <f t="shared" si="2"/>
        <v>0</v>
      </c>
      <c r="Q246" s="3" t="b">
        <f t="shared" si="3"/>
        <v>0</v>
      </c>
      <c r="R246" s="3" t="b">
        <f t="shared" si="4"/>
        <v>0</v>
      </c>
      <c r="S246" s="3" t="b">
        <f t="shared" si="5"/>
        <v>0</v>
      </c>
      <c r="U246" s="3" t="s">
        <v>199</v>
      </c>
      <c r="V246" s="3" t="b">
        <v>1</v>
      </c>
      <c r="W246" s="3" t="b">
        <v>1</v>
      </c>
      <c r="X246" s="3" t="b">
        <v>1</v>
      </c>
      <c r="Y246" s="3" t="b">
        <v>1</v>
      </c>
      <c r="Z246" s="3" t="b">
        <v>1</v>
      </c>
      <c r="AA246" s="3"/>
      <c r="AB246" s="3"/>
      <c r="AC246" s="3"/>
      <c r="AD246" s="3"/>
      <c r="AE246" s="3"/>
      <c r="AF246" s="3" t="s">
        <v>199</v>
      </c>
      <c r="AG246" s="3" t="b">
        <v>1</v>
      </c>
      <c r="AH246" s="3" t="b">
        <v>1</v>
      </c>
      <c r="AI246" s="3" t="b">
        <v>1</v>
      </c>
      <c r="AJ246" s="3" t="b">
        <v>1</v>
      </c>
      <c r="AK246" s="3" t="b">
        <v>1</v>
      </c>
      <c r="AL246" s="3"/>
      <c r="AM246" s="3"/>
      <c r="AN246" s="3"/>
      <c r="AO246" s="3"/>
      <c r="AP246" s="3"/>
      <c r="AQ246" s="3" t="s">
        <v>622</v>
      </c>
      <c r="AR246" s="3" t="b">
        <v>1</v>
      </c>
      <c r="AS246" s="3" t="b">
        <v>0</v>
      </c>
      <c r="AT246" s="3" t="b">
        <v>0</v>
      </c>
      <c r="AU246" s="3" t="b">
        <v>1</v>
      </c>
      <c r="AV246" s="3" t="b">
        <v>0</v>
      </c>
      <c r="AW246" s="3" t="b">
        <f t="shared" si="6"/>
        <v>0</v>
      </c>
      <c r="AX246" s="3" t="b">
        <f t="shared" si="7"/>
        <v>0</v>
      </c>
      <c r="AY246" s="3" t="b">
        <f t="shared" si="8"/>
        <v>1</v>
      </c>
      <c r="AZ246" s="3" t="b">
        <f t="shared" si="9"/>
        <v>0</v>
      </c>
      <c r="BA246" s="3" t="b">
        <f t="shared" si="10"/>
        <v>0</v>
      </c>
      <c r="BB246" s="3" t="b">
        <f t="shared" si="11"/>
        <v>0</v>
      </c>
      <c r="BC246" s="3"/>
      <c r="BD246" s="3" t="s">
        <v>623</v>
      </c>
      <c r="BE246" s="3" t="b">
        <v>1</v>
      </c>
      <c r="BF246" s="3" t="b">
        <v>0</v>
      </c>
      <c r="BG246" s="3" t="b">
        <v>0</v>
      </c>
      <c r="BH246" s="3" t="b">
        <v>1</v>
      </c>
      <c r="BI246" s="3" t="b">
        <v>0</v>
      </c>
      <c r="BJ246" s="3"/>
      <c r="BK246" s="3"/>
      <c r="BL246" s="3"/>
      <c r="BM246" s="3"/>
      <c r="BN246" s="3"/>
      <c r="BO246" s="3" t="s">
        <v>623</v>
      </c>
      <c r="BP246" s="3" t="b">
        <v>1</v>
      </c>
      <c r="BQ246" s="3" t="b">
        <v>0</v>
      </c>
      <c r="BR246" s="3" t="b">
        <v>0</v>
      </c>
      <c r="BS246" s="3" t="b">
        <v>1</v>
      </c>
      <c r="BT246" s="3" t="b">
        <v>0</v>
      </c>
      <c r="BU246" s="3"/>
      <c r="BV246" s="3"/>
      <c r="BW246" s="3"/>
      <c r="BX246" s="3"/>
    </row>
    <row r="247" spans="1:76" x14ac:dyDescent="0.35">
      <c r="A247" s="3"/>
      <c r="B247" s="3"/>
      <c r="C247" s="3" t="s">
        <v>200</v>
      </c>
      <c r="D247" s="3"/>
      <c r="E247" s="3"/>
      <c r="F247" s="3"/>
      <c r="G247" s="3" t="s">
        <v>3700</v>
      </c>
      <c r="H247" s="3" t="s">
        <v>625</v>
      </c>
      <c r="I247" s="3" t="b">
        <v>1</v>
      </c>
      <c r="J247" s="3" t="b">
        <v>1</v>
      </c>
      <c r="K247" s="3" t="b">
        <v>1</v>
      </c>
      <c r="L247" s="3" t="b">
        <v>1</v>
      </c>
      <c r="M247" s="3" t="b">
        <v>1</v>
      </c>
      <c r="N247" s="3" t="b">
        <f t="shared" si="0"/>
        <v>1</v>
      </c>
      <c r="O247" s="3" t="b">
        <f t="shared" si="1"/>
        <v>0</v>
      </c>
      <c r="P247" s="3" t="b">
        <f t="shared" si="2"/>
        <v>0</v>
      </c>
      <c r="Q247" s="3" t="b">
        <f t="shared" si="3"/>
        <v>0</v>
      </c>
      <c r="R247" s="3" t="b">
        <f t="shared" si="4"/>
        <v>0</v>
      </c>
      <c r="S247" s="3" t="b">
        <f t="shared" si="5"/>
        <v>0</v>
      </c>
      <c r="U247" s="3" t="s">
        <v>452</v>
      </c>
      <c r="V247" s="3" t="b">
        <v>1</v>
      </c>
      <c r="W247" s="3" t="b">
        <v>1</v>
      </c>
      <c r="X247" s="3" t="b">
        <v>1</v>
      </c>
      <c r="Y247" s="3" t="b">
        <v>1</v>
      </c>
      <c r="Z247" s="3" t="b">
        <v>1</v>
      </c>
      <c r="AA247" s="3"/>
      <c r="AB247" s="3"/>
      <c r="AC247" s="3"/>
      <c r="AD247" s="3"/>
      <c r="AE247" s="3"/>
      <c r="AF247" s="3" t="s">
        <v>625</v>
      </c>
      <c r="AG247" s="3" t="b">
        <v>1</v>
      </c>
      <c r="AH247" s="3" t="b">
        <v>1</v>
      </c>
      <c r="AI247" s="3" t="b">
        <v>1</v>
      </c>
      <c r="AJ247" s="3" t="b">
        <v>1</v>
      </c>
      <c r="AK247" s="3" t="b">
        <v>1</v>
      </c>
      <c r="AL247" s="3"/>
      <c r="AM247" s="3"/>
      <c r="AN247" s="3"/>
      <c r="AO247" s="3"/>
      <c r="AP247" s="3"/>
      <c r="AQ247" s="3" t="s">
        <v>626</v>
      </c>
      <c r="AR247" s="3" t="b">
        <v>1</v>
      </c>
      <c r="AS247" s="3" t="b">
        <v>0</v>
      </c>
      <c r="AT247" s="3" t="b">
        <v>0</v>
      </c>
      <c r="AU247" s="3" t="b">
        <v>0</v>
      </c>
      <c r="AV247" s="3" t="b">
        <v>0</v>
      </c>
      <c r="AW247" s="3" t="b">
        <f t="shared" si="6"/>
        <v>0</v>
      </c>
      <c r="AX247" s="3" t="b">
        <f t="shared" si="7"/>
        <v>0</v>
      </c>
      <c r="AY247" s="3" t="b">
        <f t="shared" si="8"/>
        <v>1</v>
      </c>
      <c r="AZ247" s="3" t="b">
        <f t="shared" si="9"/>
        <v>0</v>
      </c>
      <c r="BA247" s="3" t="b">
        <f t="shared" si="10"/>
        <v>0</v>
      </c>
      <c r="BB247" s="3" t="b">
        <f t="shared" si="11"/>
        <v>0</v>
      </c>
      <c r="BC247" s="3"/>
      <c r="BD247" s="3" t="s">
        <v>627</v>
      </c>
      <c r="BE247" s="3" t="b">
        <v>1</v>
      </c>
      <c r="BF247" s="3" t="b">
        <v>0</v>
      </c>
      <c r="BG247" s="3" t="b">
        <v>0</v>
      </c>
      <c r="BH247" s="3" t="b">
        <v>0</v>
      </c>
      <c r="BI247" s="3" t="b">
        <v>0</v>
      </c>
      <c r="BJ247" s="3"/>
      <c r="BK247" s="3"/>
      <c r="BL247" s="3"/>
      <c r="BM247" s="3"/>
      <c r="BN247" s="3"/>
      <c r="BO247" s="3" t="s">
        <v>626</v>
      </c>
      <c r="BP247" s="3" t="b">
        <v>1</v>
      </c>
      <c r="BQ247" s="3" t="b">
        <v>0</v>
      </c>
      <c r="BR247" s="3" t="b">
        <v>0</v>
      </c>
      <c r="BS247" s="3" t="b">
        <v>0</v>
      </c>
      <c r="BT247" s="3" t="b">
        <v>0</v>
      </c>
      <c r="BU247" s="3"/>
      <c r="BV247" s="3"/>
      <c r="BW247" s="3"/>
      <c r="BX247" s="3"/>
    </row>
    <row r="248" spans="1:76" x14ac:dyDescent="0.35">
      <c r="A248" s="3"/>
      <c r="B248" s="3" t="s">
        <v>206</v>
      </c>
      <c r="C248" s="3" t="s">
        <v>207</v>
      </c>
      <c r="D248" s="3" t="s">
        <v>208</v>
      </c>
      <c r="E248" s="3" t="s">
        <v>209</v>
      </c>
      <c r="F248" s="3"/>
      <c r="G248" s="3" t="s">
        <v>3701</v>
      </c>
      <c r="H248" s="3" t="s">
        <v>210</v>
      </c>
      <c r="I248" s="3" t="b">
        <v>1</v>
      </c>
      <c r="J248" s="3" t="b">
        <v>1</v>
      </c>
      <c r="K248" s="3" t="b">
        <v>0</v>
      </c>
      <c r="L248" s="3" t="b">
        <v>1</v>
      </c>
      <c r="M248" s="3" t="b">
        <v>1</v>
      </c>
      <c r="N248" s="3" t="b">
        <f t="shared" si="0"/>
        <v>0</v>
      </c>
      <c r="O248" s="3" t="b">
        <f t="shared" si="1"/>
        <v>0</v>
      </c>
      <c r="P248" s="3" t="b">
        <f t="shared" si="2"/>
        <v>0</v>
      </c>
      <c r="Q248" s="3" t="b">
        <f t="shared" si="3"/>
        <v>1</v>
      </c>
      <c r="R248" s="3" t="b">
        <f t="shared" si="4"/>
        <v>0</v>
      </c>
      <c r="S248" s="3" t="b">
        <f t="shared" si="5"/>
        <v>1</v>
      </c>
      <c r="U248" s="3" t="s">
        <v>628</v>
      </c>
      <c r="V248" s="3" t="b">
        <v>1</v>
      </c>
      <c r="W248" s="3" t="b">
        <v>1</v>
      </c>
      <c r="X248" s="3" t="b">
        <v>0</v>
      </c>
      <c r="Y248" s="3" t="b">
        <v>1</v>
      </c>
      <c r="Z248" s="3" t="b">
        <v>1</v>
      </c>
      <c r="AA248" s="3"/>
      <c r="AB248" s="3"/>
      <c r="AC248" s="3"/>
      <c r="AD248" s="3"/>
      <c r="AE248" s="3"/>
      <c r="AF248" s="3" t="s">
        <v>210</v>
      </c>
      <c r="AG248" s="3" t="b">
        <v>1</v>
      </c>
      <c r="AH248" s="3" t="b">
        <v>1</v>
      </c>
      <c r="AI248" s="3" t="b">
        <v>0</v>
      </c>
      <c r="AJ248" s="3" t="b">
        <v>1</v>
      </c>
      <c r="AK248" s="3" t="b">
        <v>1</v>
      </c>
      <c r="AL248" s="3"/>
      <c r="AM248" s="3"/>
      <c r="AN248" s="3"/>
      <c r="AO248" s="3"/>
      <c r="AP248" s="3"/>
      <c r="AQ248" s="3" t="s">
        <v>210</v>
      </c>
      <c r="AR248" s="3" t="b">
        <v>1</v>
      </c>
      <c r="AS248" s="3" t="b">
        <v>1</v>
      </c>
      <c r="AT248" s="3" t="b">
        <v>0</v>
      </c>
      <c r="AU248" s="3" t="b">
        <v>1</v>
      </c>
      <c r="AV248" s="3" t="b">
        <v>1</v>
      </c>
      <c r="AW248" s="3" t="b">
        <f t="shared" si="6"/>
        <v>0</v>
      </c>
      <c r="AX248" s="3" t="b">
        <f t="shared" si="7"/>
        <v>0</v>
      </c>
      <c r="AY248" s="3" t="b">
        <f t="shared" si="8"/>
        <v>0</v>
      </c>
      <c r="AZ248" s="3" t="b">
        <f t="shared" si="9"/>
        <v>1</v>
      </c>
      <c r="BA248" s="3" t="b">
        <f t="shared" si="10"/>
        <v>0</v>
      </c>
      <c r="BB248" s="3" t="b">
        <f t="shared" si="11"/>
        <v>1</v>
      </c>
      <c r="BC248" s="3"/>
      <c r="BD248" s="3" t="s">
        <v>210</v>
      </c>
      <c r="BE248" s="3" t="b">
        <v>1</v>
      </c>
      <c r="BF248" s="3" t="b">
        <v>1</v>
      </c>
      <c r="BG248" s="3" t="b">
        <v>0</v>
      </c>
      <c r="BH248" s="3" t="b">
        <v>1</v>
      </c>
      <c r="BI248" s="3" t="b">
        <v>1</v>
      </c>
      <c r="BJ248" s="3"/>
      <c r="BK248" s="3"/>
      <c r="BL248" s="3"/>
      <c r="BM248" s="3"/>
      <c r="BN248" s="3"/>
      <c r="BO248" s="3" t="s">
        <v>210</v>
      </c>
      <c r="BP248" s="3" t="b">
        <v>1</v>
      </c>
      <c r="BQ248" s="3" t="b">
        <v>1</v>
      </c>
      <c r="BR248" s="3" t="b">
        <v>0</v>
      </c>
      <c r="BS248" s="3" t="b">
        <v>1</v>
      </c>
      <c r="BT248" s="3" t="b">
        <v>1</v>
      </c>
      <c r="BU248" s="3"/>
      <c r="BV248" s="3"/>
      <c r="BW248" s="3"/>
      <c r="BX248" s="3"/>
    </row>
    <row r="249" spans="1:76" x14ac:dyDescent="0.35">
      <c r="A249" s="3"/>
      <c r="B249" s="3"/>
      <c r="C249" s="3"/>
      <c r="D249" s="3"/>
      <c r="E249" s="3"/>
      <c r="F249" s="3"/>
      <c r="G249" s="3"/>
      <c r="H249" s="3"/>
      <c r="I249" s="3"/>
      <c r="J249" s="3"/>
      <c r="K249" s="3"/>
      <c r="L249" s="3"/>
      <c r="M249" s="3"/>
      <c r="N249" s="3">
        <f t="shared" si="0"/>
        <v>0</v>
      </c>
      <c r="O249" s="3">
        <f t="shared" si="1"/>
        <v>0</v>
      </c>
      <c r="P249" s="3">
        <f t="shared" si="2"/>
        <v>0</v>
      </c>
      <c r="Q249" s="3">
        <f t="shared" si="3"/>
        <v>0</v>
      </c>
      <c r="R249" s="3">
        <f t="shared" si="4"/>
        <v>0</v>
      </c>
      <c r="S249" s="3">
        <f t="shared" si="5"/>
        <v>0</v>
      </c>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f t="shared" si="6"/>
        <v>0</v>
      </c>
      <c r="AX249" s="3">
        <f t="shared" si="7"/>
        <v>0</v>
      </c>
      <c r="AY249" s="3">
        <f t="shared" si="8"/>
        <v>0</v>
      </c>
      <c r="AZ249" s="3">
        <f t="shared" si="9"/>
        <v>0</v>
      </c>
      <c r="BA249" s="3">
        <f t="shared" si="10"/>
        <v>0</v>
      </c>
      <c r="BB249" s="3">
        <f t="shared" si="11"/>
        <v>0</v>
      </c>
      <c r="BC249" s="3"/>
      <c r="BD249" s="3"/>
      <c r="BE249" s="3"/>
      <c r="BF249" s="3"/>
      <c r="BG249" s="3"/>
      <c r="BH249" s="3"/>
      <c r="BI249" s="3"/>
      <c r="BJ249" s="3"/>
      <c r="BK249" s="3"/>
      <c r="BL249" s="3"/>
      <c r="BM249" s="3"/>
      <c r="BN249" s="3"/>
      <c r="BO249" s="3"/>
      <c r="BP249" s="3"/>
      <c r="BQ249" s="3"/>
      <c r="BR249" s="3"/>
      <c r="BS249" s="3"/>
      <c r="BT249" s="3"/>
      <c r="BU249" s="3"/>
      <c r="BV249" s="3"/>
      <c r="BW249" s="3"/>
      <c r="BX249" s="3"/>
    </row>
    <row r="250" spans="1:76" x14ac:dyDescent="0.35">
      <c r="A250" s="3" t="s">
        <v>629</v>
      </c>
      <c r="B250" s="3" t="s">
        <v>630</v>
      </c>
      <c r="C250" s="3" t="s">
        <v>631</v>
      </c>
      <c r="D250" s="3"/>
      <c r="E250" s="3"/>
      <c r="F250" s="3"/>
      <c r="G250" s="3" t="s">
        <v>3702</v>
      </c>
      <c r="H250" s="3" t="s">
        <v>633</v>
      </c>
      <c r="I250" s="3" t="b">
        <v>1</v>
      </c>
      <c r="J250" s="3" t="b">
        <v>1</v>
      </c>
      <c r="K250" s="3" t="b">
        <v>1</v>
      </c>
      <c r="L250" s="3" t="b">
        <v>1</v>
      </c>
      <c r="M250" s="3" t="b">
        <v>1</v>
      </c>
      <c r="N250" s="3" t="b">
        <f t="shared" si="0"/>
        <v>1</v>
      </c>
      <c r="O250" s="3" t="b">
        <f t="shared" si="1"/>
        <v>0</v>
      </c>
      <c r="P250" s="3" t="b">
        <f t="shared" si="2"/>
        <v>0</v>
      </c>
      <c r="Q250" s="3" t="b">
        <f t="shared" si="3"/>
        <v>0</v>
      </c>
      <c r="R250" s="3" t="b">
        <f t="shared" si="4"/>
        <v>0</v>
      </c>
      <c r="S250" s="3" t="b">
        <f t="shared" si="5"/>
        <v>0</v>
      </c>
      <c r="U250" s="3" t="s">
        <v>633</v>
      </c>
      <c r="V250" s="3" t="b">
        <v>1</v>
      </c>
      <c r="W250" s="3" t="b">
        <v>1</v>
      </c>
      <c r="X250" s="3" t="b">
        <v>1</v>
      </c>
      <c r="Y250" s="3" t="b">
        <v>1</v>
      </c>
      <c r="Z250" s="3" t="b">
        <v>1</v>
      </c>
      <c r="AA250" s="3"/>
      <c r="AB250" s="3"/>
      <c r="AC250" s="3"/>
      <c r="AD250" s="3"/>
      <c r="AE250" s="3"/>
      <c r="AF250" s="3" t="s">
        <v>633</v>
      </c>
      <c r="AG250" s="3" t="b">
        <v>1</v>
      </c>
      <c r="AH250" s="3" t="b">
        <v>1</v>
      </c>
      <c r="AI250" s="3" t="b">
        <v>1</v>
      </c>
      <c r="AJ250" s="3" t="b">
        <v>1</v>
      </c>
      <c r="AK250" s="3" t="b">
        <v>1</v>
      </c>
      <c r="AL250" s="3"/>
      <c r="AM250" s="3"/>
      <c r="AN250" s="3"/>
      <c r="AO250" s="3"/>
      <c r="AP250" s="3"/>
      <c r="AQ250" s="3" t="s">
        <v>633</v>
      </c>
      <c r="AR250" s="3" t="b">
        <v>1</v>
      </c>
      <c r="AS250" s="3" t="b">
        <v>1</v>
      </c>
      <c r="AT250" s="3" t="b">
        <v>1</v>
      </c>
      <c r="AU250" s="3" t="b">
        <v>1</v>
      </c>
      <c r="AV250" s="3" t="b">
        <v>1</v>
      </c>
      <c r="AW250" s="3" t="b">
        <f t="shared" si="6"/>
        <v>1</v>
      </c>
      <c r="AX250" s="3" t="b">
        <f t="shared" si="7"/>
        <v>0</v>
      </c>
      <c r="AY250" s="3" t="b">
        <f t="shared" si="8"/>
        <v>0</v>
      </c>
      <c r="AZ250" s="3" t="b">
        <f t="shared" si="9"/>
        <v>0</v>
      </c>
      <c r="BA250" s="3" t="b">
        <f t="shared" si="10"/>
        <v>0</v>
      </c>
      <c r="BB250" s="3" t="b">
        <f t="shared" si="11"/>
        <v>0</v>
      </c>
      <c r="BC250" s="3"/>
      <c r="BD250" s="3" t="s">
        <v>633</v>
      </c>
      <c r="BE250" s="3" t="b">
        <v>1</v>
      </c>
      <c r="BF250" s="3" t="b">
        <v>1</v>
      </c>
      <c r="BG250" s="3" t="b">
        <v>1</v>
      </c>
      <c r="BH250" s="3" t="b">
        <v>1</v>
      </c>
      <c r="BI250" s="3" t="b">
        <v>1</v>
      </c>
      <c r="BJ250" s="3"/>
      <c r="BK250" s="3"/>
      <c r="BL250" s="3"/>
      <c r="BM250" s="3"/>
      <c r="BN250" s="3"/>
      <c r="BO250" s="3" t="s">
        <v>633</v>
      </c>
      <c r="BP250" s="3" t="b">
        <v>1</v>
      </c>
      <c r="BQ250" s="3" t="b">
        <v>1</v>
      </c>
      <c r="BR250" s="3" t="b">
        <v>1</v>
      </c>
      <c r="BS250" s="3" t="b">
        <v>1</v>
      </c>
      <c r="BT250" s="3" t="b">
        <v>1</v>
      </c>
      <c r="BU250" s="3"/>
      <c r="BV250" s="3"/>
      <c r="BW250" s="3"/>
      <c r="BX250" s="3"/>
    </row>
    <row r="251" spans="1:76" x14ac:dyDescent="0.35">
      <c r="A251" s="3"/>
      <c r="B251" s="3"/>
      <c r="C251" s="3" t="s">
        <v>29</v>
      </c>
      <c r="D251" s="3"/>
      <c r="E251" s="3"/>
      <c r="F251" s="3"/>
      <c r="G251" s="3" t="s">
        <v>3703</v>
      </c>
      <c r="H251" s="3" t="s">
        <v>633</v>
      </c>
      <c r="I251" s="3" t="b">
        <v>1</v>
      </c>
      <c r="J251" s="3" t="b">
        <v>1</v>
      </c>
      <c r="K251" s="3" t="b">
        <v>1</v>
      </c>
      <c r="L251" s="3" t="b">
        <v>1</v>
      </c>
      <c r="M251" s="3" t="b">
        <v>1</v>
      </c>
      <c r="N251" s="3" t="b">
        <f t="shared" si="0"/>
        <v>1</v>
      </c>
      <c r="O251" s="3" t="b">
        <f t="shared" si="1"/>
        <v>0</v>
      </c>
      <c r="P251" s="3" t="b">
        <f t="shared" si="2"/>
        <v>0</v>
      </c>
      <c r="Q251" s="3" t="b">
        <f t="shared" si="3"/>
        <v>0</v>
      </c>
      <c r="R251" s="3" t="b">
        <f t="shared" si="4"/>
        <v>0</v>
      </c>
      <c r="S251" s="3" t="b">
        <f t="shared" si="5"/>
        <v>0</v>
      </c>
      <c r="U251" s="3" t="s">
        <v>635</v>
      </c>
      <c r="V251" s="3" t="b">
        <v>1</v>
      </c>
      <c r="W251" s="3" t="b">
        <v>1</v>
      </c>
      <c r="X251" s="3" t="b">
        <v>1</v>
      </c>
      <c r="Y251" s="3" t="b">
        <v>1</v>
      </c>
      <c r="Z251" s="3" t="b">
        <v>1</v>
      </c>
      <c r="AA251" s="3"/>
      <c r="AB251" s="3"/>
      <c r="AC251" s="3"/>
      <c r="AD251" s="3"/>
      <c r="AE251" s="3"/>
      <c r="AF251" s="3" t="s">
        <v>633</v>
      </c>
      <c r="AG251" s="3" t="b">
        <v>1</v>
      </c>
      <c r="AH251" s="3" t="b">
        <v>1</v>
      </c>
      <c r="AI251" s="3" t="b">
        <v>1</v>
      </c>
      <c r="AJ251" s="3" t="b">
        <v>1</v>
      </c>
      <c r="AK251" s="3" t="b">
        <v>1</v>
      </c>
      <c r="AL251" s="3"/>
      <c r="AM251" s="3"/>
      <c r="AN251" s="3"/>
      <c r="AO251" s="3"/>
      <c r="AP251" s="3"/>
      <c r="AQ251" s="3" t="s">
        <v>633</v>
      </c>
      <c r="AR251" s="3" t="b">
        <v>1</v>
      </c>
      <c r="AS251" s="3" t="b">
        <v>1</v>
      </c>
      <c r="AT251" s="3" t="b">
        <v>1</v>
      </c>
      <c r="AU251" s="3" t="b">
        <v>1</v>
      </c>
      <c r="AV251" s="3" t="b">
        <v>1</v>
      </c>
      <c r="AW251" s="3" t="b">
        <f t="shared" si="6"/>
        <v>1</v>
      </c>
      <c r="AX251" s="3" t="b">
        <f t="shared" si="7"/>
        <v>0</v>
      </c>
      <c r="AY251" s="3" t="b">
        <f t="shared" si="8"/>
        <v>0</v>
      </c>
      <c r="AZ251" s="3" t="b">
        <f t="shared" si="9"/>
        <v>0</v>
      </c>
      <c r="BA251" s="3" t="b">
        <f t="shared" si="10"/>
        <v>0</v>
      </c>
      <c r="BB251" s="3" t="b">
        <f t="shared" si="11"/>
        <v>0</v>
      </c>
      <c r="BC251" s="3"/>
      <c r="BD251" s="3" t="s">
        <v>633</v>
      </c>
      <c r="BE251" s="3" t="b">
        <v>1</v>
      </c>
      <c r="BF251" s="3" t="b">
        <v>1</v>
      </c>
      <c r="BG251" s="3" t="b">
        <v>1</v>
      </c>
      <c r="BH251" s="3" t="b">
        <v>1</v>
      </c>
      <c r="BI251" s="3" t="b">
        <v>1</v>
      </c>
      <c r="BJ251" s="3"/>
      <c r="BK251" s="3"/>
      <c r="BL251" s="3"/>
      <c r="BM251" s="3"/>
      <c r="BN251" s="3"/>
      <c r="BO251" s="3" t="s">
        <v>633</v>
      </c>
      <c r="BP251" s="3" t="b">
        <v>1</v>
      </c>
      <c r="BQ251" s="3" t="b">
        <v>1</v>
      </c>
      <c r="BR251" s="3" t="b">
        <v>1</v>
      </c>
      <c r="BS251" s="3" t="b">
        <v>1</v>
      </c>
      <c r="BT251" s="3" t="b">
        <v>1</v>
      </c>
      <c r="BU251" s="3"/>
      <c r="BV251" s="3"/>
      <c r="BW251" s="3"/>
      <c r="BX251" s="3"/>
    </row>
    <row r="252" spans="1:76" x14ac:dyDescent="0.35">
      <c r="A252" s="3"/>
      <c r="B252" s="3" t="s">
        <v>636</v>
      </c>
      <c r="C252" s="3"/>
      <c r="D252" s="3"/>
      <c r="E252" s="3"/>
      <c r="F252" s="3"/>
      <c r="G252" s="3"/>
      <c r="H252" s="3"/>
      <c r="I252" s="3"/>
      <c r="J252" s="3"/>
      <c r="K252" s="3"/>
      <c r="L252" s="3"/>
      <c r="M252" s="3"/>
      <c r="N252" s="3">
        <f t="shared" si="0"/>
        <v>0</v>
      </c>
      <c r="O252" s="3">
        <f t="shared" si="1"/>
        <v>0</v>
      </c>
      <c r="P252" s="3">
        <f t="shared" si="2"/>
        <v>0</v>
      </c>
      <c r="Q252" s="3">
        <f t="shared" si="3"/>
        <v>0</v>
      </c>
      <c r="R252" s="3">
        <f t="shared" si="4"/>
        <v>0</v>
      </c>
      <c r="S252" s="3">
        <f t="shared" si="5"/>
        <v>0</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f t="shared" si="6"/>
        <v>0</v>
      </c>
      <c r="AX252" s="3">
        <f t="shared" si="7"/>
        <v>0</v>
      </c>
      <c r="AY252" s="3">
        <f t="shared" si="8"/>
        <v>0</v>
      </c>
      <c r="AZ252" s="3">
        <f t="shared" si="9"/>
        <v>0</v>
      </c>
      <c r="BA252" s="3">
        <f t="shared" si="10"/>
        <v>0</v>
      </c>
      <c r="BB252" s="3">
        <f t="shared" si="11"/>
        <v>0</v>
      </c>
      <c r="BC252" s="3"/>
      <c r="BD252" s="3"/>
      <c r="BE252" s="3"/>
      <c r="BF252" s="3"/>
      <c r="BG252" s="3"/>
      <c r="BH252" s="3"/>
      <c r="BI252" s="3"/>
      <c r="BJ252" s="3"/>
      <c r="BK252" s="3"/>
      <c r="BL252" s="3"/>
      <c r="BM252" s="3"/>
      <c r="BN252" s="3"/>
      <c r="BO252" s="3"/>
      <c r="BP252" s="3"/>
      <c r="BQ252" s="3"/>
      <c r="BR252" s="3"/>
      <c r="BS252" s="3"/>
      <c r="BT252" s="3"/>
      <c r="BU252" s="3"/>
      <c r="BV252" s="3"/>
      <c r="BW252" s="3"/>
      <c r="BX252" s="3"/>
    </row>
    <row r="253" spans="1:76" x14ac:dyDescent="0.35">
      <c r="A253" s="3"/>
      <c r="B253" s="3" t="s">
        <v>254</v>
      </c>
      <c r="C253" s="3"/>
      <c r="D253" s="3"/>
      <c r="E253" s="3"/>
      <c r="F253" s="3"/>
      <c r="G253" s="3"/>
      <c r="H253" s="3"/>
      <c r="I253" s="3"/>
      <c r="J253" s="3"/>
      <c r="K253" s="3"/>
      <c r="L253" s="3"/>
      <c r="M253" s="3"/>
      <c r="N253" s="3">
        <f t="shared" si="0"/>
        <v>0</v>
      </c>
      <c r="O253" s="3">
        <f t="shared" si="1"/>
        <v>0</v>
      </c>
      <c r="P253" s="3">
        <f t="shared" si="2"/>
        <v>0</v>
      </c>
      <c r="Q253" s="3">
        <f t="shared" si="3"/>
        <v>0</v>
      </c>
      <c r="R253" s="3">
        <f t="shared" si="4"/>
        <v>0</v>
      </c>
      <c r="S253" s="3">
        <f t="shared" si="5"/>
        <v>0</v>
      </c>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f t="shared" si="6"/>
        <v>0</v>
      </c>
      <c r="AX253" s="3">
        <f t="shared" si="7"/>
        <v>0</v>
      </c>
      <c r="AY253" s="3">
        <f t="shared" si="8"/>
        <v>0</v>
      </c>
      <c r="AZ253" s="3">
        <f t="shared" si="9"/>
        <v>0</v>
      </c>
      <c r="BA253" s="3">
        <f t="shared" si="10"/>
        <v>0</v>
      </c>
      <c r="BB253" s="3">
        <f t="shared" si="11"/>
        <v>0</v>
      </c>
      <c r="BC253" s="3"/>
      <c r="BD253" s="3"/>
      <c r="BE253" s="3"/>
      <c r="BF253" s="3"/>
      <c r="BG253" s="3"/>
      <c r="BH253" s="3"/>
      <c r="BI253" s="3"/>
      <c r="BJ253" s="3"/>
      <c r="BK253" s="3"/>
      <c r="BL253" s="3"/>
      <c r="BM253" s="3"/>
      <c r="BN253" s="3"/>
      <c r="BO253" s="3"/>
      <c r="BP253" s="3"/>
      <c r="BQ253" s="3"/>
      <c r="BR253" s="3"/>
      <c r="BS253" s="3"/>
      <c r="BT253" s="3"/>
      <c r="BU253" s="3"/>
      <c r="BV253" s="3"/>
      <c r="BW253" s="3"/>
      <c r="BX253" s="3"/>
    </row>
    <row r="254" spans="1:76" x14ac:dyDescent="0.35">
      <c r="A254" s="3"/>
      <c r="B254" s="3" t="s">
        <v>264</v>
      </c>
      <c r="C254" s="3" t="s">
        <v>637</v>
      </c>
      <c r="D254" s="3" t="s">
        <v>638</v>
      </c>
      <c r="E254" s="3" t="s">
        <v>639</v>
      </c>
      <c r="F254" s="3"/>
      <c r="G254" s="3" t="s">
        <v>3704</v>
      </c>
      <c r="H254" s="3" t="s">
        <v>640</v>
      </c>
      <c r="I254" s="3" t="b">
        <v>1</v>
      </c>
      <c r="J254" s="3" t="b">
        <v>1</v>
      </c>
      <c r="K254" s="3" t="b">
        <v>1</v>
      </c>
      <c r="L254" s="3" t="b">
        <v>1</v>
      </c>
      <c r="M254" s="3" t="b">
        <v>0</v>
      </c>
      <c r="N254" s="3" t="b">
        <f t="shared" si="0"/>
        <v>0</v>
      </c>
      <c r="O254" s="3" t="b">
        <f t="shared" si="1"/>
        <v>1</v>
      </c>
      <c r="P254" s="3" t="b">
        <f t="shared" si="2"/>
        <v>0</v>
      </c>
      <c r="Q254" s="3" t="b">
        <f t="shared" si="3"/>
        <v>0</v>
      </c>
      <c r="R254" s="3" t="b">
        <f t="shared" si="4"/>
        <v>1</v>
      </c>
      <c r="S254" s="3" t="b">
        <f t="shared" si="5"/>
        <v>0</v>
      </c>
      <c r="U254" s="3" t="s">
        <v>641</v>
      </c>
      <c r="V254" s="3" t="b">
        <v>1</v>
      </c>
      <c r="W254" s="3" t="b">
        <v>1</v>
      </c>
      <c r="X254" s="3" t="b">
        <v>1</v>
      </c>
      <c r="Y254" s="3" t="b">
        <v>1</v>
      </c>
      <c r="Z254" s="3" t="b">
        <v>0</v>
      </c>
      <c r="AA254" s="3"/>
      <c r="AB254" s="3"/>
      <c r="AC254" s="3"/>
      <c r="AD254" s="3"/>
      <c r="AE254" s="3"/>
      <c r="AF254" s="3" t="s">
        <v>642</v>
      </c>
      <c r="AG254" s="3" t="b">
        <v>1</v>
      </c>
      <c r="AH254" s="3" t="b">
        <v>1</v>
      </c>
      <c r="AI254" s="3" t="b">
        <v>1</v>
      </c>
      <c r="AJ254" s="3" t="b">
        <v>1</v>
      </c>
      <c r="AK254" s="3" t="b">
        <v>0</v>
      </c>
      <c r="AL254" s="3"/>
      <c r="AM254" s="3"/>
      <c r="AN254" s="3"/>
      <c r="AO254" s="3"/>
      <c r="AP254" s="3"/>
      <c r="AQ254" s="3" t="s">
        <v>643</v>
      </c>
      <c r="AR254" s="3" t="b">
        <v>1</v>
      </c>
      <c r="AS254" s="3" t="b">
        <v>1</v>
      </c>
      <c r="AT254" s="3" t="b">
        <v>1</v>
      </c>
      <c r="AU254" s="3" t="b">
        <v>1</v>
      </c>
      <c r="AV254" s="3" t="b">
        <v>0</v>
      </c>
      <c r="AW254" s="3" t="b">
        <f t="shared" si="6"/>
        <v>0</v>
      </c>
      <c r="AX254" s="3" t="b">
        <f t="shared" si="7"/>
        <v>1</v>
      </c>
      <c r="AY254" s="3" t="b">
        <f t="shared" si="8"/>
        <v>0</v>
      </c>
      <c r="AZ254" s="3" t="b">
        <f t="shared" si="9"/>
        <v>0</v>
      </c>
      <c r="BA254" s="3" t="b">
        <f t="shared" si="10"/>
        <v>1</v>
      </c>
      <c r="BB254" s="3" t="b">
        <f t="shared" si="11"/>
        <v>0</v>
      </c>
      <c r="BC254" s="3"/>
      <c r="BD254" s="3" t="s">
        <v>643</v>
      </c>
      <c r="BE254" s="3" t="b">
        <v>1</v>
      </c>
      <c r="BF254" s="3" t="b">
        <v>1</v>
      </c>
      <c r="BG254" s="3" t="b">
        <v>1</v>
      </c>
      <c r="BH254" s="3" t="b">
        <v>1</v>
      </c>
      <c r="BI254" s="3" t="b">
        <v>0</v>
      </c>
      <c r="BJ254" s="3"/>
      <c r="BK254" s="3"/>
      <c r="BL254" s="3"/>
      <c r="BM254" s="3"/>
      <c r="BN254" s="3"/>
      <c r="BO254" s="3" t="s">
        <v>643</v>
      </c>
      <c r="BP254" s="3" t="b">
        <v>1</v>
      </c>
      <c r="BQ254" s="3" t="b">
        <v>1</v>
      </c>
      <c r="BR254" s="3" t="b">
        <v>1</v>
      </c>
      <c r="BS254" s="3" t="b">
        <v>1</v>
      </c>
      <c r="BT254" s="3" t="b">
        <v>0</v>
      </c>
      <c r="BU254" s="3"/>
      <c r="BV254" s="3"/>
      <c r="BW254" s="3"/>
      <c r="BX254" s="3"/>
    </row>
    <row r="255" spans="1:76" x14ac:dyDescent="0.35">
      <c r="A255" s="3"/>
      <c r="B255" s="3" t="s">
        <v>644</v>
      </c>
      <c r="C255" s="3" t="s">
        <v>645</v>
      </c>
      <c r="D255" s="3"/>
      <c r="E255" s="3"/>
      <c r="F255" s="3"/>
      <c r="G255" s="3" t="s">
        <v>3705</v>
      </c>
      <c r="H255" s="3" t="s">
        <v>647</v>
      </c>
      <c r="I255" s="3" t="b">
        <v>1</v>
      </c>
      <c r="J255" s="3" t="b">
        <v>1</v>
      </c>
      <c r="K255" s="3" t="b">
        <v>1</v>
      </c>
      <c r="L255" s="3" t="b">
        <v>1</v>
      </c>
      <c r="M255" s="3" t="b">
        <v>1</v>
      </c>
      <c r="N255" s="3" t="b">
        <f t="shared" si="0"/>
        <v>1</v>
      </c>
      <c r="O255" s="3" t="b">
        <f t="shared" si="1"/>
        <v>0</v>
      </c>
      <c r="P255" s="3" t="b">
        <f t="shared" si="2"/>
        <v>0</v>
      </c>
      <c r="Q255" s="3" t="b">
        <f t="shared" si="3"/>
        <v>0</v>
      </c>
      <c r="R255" s="3" t="b">
        <f t="shared" si="4"/>
        <v>0</v>
      </c>
      <c r="S255" s="3" t="b">
        <f t="shared" si="5"/>
        <v>0</v>
      </c>
      <c r="U255" s="3" t="s">
        <v>647</v>
      </c>
      <c r="V255" s="3" t="b">
        <v>1</v>
      </c>
      <c r="W255" s="3" t="b">
        <v>1</v>
      </c>
      <c r="X255" s="3" t="b">
        <v>1</v>
      </c>
      <c r="Y255" s="3" t="b">
        <v>1</v>
      </c>
      <c r="Z255" s="3" t="b">
        <v>1</v>
      </c>
      <c r="AA255" s="3"/>
      <c r="AB255" s="3"/>
      <c r="AC255" s="3"/>
      <c r="AD255" s="3"/>
      <c r="AE255" s="3"/>
      <c r="AF255" s="3" t="s">
        <v>647</v>
      </c>
      <c r="AG255" s="3" t="b">
        <v>1</v>
      </c>
      <c r="AH255" s="3" t="b">
        <v>1</v>
      </c>
      <c r="AI255" s="3" t="b">
        <v>1</v>
      </c>
      <c r="AJ255" s="3" t="b">
        <v>1</v>
      </c>
      <c r="AK255" s="3" t="b">
        <v>1</v>
      </c>
      <c r="AL255" s="3"/>
      <c r="AM255" s="3"/>
      <c r="AN255" s="3"/>
      <c r="AO255" s="3"/>
      <c r="AP255" s="3"/>
      <c r="AQ255" s="3" t="s">
        <v>647</v>
      </c>
      <c r="AR255" s="3" t="b">
        <v>1</v>
      </c>
      <c r="AS255" s="3" t="b">
        <v>1</v>
      </c>
      <c r="AT255" s="3" t="b">
        <v>1</v>
      </c>
      <c r="AU255" s="3" t="b">
        <v>1</v>
      </c>
      <c r="AV255" s="3" t="b">
        <v>1</v>
      </c>
      <c r="AW255" s="3" t="b">
        <f t="shared" si="6"/>
        <v>1</v>
      </c>
      <c r="AX255" s="3" t="b">
        <f t="shared" si="7"/>
        <v>0</v>
      </c>
      <c r="AY255" s="3" t="b">
        <f t="shared" si="8"/>
        <v>0</v>
      </c>
      <c r="AZ255" s="3" t="b">
        <f t="shared" si="9"/>
        <v>0</v>
      </c>
      <c r="BA255" s="3" t="b">
        <f t="shared" si="10"/>
        <v>0</v>
      </c>
      <c r="BB255" s="3" t="b">
        <f t="shared" si="11"/>
        <v>0</v>
      </c>
      <c r="BC255" s="3"/>
      <c r="BD255" s="3" t="s">
        <v>647</v>
      </c>
      <c r="BE255" s="3" t="b">
        <v>1</v>
      </c>
      <c r="BF255" s="3" t="b">
        <v>1</v>
      </c>
      <c r="BG255" s="3" t="b">
        <v>1</v>
      </c>
      <c r="BH255" s="3" t="b">
        <v>1</v>
      </c>
      <c r="BI255" s="3" t="b">
        <v>1</v>
      </c>
      <c r="BJ255" s="3"/>
      <c r="BK255" s="3"/>
      <c r="BL255" s="3"/>
      <c r="BM255" s="3"/>
      <c r="BN255" s="3"/>
      <c r="BO255" s="3" t="s">
        <v>647</v>
      </c>
      <c r="BP255" s="3" t="b">
        <v>1</v>
      </c>
      <c r="BQ255" s="3" t="b">
        <v>1</v>
      </c>
      <c r="BR255" s="3" t="b">
        <v>1</v>
      </c>
      <c r="BS255" s="3" t="b">
        <v>1</v>
      </c>
      <c r="BT255" s="3" t="b">
        <v>1</v>
      </c>
      <c r="BU255" s="3"/>
      <c r="BV255" s="3"/>
      <c r="BW255" s="3"/>
      <c r="BX255" s="3"/>
    </row>
    <row r="256" spans="1:76" x14ac:dyDescent="0.35">
      <c r="A256" s="3"/>
      <c r="B256" s="3"/>
      <c r="C256" s="3" t="s">
        <v>648</v>
      </c>
      <c r="D256" s="3"/>
      <c r="E256" s="3"/>
      <c r="F256" s="3"/>
      <c r="G256" s="3" t="s">
        <v>3706</v>
      </c>
      <c r="H256" s="3" t="s">
        <v>650</v>
      </c>
      <c r="I256" s="3" t="b">
        <v>1</v>
      </c>
      <c r="J256" s="3" t="b">
        <v>1</v>
      </c>
      <c r="K256" s="3" t="b">
        <v>1</v>
      </c>
      <c r="L256" s="3" t="b">
        <v>1</v>
      </c>
      <c r="M256" s="3" t="b">
        <v>1</v>
      </c>
      <c r="N256" s="3" t="b">
        <f t="shared" si="0"/>
        <v>1</v>
      </c>
      <c r="O256" s="3" t="b">
        <f t="shared" si="1"/>
        <v>0</v>
      </c>
      <c r="P256" s="3" t="b">
        <f t="shared" si="2"/>
        <v>0</v>
      </c>
      <c r="Q256" s="3" t="b">
        <f t="shared" si="3"/>
        <v>0</v>
      </c>
      <c r="R256" s="3" t="b">
        <f t="shared" si="4"/>
        <v>0</v>
      </c>
      <c r="S256" s="3" t="b">
        <f t="shared" si="5"/>
        <v>0</v>
      </c>
      <c r="U256" s="3" t="s">
        <v>651</v>
      </c>
      <c r="V256" s="3" t="b">
        <v>1</v>
      </c>
      <c r="W256" s="3" t="b">
        <v>1</v>
      </c>
      <c r="X256" s="3" t="b">
        <v>1</v>
      </c>
      <c r="Y256" s="3" t="b">
        <v>1</v>
      </c>
      <c r="Z256" s="3" t="b">
        <v>1</v>
      </c>
      <c r="AA256" s="3"/>
      <c r="AB256" s="3"/>
      <c r="AC256" s="3"/>
      <c r="AD256" s="3"/>
      <c r="AE256" s="3"/>
      <c r="AF256" s="3" t="s">
        <v>652</v>
      </c>
      <c r="AG256" s="3" t="b">
        <v>1</v>
      </c>
      <c r="AH256" s="3" t="b">
        <v>1</v>
      </c>
      <c r="AI256" s="3" t="b">
        <v>1</v>
      </c>
      <c r="AJ256" s="3" t="b">
        <v>1</v>
      </c>
      <c r="AK256" s="3" t="b">
        <v>1</v>
      </c>
      <c r="AL256" s="3"/>
      <c r="AM256" s="3"/>
      <c r="AN256" s="3"/>
      <c r="AO256" s="3"/>
      <c r="AP256" s="3"/>
      <c r="AQ256" s="3" t="s">
        <v>653</v>
      </c>
      <c r="AR256" s="3" t="b">
        <v>1</v>
      </c>
      <c r="AS256" s="3" t="b">
        <v>1</v>
      </c>
      <c r="AT256" s="3" t="b">
        <v>1</v>
      </c>
      <c r="AU256" s="3" t="b">
        <v>1</v>
      </c>
      <c r="AV256" s="3" t="b">
        <v>0</v>
      </c>
      <c r="AW256" s="3" t="b">
        <f t="shared" si="6"/>
        <v>0</v>
      </c>
      <c r="AX256" s="3" t="b">
        <f t="shared" si="7"/>
        <v>1</v>
      </c>
      <c r="AY256" s="3" t="b">
        <f t="shared" si="8"/>
        <v>0</v>
      </c>
      <c r="AZ256" s="3" t="b">
        <f t="shared" si="9"/>
        <v>0</v>
      </c>
      <c r="BA256" s="3" t="b">
        <f t="shared" si="10"/>
        <v>1</v>
      </c>
      <c r="BB256" s="3" t="b">
        <f t="shared" si="11"/>
        <v>0</v>
      </c>
      <c r="BC256" s="3"/>
      <c r="BD256" s="3" t="s">
        <v>654</v>
      </c>
      <c r="BE256" s="3" t="b">
        <v>1</v>
      </c>
      <c r="BF256" s="3" t="b">
        <v>0</v>
      </c>
      <c r="BG256" s="3" t="b">
        <v>0</v>
      </c>
      <c r="BH256" s="3" t="b">
        <v>1</v>
      </c>
      <c r="BI256" s="3" t="b">
        <v>0</v>
      </c>
      <c r="BJ256" s="3"/>
      <c r="BK256" s="3"/>
      <c r="BL256" s="3"/>
      <c r="BM256" s="3"/>
      <c r="BN256" s="3"/>
      <c r="BO256" s="3" t="s">
        <v>654</v>
      </c>
      <c r="BP256" s="3" t="b">
        <v>1</v>
      </c>
      <c r="BQ256" s="3" t="b">
        <v>0</v>
      </c>
      <c r="BR256" s="3" t="b">
        <v>0</v>
      </c>
      <c r="BS256" s="3" t="b">
        <v>1</v>
      </c>
      <c r="BT256" s="3" t="b">
        <v>0</v>
      </c>
      <c r="BU256" s="3"/>
      <c r="BV256" s="3"/>
      <c r="BW256" s="3"/>
      <c r="BX256" s="3"/>
    </row>
    <row r="257" spans="1:76" x14ac:dyDescent="0.35">
      <c r="A257" s="3"/>
      <c r="B257" s="3"/>
      <c r="C257" s="3"/>
      <c r="D257" s="3"/>
      <c r="E257" s="3"/>
      <c r="F257" s="3"/>
      <c r="G257" s="3"/>
      <c r="H257" s="3"/>
      <c r="I257" s="3"/>
      <c r="J257" s="3"/>
      <c r="K257" s="3"/>
      <c r="L257" s="3"/>
      <c r="M257" s="3"/>
      <c r="N257" s="3">
        <f t="shared" ref="N257:N511" si="12">IF(COUNTA(I257:M257)=0, ,AND(AND(I257,J257,K257,L257),M257))</f>
        <v>0</v>
      </c>
      <c r="O257" s="3">
        <f t="shared" ref="O257:O511" si="13">IF(COUNTA(I257:M257)=0, ,AND(AND(I257,J257,K257,L257),NOT(M257)))</f>
        <v>0</v>
      </c>
      <c r="P257" s="3">
        <f t="shared" ref="P257:P511" si="14">IF(COUNTA(I257:M257)=0, ,AND(NOT(AND(I257,J257,K257,L257)),NOT(M257)))</f>
        <v>0</v>
      </c>
      <c r="Q257" s="3">
        <f t="shared" ref="Q257:Q511" si="15">IF(COUNTA(I257:M257)=0, ,AND(NOT(AND(I257,J257,K257,L257)),M257))</f>
        <v>0</v>
      </c>
      <c r="R257" s="3">
        <f t="shared" ref="R257:R511" si="16">IF(COUNTA(I257:M257)=0, ,AND(AND(I257,J257,K257),NOT(M257)))</f>
        <v>0</v>
      </c>
      <c r="S257" s="3">
        <f t="shared" ref="S257:S511" si="17">IF(COUNTA(I257:M257)=0, ,AND(NOT(AND(I257,J257,K257)),M257))</f>
        <v>0</v>
      </c>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f t="shared" ref="AW257:AW511" si="18">IF(COUNTA(AR257:AV257)=0, ,AND(AND(AR257,AS257,AT257,AU257),AV257))</f>
        <v>0</v>
      </c>
      <c r="AX257" s="3">
        <f t="shared" ref="AX257:AX511" si="19">IF(COUNTA(AR257:AV257)=0, ,AND(AND(AR257,AS257,AT257,AU257),NOT(AV257)))</f>
        <v>0</v>
      </c>
      <c r="AY257" s="3">
        <f t="shared" ref="AY257:AY511" si="20">IF(COUNTA(AR257:AV257)=0, ,AND(NOT(AND(AR257,AS257,AT257,AU257)),NOT(AV257)))</f>
        <v>0</v>
      </c>
      <c r="AZ257" s="3">
        <f t="shared" ref="AZ257:AZ511" si="21">IF(COUNTA(AR257:AV257)=0, ,AND(NOT(AND(AR257,AS257,AT257,AU257)),AV257))</f>
        <v>0</v>
      </c>
      <c r="BA257" s="3">
        <f t="shared" ref="BA257:BA511" si="22">IF(COUNTA(AR257:AV257)=0, ,AND(AND(AR257,AS257,AT257),NOT(AV257)))</f>
        <v>0</v>
      </c>
      <c r="BB257" s="3">
        <f t="shared" ref="BB257:BB511" si="23">IF(COUNTA(AR257:AV257)=0, ,AND(NOT(AND(AR257,AS257,AT257)),AV257))</f>
        <v>0</v>
      </c>
      <c r="BC257" s="3"/>
      <c r="BD257" s="3"/>
      <c r="BE257" s="3"/>
      <c r="BF257" s="3"/>
      <c r="BG257" s="3"/>
      <c r="BH257" s="3"/>
      <c r="BI257" s="3"/>
      <c r="BJ257" s="3"/>
      <c r="BK257" s="3"/>
      <c r="BL257" s="3"/>
      <c r="BM257" s="3"/>
      <c r="BN257" s="3"/>
      <c r="BO257" s="3"/>
      <c r="BP257" s="3"/>
      <c r="BQ257" s="3"/>
      <c r="BR257" s="3"/>
      <c r="BS257" s="3"/>
      <c r="BT257" s="3"/>
      <c r="BU257" s="3"/>
      <c r="BV257" s="3"/>
      <c r="BW257" s="3"/>
      <c r="BX257" s="3"/>
    </row>
    <row r="258" spans="1:76" x14ac:dyDescent="0.35">
      <c r="A258" s="3" t="s">
        <v>655</v>
      </c>
      <c r="B258" s="3" t="s">
        <v>656</v>
      </c>
      <c r="C258" s="3" t="s">
        <v>25</v>
      </c>
      <c r="D258" s="3"/>
      <c r="E258" s="3"/>
      <c r="F258" s="3"/>
      <c r="G258" s="3" t="s">
        <v>3707</v>
      </c>
      <c r="H258" s="3" t="s">
        <v>28</v>
      </c>
      <c r="I258" s="3" t="b">
        <v>1</v>
      </c>
      <c r="J258" s="3" t="b">
        <v>1</v>
      </c>
      <c r="K258" s="3" t="b">
        <v>1</v>
      </c>
      <c r="L258" s="3" t="b">
        <v>1</v>
      </c>
      <c r="M258" s="3" t="b">
        <v>1</v>
      </c>
      <c r="N258" s="3" t="b">
        <f t="shared" si="12"/>
        <v>1</v>
      </c>
      <c r="O258" s="3" t="b">
        <f t="shared" si="13"/>
        <v>0</v>
      </c>
      <c r="P258" s="3" t="b">
        <f t="shared" si="14"/>
        <v>0</v>
      </c>
      <c r="Q258" s="3" t="b">
        <f t="shared" si="15"/>
        <v>0</v>
      </c>
      <c r="R258" s="3" t="b">
        <f t="shared" si="16"/>
        <v>0</v>
      </c>
      <c r="S258" s="3" t="b">
        <f t="shared" si="17"/>
        <v>0</v>
      </c>
      <c r="U258" s="3" t="s">
        <v>28</v>
      </c>
      <c r="V258" s="3" t="b">
        <v>1</v>
      </c>
      <c r="W258" s="3" t="b">
        <v>1</v>
      </c>
      <c r="X258" s="3" t="b">
        <v>1</v>
      </c>
      <c r="Y258" s="3" t="b">
        <v>1</v>
      </c>
      <c r="Z258" s="3" t="b">
        <v>1</v>
      </c>
      <c r="AA258" s="3"/>
      <c r="AB258" s="3"/>
      <c r="AC258" s="3"/>
      <c r="AD258" s="3"/>
      <c r="AE258" s="3"/>
      <c r="AF258" s="3" t="s">
        <v>28</v>
      </c>
      <c r="AG258" s="3" t="b">
        <v>1</v>
      </c>
      <c r="AH258" s="3" t="b">
        <v>1</v>
      </c>
      <c r="AI258" s="3" t="b">
        <v>1</v>
      </c>
      <c r="AJ258" s="3" t="b">
        <v>1</v>
      </c>
      <c r="AK258" s="3" t="b">
        <v>1</v>
      </c>
      <c r="AL258" s="3"/>
      <c r="AM258" s="3"/>
      <c r="AN258" s="3"/>
      <c r="AO258" s="3"/>
      <c r="AP258" s="3"/>
      <c r="AQ258" s="3" t="s">
        <v>28</v>
      </c>
      <c r="AR258" s="3" t="b">
        <v>1</v>
      </c>
      <c r="AS258" s="3" t="b">
        <v>1</v>
      </c>
      <c r="AT258" s="3" t="b">
        <v>1</v>
      </c>
      <c r="AU258" s="3" t="b">
        <v>1</v>
      </c>
      <c r="AV258" s="3" t="b">
        <v>1</v>
      </c>
      <c r="AW258" s="3" t="b">
        <f t="shared" si="18"/>
        <v>1</v>
      </c>
      <c r="AX258" s="3" t="b">
        <f t="shared" si="19"/>
        <v>0</v>
      </c>
      <c r="AY258" s="3" t="b">
        <f t="shared" si="20"/>
        <v>0</v>
      </c>
      <c r="AZ258" s="3" t="b">
        <f t="shared" si="21"/>
        <v>0</v>
      </c>
      <c r="BA258" s="3" t="b">
        <f t="shared" si="22"/>
        <v>0</v>
      </c>
      <c r="BB258" s="3" t="b">
        <f t="shared" si="23"/>
        <v>0</v>
      </c>
      <c r="BC258" s="3"/>
      <c r="BD258" s="3" t="s">
        <v>28</v>
      </c>
      <c r="BE258" s="3" t="b">
        <v>1</v>
      </c>
      <c r="BF258" s="3" t="b">
        <v>1</v>
      </c>
      <c r="BG258" s="3" t="b">
        <v>1</v>
      </c>
      <c r="BH258" s="3" t="b">
        <v>1</v>
      </c>
      <c r="BI258" s="3" t="b">
        <v>1</v>
      </c>
      <c r="BJ258" s="3"/>
      <c r="BK258" s="3"/>
      <c r="BL258" s="3"/>
      <c r="BM258" s="3"/>
      <c r="BN258" s="3"/>
      <c r="BO258" s="3" t="s">
        <v>28</v>
      </c>
      <c r="BP258" s="3" t="b">
        <v>1</v>
      </c>
      <c r="BQ258" s="3" t="b">
        <v>1</v>
      </c>
      <c r="BR258" s="3" t="b">
        <v>1</v>
      </c>
      <c r="BS258" s="3" t="b">
        <v>1</v>
      </c>
      <c r="BT258" s="3" t="b">
        <v>1</v>
      </c>
      <c r="BU258" s="3"/>
      <c r="BV258" s="3"/>
      <c r="BW258" s="3"/>
      <c r="BX258" s="3"/>
    </row>
    <row r="259" spans="1:76" x14ac:dyDescent="0.35">
      <c r="A259" s="3"/>
      <c r="B259" s="3"/>
      <c r="C259" s="3" t="s">
        <v>29</v>
      </c>
      <c r="D259" s="3"/>
      <c r="E259" s="3"/>
      <c r="F259" s="3"/>
      <c r="G259" s="3" t="s">
        <v>3708</v>
      </c>
      <c r="H259" s="3" t="s">
        <v>28</v>
      </c>
      <c r="I259" s="3" t="b">
        <v>1</v>
      </c>
      <c r="J259" s="3" t="b">
        <v>1</v>
      </c>
      <c r="K259" s="3" t="b">
        <v>1</v>
      </c>
      <c r="L259" s="3" t="b">
        <v>1</v>
      </c>
      <c r="M259" s="3" t="b">
        <v>1</v>
      </c>
      <c r="N259" s="3" t="b">
        <f t="shared" si="12"/>
        <v>1</v>
      </c>
      <c r="O259" s="3" t="b">
        <f t="shared" si="13"/>
        <v>0</v>
      </c>
      <c r="P259" s="3" t="b">
        <f t="shared" si="14"/>
        <v>0</v>
      </c>
      <c r="Q259" s="3" t="b">
        <f t="shared" si="15"/>
        <v>0</v>
      </c>
      <c r="R259" s="3" t="b">
        <f t="shared" si="16"/>
        <v>0</v>
      </c>
      <c r="S259" s="3" t="b">
        <f t="shared" si="17"/>
        <v>0</v>
      </c>
      <c r="U259" s="3" t="s">
        <v>28</v>
      </c>
      <c r="V259" s="3" t="b">
        <v>1</v>
      </c>
      <c r="W259" s="3" t="b">
        <v>1</v>
      </c>
      <c r="X259" s="3" t="b">
        <v>1</v>
      </c>
      <c r="Y259" s="3" t="b">
        <v>1</v>
      </c>
      <c r="Z259" s="3" t="b">
        <v>1</v>
      </c>
      <c r="AA259" s="3"/>
      <c r="AB259" s="3"/>
      <c r="AC259" s="3"/>
      <c r="AD259" s="3"/>
      <c r="AE259" s="3"/>
      <c r="AF259" s="3" t="s">
        <v>28</v>
      </c>
      <c r="AG259" s="3" t="b">
        <v>1</v>
      </c>
      <c r="AH259" s="3" t="b">
        <v>1</v>
      </c>
      <c r="AI259" s="3" t="b">
        <v>1</v>
      </c>
      <c r="AJ259" s="3" t="b">
        <v>1</v>
      </c>
      <c r="AK259" s="3" t="b">
        <v>1</v>
      </c>
      <c r="AL259" s="3"/>
      <c r="AM259" s="3"/>
      <c r="AN259" s="3"/>
      <c r="AO259" s="3"/>
      <c r="AP259" s="3"/>
      <c r="AQ259" s="3" t="s">
        <v>28</v>
      </c>
      <c r="AR259" s="3" t="b">
        <v>1</v>
      </c>
      <c r="AS259" s="3" t="b">
        <v>1</v>
      </c>
      <c r="AT259" s="3" t="b">
        <v>1</v>
      </c>
      <c r="AU259" s="3" t="b">
        <v>1</v>
      </c>
      <c r="AV259" s="3" t="b">
        <v>1</v>
      </c>
      <c r="AW259" s="3" t="b">
        <f t="shared" si="18"/>
        <v>1</v>
      </c>
      <c r="AX259" s="3" t="b">
        <f t="shared" si="19"/>
        <v>0</v>
      </c>
      <c r="AY259" s="3" t="b">
        <f t="shared" si="20"/>
        <v>0</v>
      </c>
      <c r="AZ259" s="3" t="b">
        <f t="shared" si="21"/>
        <v>0</v>
      </c>
      <c r="BA259" s="3" t="b">
        <f t="shared" si="22"/>
        <v>0</v>
      </c>
      <c r="BB259" s="3" t="b">
        <f t="shared" si="23"/>
        <v>0</v>
      </c>
      <c r="BC259" s="3"/>
      <c r="BD259" s="3" t="s">
        <v>28</v>
      </c>
      <c r="BE259" s="3" t="b">
        <v>1</v>
      </c>
      <c r="BF259" s="3" t="b">
        <v>1</v>
      </c>
      <c r="BG259" s="3" t="b">
        <v>1</v>
      </c>
      <c r="BH259" s="3" t="b">
        <v>1</v>
      </c>
      <c r="BI259" s="3" t="b">
        <v>1</v>
      </c>
      <c r="BJ259" s="3"/>
      <c r="BK259" s="3"/>
      <c r="BL259" s="3"/>
      <c r="BM259" s="3"/>
      <c r="BN259" s="3"/>
      <c r="BO259" s="3" t="s">
        <v>28</v>
      </c>
      <c r="BP259" s="3" t="b">
        <v>1</v>
      </c>
      <c r="BQ259" s="3" t="b">
        <v>1</v>
      </c>
      <c r="BR259" s="3" t="b">
        <v>1</v>
      </c>
      <c r="BS259" s="3" t="b">
        <v>1</v>
      </c>
      <c r="BT259" s="3" t="b">
        <v>1</v>
      </c>
      <c r="BU259" s="3"/>
      <c r="BV259" s="3"/>
      <c r="BW259" s="3"/>
      <c r="BX259" s="3"/>
    </row>
    <row r="260" spans="1:76" x14ac:dyDescent="0.35">
      <c r="A260" s="3"/>
      <c r="B260" s="3" t="s">
        <v>659</v>
      </c>
      <c r="C260" s="3" t="s">
        <v>33</v>
      </c>
      <c r="D260" s="3" t="s">
        <v>34</v>
      </c>
      <c r="E260" s="3" t="s">
        <v>35</v>
      </c>
      <c r="F260" s="3"/>
      <c r="G260" s="3" t="s">
        <v>3709</v>
      </c>
      <c r="H260" s="3" t="s">
        <v>37</v>
      </c>
      <c r="I260" s="3" t="b">
        <v>1</v>
      </c>
      <c r="J260" s="3" t="b">
        <v>1</v>
      </c>
      <c r="K260" s="3" t="b">
        <v>1</v>
      </c>
      <c r="L260" s="3" t="b">
        <v>1</v>
      </c>
      <c r="M260" s="3" t="b">
        <v>1</v>
      </c>
      <c r="N260" s="3" t="b">
        <f t="shared" si="12"/>
        <v>1</v>
      </c>
      <c r="O260" s="3" t="b">
        <f t="shared" si="13"/>
        <v>0</v>
      </c>
      <c r="P260" s="3" t="b">
        <f t="shared" si="14"/>
        <v>0</v>
      </c>
      <c r="Q260" s="3" t="b">
        <f t="shared" si="15"/>
        <v>0</v>
      </c>
      <c r="R260" s="3" t="b">
        <f t="shared" si="16"/>
        <v>0</v>
      </c>
      <c r="S260" s="3" t="b">
        <f t="shared" si="17"/>
        <v>0</v>
      </c>
      <c r="U260" s="3" t="s">
        <v>217</v>
      </c>
      <c r="V260" s="3" t="b">
        <v>1</v>
      </c>
      <c r="W260" s="3" t="b">
        <v>1</v>
      </c>
      <c r="X260" s="3" t="b">
        <v>1</v>
      </c>
      <c r="Y260" s="3" t="b">
        <v>1</v>
      </c>
      <c r="Z260" s="3" t="b">
        <v>1</v>
      </c>
      <c r="AA260" s="3"/>
      <c r="AB260" s="3"/>
      <c r="AC260" s="3"/>
      <c r="AD260" s="3"/>
      <c r="AE260" s="3"/>
      <c r="AF260" s="3" t="s">
        <v>217</v>
      </c>
      <c r="AG260" s="3" t="b">
        <v>1</v>
      </c>
      <c r="AH260" s="3" t="b">
        <v>1</v>
      </c>
      <c r="AI260" s="3" t="b">
        <v>1</v>
      </c>
      <c r="AJ260" s="3" t="b">
        <v>1</v>
      </c>
      <c r="AK260" s="3" t="b">
        <v>1</v>
      </c>
      <c r="AL260" s="3"/>
      <c r="AM260" s="3"/>
      <c r="AN260" s="3"/>
      <c r="AO260" s="3"/>
      <c r="AP260" s="3"/>
      <c r="AQ260" s="3" t="s">
        <v>37</v>
      </c>
      <c r="AR260" s="3" t="b">
        <v>1</v>
      </c>
      <c r="AS260" s="3" t="b">
        <v>1</v>
      </c>
      <c r="AT260" s="3" t="b">
        <v>1</v>
      </c>
      <c r="AU260" s="3" t="b">
        <v>1</v>
      </c>
      <c r="AV260" s="3" t="b">
        <v>1</v>
      </c>
      <c r="AW260" s="3" t="b">
        <f t="shared" si="18"/>
        <v>1</v>
      </c>
      <c r="AX260" s="3" t="b">
        <f t="shared" si="19"/>
        <v>0</v>
      </c>
      <c r="AY260" s="3" t="b">
        <f t="shared" si="20"/>
        <v>0</v>
      </c>
      <c r="AZ260" s="3" t="b">
        <f t="shared" si="21"/>
        <v>0</v>
      </c>
      <c r="BA260" s="3" t="b">
        <f t="shared" si="22"/>
        <v>0</v>
      </c>
      <c r="BB260" s="3" t="b">
        <f t="shared" si="23"/>
        <v>0</v>
      </c>
      <c r="BC260" s="3"/>
      <c r="BD260" s="3" t="s">
        <v>37</v>
      </c>
      <c r="BE260" s="3" t="b">
        <v>1</v>
      </c>
      <c r="BF260" s="3" t="b">
        <v>1</v>
      </c>
      <c r="BG260" s="3" t="b">
        <v>1</v>
      </c>
      <c r="BH260" s="3" t="b">
        <v>1</v>
      </c>
      <c r="BI260" s="3" t="b">
        <v>1</v>
      </c>
      <c r="BJ260" s="3"/>
      <c r="BK260" s="3"/>
      <c r="BL260" s="3"/>
      <c r="BM260" s="3"/>
      <c r="BN260" s="3"/>
      <c r="BO260" s="3" t="s">
        <v>37</v>
      </c>
      <c r="BP260" s="3" t="b">
        <v>1</v>
      </c>
      <c r="BQ260" s="3" t="b">
        <v>1</v>
      </c>
      <c r="BR260" s="3" t="b">
        <v>1</v>
      </c>
      <c r="BS260" s="3" t="b">
        <v>1</v>
      </c>
      <c r="BT260" s="3" t="b">
        <v>1</v>
      </c>
      <c r="BU260" s="3"/>
      <c r="BV260" s="3"/>
      <c r="BW260" s="3"/>
      <c r="BX260" s="3"/>
    </row>
    <row r="261" spans="1:76" x14ac:dyDescent="0.35">
      <c r="A261" s="3"/>
      <c r="B261" s="3" t="s">
        <v>661</v>
      </c>
      <c r="C261" s="3" t="s">
        <v>50</v>
      </c>
      <c r="D261" s="3" t="s">
        <v>51</v>
      </c>
      <c r="E261" s="3" t="s">
        <v>52</v>
      </c>
      <c r="F261" s="3"/>
      <c r="G261" s="3" t="s">
        <v>3710</v>
      </c>
      <c r="H261" s="3" t="s">
        <v>55</v>
      </c>
      <c r="I261" s="3" t="b">
        <v>1</v>
      </c>
      <c r="J261" s="3" t="b">
        <v>1</v>
      </c>
      <c r="K261" s="3" t="b">
        <v>1</v>
      </c>
      <c r="L261" s="3" t="b">
        <v>1</v>
      </c>
      <c r="M261" s="3" t="b">
        <v>1</v>
      </c>
      <c r="N261" s="3" t="b">
        <f t="shared" si="12"/>
        <v>1</v>
      </c>
      <c r="O261" s="3" t="b">
        <f t="shared" si="13"/>
        <v>0</v>
      </c>
      <c r="P261" s="3" t="b">
        <f t="shared" si="14"/>
        <v>0</v>
      </c>
      <c r="Q261" s="3" t="b">
        <f t="shared" si="15"/>
        <v>0</v>
      </c>
      <c r="R261" s="3" t="b">
        <f t="shared" si="16"/>
        <v>0</v>
      </c>
      <c r="S261" s="3" t="b">
        <f t="shared" si="17"/>
        <v>0</v>
      </c>
      <c r="U261" s="3" t="s">
        <v>54</v>
      </c>
      <c r="V261" s="3" t="b">
        <v>1</v>
      </c>
      <c r="W261" s="3" t="b">
        <v>1</v>
      </c>
      <c r="X261" s="3" t="b">
        <v>1</v>
      </c>
      <c r="Y261" s="3" t="b">
        <v>1</v>
      </c>
      <c r="Z261" s="3" t="b">
        <v>1</v>
      </c>
      <c r="AA261" s="3"/>
      <c r="AB261" s="3"/>
      <c r="AC261" s="3"/>
      <c r="AD261" s="3"/>
      <c r="AE261" s="3"/>
      <c r="AF261" s="3" t="s">
        <v>55</v>
      </c>
      <c r="AG261" s="3" t="b">
        <v>1</v>
      </c>
      <c r="AH261" s="3" t="b">
        <v>1</v>
      </c>
      <c r="AI261" s="3" t="b">
        <v>1</v>
      </c>
      <c r="AJ261" s="3" t="b">
        <v>1</v>
      </c>
      <c r="AK261" s="3" t="b">
        <v>1</v>
      </c>
      <c r="AL261" s="3"/>
      <c r="AM261" s="3"/>
      <c r="AN261" s="3"/>
      <c r="AO261" s="3"/>
      <c r="AP261" s="3"/>
      <c r="AQ261" s="3" t="s">
        <v>55</v>
      </c>
      <c r="AR261" s="3" t="b">
        <v>1</v>
      </c>
      <c r="AS261" s="3" t="b">
        <v>1</v>
      </c>
      <c r="AT261" s="3" t="b">
        <v>1</v>
      </c>
      <c r="AU261" s="3" t="b">
        <v>1</v>
      </c>
      <c r="AV261" s="3" t="b">
        <v>1</v>
      </c>
      <c r="AW261" s="3" t="b">
        <f t="shared" si="18"/>
        <v>1</v>
      </c>
      <c r="AX261" s="3" t="b">
        <f t="shared" si="19"/>
        <v>0</v>
      </c>
      <c r="AY261" s="3" t="b">
        <f t="shared" si="20"/>
        <v>0</v>
      </c>
      <c r="AZ261" s="3" t="b">
        <f t="shared" si="21"/>
        <v>0</v>
      </c>
      <c r="BA261" s="3" t="b">
        <f t="shared" si="22"/>
        <v>0</v>
      </c>
      <c r="BB261" s="3" t="b">
        <f t="shared" si="23"/>
        <v>0</v>
      </c>
      <c r="BC261" s="3"/>
      <c r="BD261" s="3" t="s">
        <v>55</v>
      </c>
      <c r="BE261" s="3" t="b">
        <v>1</v>
      </c>
      <c r="BF261" s="3" t="b">
        <v>1</v>
      </c>
      <c r="BG261" s="3" t="b">
        <v>1</v>
      </c>
      <c r="BH261" s="3" t="b">
        <v>1</v>
      </c>
      <c r="BI261" s="3" t="b">
        <v>1</v>
      </c>
      <c r="BJ261" s="3"/>
      <c r="BK261" s="3"/>
      <c r="BL261" s="3"/>
      <c r="BM261" s="3"/>
      <c r="BN261" s="3"/>
      <c r="BO261" s="3" t="s">
        <v>55</v>
      </c>
      <c r="BP261" s="3" t="b">
        <v>1</v>
      </c>
      <c r="BQ261" s="3" t="b">
        <v>1</v>
      </c>
      <c r="BR261" s="3" t="b">
        <v>1</v>
      </c>
      <c r="BS261" s="3" t="b">
        <v>1</v>
      </c>
      <c r="BT261" s="3" t="b">
        <v>1</v>
      </c>
      <c r="BU261" s="3"/>
      <c r="BV261" s="3"/>
      <c r="BW261" s="3"/>
      <c r="BX261" s="3"/>
    </row>
    <row r="262" spans="1:76" x14ac:dyDescent="0.35">
      <c r="A262" s="3"/>
      <c r="B262" s="3"/>
      <c r="C262" s="3" t="s">
        <v>57</v>
      </c>
      <c r="D262" s="3"/>
      <c r="E262" s="3"/>
      <c r="F262" s="3"/>
      <c r="G262" s="3" t="s">
        <v>3711</v>
      </c>
      <c r="H262" s="3" t="s">
        <v>299</v>
      </c>
      <c r="I262" s="3" t="b">
        <v>1</v>
      </c>
      <c r="J262" s="3" t="b">
        <v>1</v>
      </c>
      <c r="K262" s="3" t="b">
        <v>1</v>
      </c>
      <c r="L262" s="3" t="b">
        <v>1</v>
      </c>
      <c r="M262" s="3" t="b">
        <v>1</v>
      </c>
      <c r="N262" s="3" t="b">
        <f t="shared" si="12"/>
        <v>1</v>
      </c>
      <c r="O262" s="3" t="b">
        <f t="shared" si="13"/>
        <v>0</v>
      </c>
      <c r="P262" s="3" t="b">
        <f t="shared" si="14"/>
        <v>0</v>
      </c>
      <c r="Q262" s="3" t="b">
        <f t="shared" si="15"/>
        <v>0</v>
      </c>
      <c r="R262" s="3" t="b">
        <f t="shared" si="16"/>
        <v>0</v>
      </c>
      <c r="S262" s="3" t="b">
        <f t="shared" si="17"/>
        <v>0</v>
      </c>
      <c r="U262" s="3" t="s">
        <v>59</v>
      </c>
      <c r="V262" s="3" t="b">
        <v>1</v>
      </c>
      <c r="W262" s="3" t="b">
        <v>1</v>
      </c>
      <c r="X262" s="3" t="b">
        <v>1</v>
      </c>
      <c r="Y262" s="3" t="b">
        <v>1</v>
      </c>
      <c r="Z262" s="3" t="b">
        <v>1</v>
      </c>
      <c r="AA262" s="3"/>
      <c r="AB262" s="3"/>
      <c r="AC262" s="3"/>
      <c r="AD262" s="3"/>
      <c r="AE262" s="3"/>
      <c r="AF262" s="3" t="s">
        <v>59</v>
      </c>
      <c r="AG262" s="3" t="b">
        <v>1</v>
      </c>
      <c r="AH262" s="3" t="b">
        <v>1</v>
      </c>
      <c r="AI262" s="3" t="b">
        <v>1</v>
      </c>
      <c r="AJ262" s="3" t="b">
        <v>1</v>
      </c>
      <c r="AK262" s="3" t="b">
        <v>1</v>
      </c>
      <c r="AL262" s="3"/>
      <c r="AM262" s="3"/>
      <c r="AN262" s="3"/>
      <c r="AO262" s="3"/>
      <c r="AP262" s="3"/>
      <c r="AQ262" s="3" t="s">
        <v>59</v>
      </c>
      <c r="AR262" s="3" t="b">
        <v>1</v>
      </c>
      <c r="AS262" s="3" t="b">
        <v>1</v>
      </c>
      <c r="AT262" s="3" t="b">
        <v>1</v>
      </c>
      <c r="AU262" s="3" t="b">
        <v>1</v>
      </c>
      <c r="AV262" s="3" t="b">
        <v>1</v>
      </c>
      <c r="AW262" s="3" t="b">
        <f t="shared" si="18"/>
        <v>1</v>
      </c>
      <c r="AX262" s="3" t="b">
        <f t="shared" si="19"/>
        <v>0</v>
      </c>
      <c r="AY262" s="3" t="b">
        <f t="shared" si="20"/>
        <v>0</v>
      </c>
      <c r="AZ262" s="3" t="b">
        <f t="shared" si="21"/>
        <v>0</v>
      </c>
      <c r="BA262" s="3" t="b">
        <f t="shared" si="22"/>
        <v>0</v>
      </c>
      <c r="BB262" s="3" t="b">
        <f t="shared" si="23"/>
        <v>0</v>
      </c>
      <c r="BC262" s="3"/>
      <c r="BD262" s="3" t="s">
        <v>59</v>
      </c>
      <c r="BE262" s="3" t="b">
        <v>1</v>
      </c>
      <c r="BF262" s="3" t="b">
        <v>1</v>
      </c>
      <c r="BG262" s="3" t="b">
        <v>1</v>
      </c>
      <c r="BH262" s="3" t="b">
        <v>1</v>
      </c>
      <c r="BI262" s="3" t="b">
        <v>1</v>
      </c>
      <c r="BJ262" s="3"/>
      <c r="BK262" s="3"/>
      <c r="BL262" s="3"/>
      <c r="BM262" s="3"/>
      <c r="BN262" s="3"/>
      <c r="BO262" s="3" t="s">
        <v>59</v>
      </c>
      <c r="BP262" s="3" t="b">
        <v>1</v>
      </c>
      <c r="BQ262" s="3" t="b">
        <v>1</v>
      </c>
      <c r="BR262" s="3" t="b">
        <v>1</v>
      </c>
      <c r="BS262" s="3" t="b">
        <v>1</v>
      </c>
      <c r="BT262" s="3" t="b">
        <v>1</v>
      </c>
      <c r="BU262" s="3"/>
      <c r="BV262" s="3"/>
      <c r="BW262" s="3"/>
      <c r="BX262" s="3"/>
    </row>
    <row r="263" spans="1:76" x14ac:dyDescent="0.35">
      <c r="A263" s="3"/>
      <c r="B263" s="3" t="s">
        <v>664</v>
      </c>
      <c r="C263" s="3" t="s">
        <v>665</v>
      </c>
      <c r="D263" s="3" t="s">
        <v>51</v>
      </c>
      <c r="E263" s="3" t="s">
        <v>52</v>
      </c>
      <c r="F263" s="3"/>
      <c r="G263" s="3" t="s">
        <v>3712</v>
      </c>
      <c r="H263" s="3"/>
      <c r="I263" s="3" t="b">
        <v>1</v>
      </c>
      <c r="J263" s="3" t="b">
        <v>0</v>
      </c>
      <c r="K263" s="3" t="b">
        <v>0</v>
      </c>
      <c r="L263" s="3" t="b">
        <v>0</v>
      </c>
      <c r="M263" s="3" t="b">
        <v>0</v>
      </c>
      <c r="N263" s="3" t="b">
        <f t="shared" si="12"/>
        <v>0</v>
      </c>
      <c r="O263" s="3" t="b">
        <f t="shared" si="13"/>
        <v>0</v>
      </c>
      <c r="P263" s="3" t="b">
        <f t="shared" si="14"/>
        <v>1</v>
      </c>
      <c r="Q263" s="3" t="b">
        <f t="shared" si="15"/>
        <v>0</v>
      </c>
      <c r="R263" s="3" t="b">
        <f t="shared" si="16"/>
        <v>0</v>
      </c>
      <c r="S263" s="3" t="b">
        <f t="shared" si="17"/>
        <v>0</v>
      </c>
      <c r="U263" s="3" t="s">
        <v>667</v>
      </c>
      <c r="V263" s="3" t="b">
        <v>1</v>
      </c>
      <c r="W263" s="3" t="b">
        <v>1</v>
      </c>
      <c r="X263" s="3" t="b">
        <v>1</v>
      </c>
      <c r="Y263" s="3" t="b">
        <v>1</v>
      </c>
      <c r="Z263" s="3" t="b">
        <v>1</v>
      </c>
      <c r="AA263" s="3"/>
      <c r="AB263" s="3"/>
      <c r="AC263" s="3"/>
      <c r="AD263" s="3"/>
      <c r="AE263" s="3"/>
      <c r="AF263" s="3" t="s">
        <v>667</v>
      </c>
      <c r="AG263" s="3" t="b">
        <v>1</v>
      </c>
      <c r="AH263" s="3" t="b">
        <v>1</v>
      </c>
      <c r="AI263" s="3" t="b">
        <v>1</v>
      </c>
      <c r="AJ263" s="3" t="b">
        <v>1</v>
      </c>
      <c r="AK263" s="3" t="b">
        <v>1</v>
      </c>
      <c r="AL263" s="3"/>
      <c r="AM263" s="3"/>
      <c r="AN263" s="3"/>
      <c r="AO263" s="3"/>
      <c r="AP263" s="3"/>
      <c r="AQ263" s="3" t="s">
        <v>667</v>
      </c>
      <c r="AR263" s="3" t="b">
        <v>1</v>
      </c>
      <c r="AS263" s="3" t="b">
        <v>1</v>
      </c>
      <c r="AT263" s="3" t="b">
        <v>1</v>
      </c>
      <c r="AU263" s="3" t="b">
        <v>1</v>
      </c>
      <c r="AV263" s="3" t="b">
        <v>1</v>
      </c>
      <c r="AW263" s="3" t="b">
        <f t="shared" si="18"/>
        <v>1</v>
      </c>
      <c r="AX263" s="3" t="b">
        <f t="shared" si="19"/>
        <v>0</v>
      </c>
      <c r="AY263" s="3" t="b">
        <f t="shared" si="20"/>
        <v>0</v>
      </c>
      <c r="AZ263" s="3" t="b">
        <f t="shared" si="21"/>
        <v>0</v>
      </c>
      <c r="BA263" s="3" t="b">
        <f t="shared" si="22"/>
        <v>0</v>
      </c>
      <c r="BB263" s="3" t="b">
        <f t="shared" si="23"/>
        <v>0</v>
      </c>
      <c r="BC263" s="3"/>
      <c r="BD263" s="3" t="s">
        <v>668</v>
      </c>
      <c r="BE263" s="3" t="b">
        <v>1</v>
      </c>
      <c r="BF263" s="3" t="b">
        <v>1</v>
      </c>
      <c r="BG263" s="3" t="b">
        <v>1</v>
      </c>
      <c r="BH263" s="3" t="b">
        <v>1</v>
      </c>
      <c r="BI263" s="3" t="b">
        <v>1</v>
      </c>
      <c r="BJ263" s="3"/>
      <c r="BK263" s="3"/>
      <c r="BL263" s="3"/>
      <c r="BM263" s="3"/>
      <c r="BN263" s="3"/>
      <c r="BO263" s="3" t="s">
        <v>668</v>
      </c>
      <c r="BP263" s="3" t="b">
        <v>1</v>
      </c>
      <c r="BQ263" s="3" t="b">
        <v>1</v>
      </c>
      <c r="BR263" s="3" t="b">
        <v>1</v>
      </c>
      <c r="BS263" s="3" t="b">
        <v>1</v>
      </c>
      <c r="BT263" s="3" t="b">
        <v>1</v>
      </c>
      <c r="BU263" s="3"/>
      <c r="BV263" s="3"/>
      <c r="BW263" s="3"/>
      <c r="BX263" s="3"/>
    </row>
    <row r="264" spans="1:76" x14ac:dyDescent="0.35">
      <c r="A264" s="3"/>
      <c r="B264" s="3"/>
      <c r="C264" s="3" t="s">
        <v>669</v>
      </c>
      <c r="D264" s="3" t="s">
        <v>670</v>
      </c>
      <c r="E264" s="3" t="s">
        <v>671</v>
      </c>
      <c r="F264" s="3"/>
      <c r="G264" s="3" t="s">
        <v>3713</v>
      </c>
      <c r="H264" s="3" t="s">
        <v>673</v>
      </c>
      <c r="I264" s="3" t="b">
        <v>1</v>
      </c>
      <c r="J264" s="3" t="b">
        <v>1</v>
      </c>
      <c r="K264" s="3" t="b">
        <v>1</v>
      </c>
      <c r="L264" s="3" t="b">
        <v>1</v>
      </c>
      <c r="M264" s="3" t="b">
        <v>1</v>
      </c>
      <c r="N264" s="3" t="b">
        <f t="shared" si="12"/>
        <v>1</v>
      </c>
      <c r="O264" s="3" t="b">
        <f t="shared" si="13"/>
        <v>0</v>
      </c>
      <c r="P264" s="3" t="b">
        <f t="shared" si="14"/>
        <v>0</v>
      </c>
      <c r="Q264" s="3" t="b">
        <f t="shared" si="15"/>
        <v>0</v>
      </c>
      <c r="R264" s="3" t="b">
        <f t="shared" si="16"/>
        <v>0</v>
      </c>
      <c r="S264" s="3" t="b">
        <f t="shared" si="17"/>
        <v>0</v>
      </c>
      <c r="U264" s="3" t="s">
        <v>673</v>
      </c>
      <c r="V264" s="3" t="b">
        <v>1</v>
      </c>
      <c r="W264" s="3" t="b">
        <v>1</v>
      </c>
      <c r="X264" s="3" t="b">
        <v>1</v>
      </c>
      <c r="Y264" s="3" t="b">
        <v>1</v>
      </c>
      <c r="Z264" s="3" t="b">
        <v>1</v>
      </c>
      <c r="AA264" s="3"/>
      <c r="AB264" s="3"/>
      <c r="AC264" s="3"/>
      <c r="AD264" s="3"/>
      <c r="AE264" s="3"/>
      <c r="AF264" s="3" t="s">
        <v>673</v>
      </c>
      <c r="AG264" s="3" t="b">
        <v>1</v>
      </c>
      <c r="AH264" s="3" t="b">
        <v>1</v>
      </c>
      <c r="AI264" s="3" t="b">
        <v>1</v>
      </c>
      <c r="AJ264" s="3" t="b">
        <v>1</v>
      </c>
      <c r="AK264" s="3" t="b">
        <v>1</v>
      </c>
      <c r="AL264" s="3"/>
      <c r="AM264" s="3"/>
      <c r="AN264" s="3"/>
      <c r="AO264" s="3"/>
      <c r="AP264" s="3"/>
      <c r="AQ264" s="3" t="s">
        <v>673</v>
      </c>
      <c r="AR264" s="3" t="b">
        <v>1</v>
      </c>
      <c r="AS264" s="3" t="b">
        <v>1</v>
      </c>
      <c r="AT264" s="3" t="b">
        <v>1</v>
      </c>
      <c r="AU264" s="3" t="b">
        <v>1</v>
      </c>
      <c r="AV264" s="3" t="b">
        <v>1</v>
      </c>
      <c r="AW264" s="3" t="b">
        <f t="shared" si="18"/>
        <v>1</v>
      </c>
      <c r="AX264" s="3" t="b">
        <f t="shared" si="19"/>
        <v>0</v>
      </c>
      <c r="AY264" s="3" t="b">
        <f t="shared" si="20"/>
        <v>0</v>
      </c>
      <c r="AZ264" s="3" t="b">
        <f t="shared" si="21"/>
        <v>0</v>
      </c>
      <c r="BA264" s="3" t="b">
        <f t="shared" si="22"/>
        <v>0</v>
      </c>
      <c r="BB264" s="3" t="b">
        <f t="shared" si="23"/>
        <v>0</v>
      </c>
      <c r="BC264" s="3"/>
      <c r="BD264" s="3" t="s">
        <v>673</v>
      </c>
      <c r="BE264" s="3" t="b">
        <v>1</v>
      </c>
      <c r="BF264" s="3" t="b">
        <v>1</v>
      </c>
      <c r="BG264" s="3" t="b">
        <v>1</v>
      </c>
      <c r="BH264" s="3" t="b">
        <v>1</v>
      </c>
      <c r="BI264" s="3" t="b">
        <v>1</v>
      </c>
      <c r="BJ264" s="3"/>
      <c r="BK264" s="3"/>
      <c r="BL264" s="3"/>
      <c r="BM264" s="3"/>
      <c r="BN264" s="3"/>
      <c r="BO264" s="3" t="s">
        <v>674</v>
      </c>
      <c r="BP264" s="3" t="b">
        <v>1</v>
      </c>
      <c r="BQ264" s="3" t="b">
        <v>1</v>
      </c>
      <c r="BR264" s="3" t="b">
        <v>1</v>
      </c>
      <c r="BS264" s="3" t="b">
        <v>1</v>
      </c>
      <c r="BT264" s="3" t="b">
        <v>1</v>
      </c>
      <c r="BU264" s="3"/>
      <c r="BV264" s="3"/>
      <c r="BW264" s="3"/>
      <c r="BX264" s="3"/>
    </row>
    <row r="265" spans="1:76" x14ac:dyDescent="0.35">
      <c r="A265" s="3"/>
      <c r="B265" s="3" t="s">
        <v>60</v>
      </c>
      <c r="C265" s="3" t="s">
        <v>61</v>
      </c>
      <c r="D265" s="3"/>
      <c r="E265" s="3"/>
      <c r="F265" s="3"/>
      <c r="G265" s="3" t="s">
        <v>3714</v>
      </c>
      <c r="H265" s="3" t="s">
        <v>63</v>
      </c>
      <c r="I265" s="3" t="b">
        <v>1</v>
      </c>
      <c r="J265" s="3" t="b">
        <v>1</v>
      </c>
      <c r="K265" s="3" t="b">
        <v>1</v>
      </c>
      <c r="L265" s="3" t="b">
        <v>1</v>
      </c>
      <c r="M265" s="3" t="b">
        <v>1</v>
      </c>
      <c r="N265" s="3" t="b">
        <f t="shared" si="12"/>
        <v>1</v>
      </c>
      <c r="O265" s="3" t="b">
        <f t="shared" si="13"/>
        <v>0</v>
      </c>
      <c r="P265" s="3" t="b">
        <f t="shared" si="14"/>
        <v>0</v>
      </c>
      <c r="Q265" s="3" t="b">
        <f t="shared" si="15"/>
        <v>0</v>
      </c>
      <c r="R265" s="3" t="b">
        <f t="shared" si="16"/>
        <v>0</v>
      </c>
      <c r="S265" s="3" t="b">
        <f t="shared" si="17"/>
        <v>0</v>
      </c>
      <c r="U265" s="3" t="s">
        <v>63</v>
      </c>
      <c r="V265" s="3" t="b">
        <v>1</v>
      </c>
      <c r="W265" s="3" t="b">
        <v>1</v>
      </c>
      <c r="X265" s="3" t="b">
        <v>1</v>
      </c>
      <c r="Y265" s="3" t="b">
        <v>1</v>
      </c>
      <c r="Z265" s="3" t="b">
        <v>1</v>
      </c>
      <c r="AA265" s="3"/>
      <c r="AB265" s="3"/>
      <c r="AC265" s="3"/>
      <c r="AD265" s="3"/>
      <c r="AE265" s="3"/>
      <c r="AF265" s="3" t="s">
        <v>63</v>
      </c>
      <c r="AG265" s="3" t="b">
        <v>1</v>
      </c>
      <c r="AH265" s="3" t="b">
        <v>1</v>
      </c>
      <c r="AI265" s="3" t="b">
        <v>1</v>
      </c>
      <c r="AJ265" s="3" t="b">
        <v>1</v>
      </c>
      <c r="AK265" s="3" t="b">
        <v>1</v>
      </c>
      <c r="AL265" s="3"/>
      <c r="AM265" s="3"/>
      <c r="AN265" s="3"/>
      <c r="AO265" s="3"/>
      <c r="AP265" s="3"/>
      <c r="AQ265" s="3" t="s">
        <v>63</v>
      </c>
      <c r="AR265" s="3" t="b">
        <v>1</v>
      </c>
      <c r="AS265" s="3" t="b">
        <v>1</v>
      </c>
      <c r="AT265" s="3" t="b">
        <v>1</v>
      </c>
      <c r="AU265" s="3" t="b">
        <v>1</v>
      </c>
      <c r="AV265" s="3" t="b">
        <v>1</v>
      </c>
      <c r="AW265" s="3" t="b">
        <f t="shared" si="18"/>
        <v>1</v>
      </c>
      <c r="AX265" s="3" t="b">
        <f t="shared" si="19"/>
        <v>0</v>
      </c>
      <c r="AY265" s="3" t="b">
        <f t="shared" si="20"/>
        <v>0</v>
      </c>
      <c r="AZ265" s="3" t="b">
        <f t="shared" si="21"/>
        <v>0</v>
      </c>
      <c r="BA265" s="3" t="b">
        <f t="shared" si="22"/>
        <v>0</v>
      </c>
      <c r="BB265" s="3" t="b">
        <f t="shared" si="23"/>
        <v>0</v>
      </c>
      <c r="BC265" s="3"/>
      <c r="BD265" s="3" t="s">
        <v>63</v>
      </c>
      <c r="BE265" s="3" t="b">
        <v>1</v>
      </c>
      <c r="BF265" s="3" t="b">
        <v>1</v>
      </c>
      <c r="BG265" s="3" t="b">
        <v>1</v>
      </c>
      <c r="BH265" s="3" t="b">
        <v>1</v>
      </c>
      <c r="BI265" s="3" t="b">
        <v>1</v>
      </c>
      <c r="BJ265" s="3"/>
      <c r="BK265" s="3"/>
      <c r="BL265" s="3"/>
      <c r="BM265" s="3"/>
      <c r="BN265" s="3"/>
      <c r="BO265" s="3" t="s">
        <v>63</v>
      </c>
      <c r="BP265" s="3" t="b">
        <v>1</v>
      </c>
      <c r="BQ265" s="3" t="b">
        <v>1</v>
      </c>
      <c r="BR265" s="3" t="b">
        <v>1</v>
      </c>
      <c r="BS265" s="3" t="b">
        <v>1</v>
      </c>
      <c r="BT265" s="3" t="b">
        <v>1</v>
      </c>
      <c r="BU265" s="3"/>
      <c r="BV265" s="3"/>
      <c r="BW265" s="3"/>
      <c r="BX265" s="3"/>
    </row>
    <row r="266" spans="1:76" x14ac:dyDescent="0.35">
      <c r="A266" s="3"/>
      <c r="B266" s="3" t="s">
        <v>105</v>
      </c>
      <c r="C266" s="3" t="s">
        <v>25</v>
      </c>
      <c r="D266" s="3"/>
      <c r="E266" s="3"/>
      <c r="F266" s="3"/>
      <c r="G266" s="3" t="s">
        <v>3715</v>
      </c>
      <c r="H266" s="3" t="s">
        <v>28</v>
      </c>
      <c r="I266" s="3" t="b">
        <v>1</v>
      </c>
      <c r="J266" s="3" t="b">
        <v>1</v>
      </c>
      <c r="K266" s="3" t="b">
        <v>1</v>
      </c>
      <c r="L266" s="3" t="b">
        <v>1</v>
      </c>
      <c r="M266" s="3" t="b">
        <v>1</v>
      </c>
      <c r="N266" s="3" t="b">
        <f t="shared" si="12"/>
        <v>1</v>
      </c>
      <c r="O266" s="3" t="b">
        <f t="shared" si="13"/>
        <v>0</v>
      </c>
      <c r="P266" s="3" t="b">
        <f t="shared" si="14"/>
        <v>0</v>
      </c>
      <c r="Q266" s="3" t="b">
        <f t="shared" si="15"/>
        <v>0</v>
      </c>
      <c r="R266" s="3" t="b">
        <f t="shared" si="16"/>
        <v>0</v>
      </c>
      <c r="S266" s="3" t="b">
        <f t="shared" si="17"/>
        <v>0</v>
      </c>
      <c r="U266" s="3" t="s">
        <v>28</v>
      </c>
      <c r="V266" s="3" t="b">
        <v>1</v>
      </c>
      <c r="W266" s="3" t="b">
        <v>1</v>
      </c>
      <c r="X266" s="3" t="b">
        <v>1</v>
      </c>
      <c r="Y266" s="3" t="b">
        <v>1</v>
      </c>
      <c r="Z266" s="3" t="b">
        <v>1</v>
      </c>
      <c r="AA266" s="3"/>
      <c r="AB266" s="3"/>
      <c r="AC266" s="3"/>
      <c r="AD266" s="3"/>
      <c r="AE266" s="3"/>
      <c r="AF266" s="3" t="s">
        <v>28</v>
      </c>
      <c r="AG266" s="3" t="b">
        <v>1</v>
      </c>
      <c r="AH266" s="3" t="b">
        <v>1</v>
      </c>
      <c r="AI266" s="3" t="b">
        <v>1</v>
      </c>
      <c r="AJ266" s="3" t="b">
        <v>1</v>
      </c>
      <c r="AK266" s="3" t="b">
        <v>1</v>
      </c>
      <c r="AL266" s="3"/>
      <c r="AM266" s="3"/>
      <c r="AN266" s="3"/>
      <c r="AO266" s="3"/>
      <c r="AP266" s="3"/>
      <c r="AQ266" s="3" t="s">
        <v>28</v>
      </c>
      <c r="AR266" s="3" t="b">
        <v>1</v>
      </c>
      <c r="AS266" s="3" t="b">
        <v>1</v>
      </c>
      <c r="AT266" s="3" t="b">
        <v>1</v>
      </c>
      <c r="AU266" s="3" t="b">
        <v>1</v>
      </c>
      <c r="AV266" s="3" t="b">
        <v>1</v>
      </c>
      <c r="AW266" s="3" t="b">
        <f t="shared" si="18"/>
        <v>1</v>
      </c>
      <c r="AX266" s="3" t="b">
        <f t="shared" si="19"/>
        <v>0</v>
      </c>
      <c r="AY266" s="3" t="b">
        <f t="shared" si="20"/>
        <v>0</v>
      </c>
      <c r="AZ266" s="3" t="b">
        <f t="shared" si="21"/>
        <v>0</v>
      </c>
      <c r="BA266" s="3" t="b">
        <f t="shared" si="22"/>
        <v>0</v>
      </c>
      <c r="BB266" s="3" t="b">
        <f t="shared" si="23"/>
        <v>0</v>
      </c>
      <c r="BC266" s="3"/>
      <c r="BD266" s="3" t="s">
        <v>28</v>
      </c>
      <c r="BE266" s="3" t="b">
        <v>1</v>
      </c>
      <c r="BF266" s="3" t="b">
        <v>1</v>
      </c>
      <c r="BG266" s="3" t="b">
        <v>1</v>
      </c>
      <c r="BH266" s="3" t="b">
        <v>1</v>
      </c>
      <c r="BI266" s="3" t="b">
        <v>1</v>
      </c>
      <c r="BJ266" s="3"/>
      <c r="BK266" s="3"/>
      <c r="BL266" s="3"/>
      <c r="BM266" s="3"/>
      <c r="BN266" s="3"/>
      <c r="BO266" s="3" t="s">
        <v>28</v>
      </c>
      <c r="BP266" s="3" t="b">
        <v>1</v>
      </c>
      <c r="BQ266" s="3" t="b">
        <v>1</v>
      </c>
      <c r="BR266" s="3" t="b">
        <v>1</v>
      </c>
      <c r="BS266" s="3" t="b">
        <v>1</v>
      </c>
      <c r="BT266" s="3" t="b">
        <v>1</v>
      </c>
      <c r="BU266" s="3"/>
      <c r="BV266" s="3"/>
      <c r="BW266" s="3"/>
      <c r="BX266" s="3"/>
    </row>
    <row r="267" spans="1:76" x14ac:dyDescent="0.35">
      <c r="A267" s="3"/>
      <c r="B267" s="3"/>
      <c r="C267" s="3" t="s">
        <v>29</v>
      </c>
      <c r="D267" s="3"/>
      <c r="E267" s="3"/>
      <c r="F267" s="3"/>
      <c r="G267" s="3" t="s">
        <v>3716</v>
      </c>
      <c r="H267" s="3" t="s">
        <v>28</v>
      </c>
      <c r="I267" s="3" t="b">
        <v>1</v>
      </c>
      <c r="J267" s="3" t="b">
        <v>1</v>
      </c>
      <c r="K267" s="3" t="b">
        <v>1</v>
      </c>
      <c r="L267" s="3" t="b">
        <v>1</v>
      </c>
      <c r="M267" s="3" t="b">
        <v>1</v>
      </c>
      <c r="N267" s="3" t="b">
        <f t="shared" si="12"/>
        <v>1</v>
      </c>
      <c r="O267" s="3" t="b">
        <f t="shared" si="13"/>
        <v>0</v>
      </c>
      <c r="P267" s="3" t="b">
        <f t="shared" si="14"/>
        <v>0</v>
      </c>
      <c r="Q267" s="3" t="b">
        <f t="shared" si="15"/>
        <v>0</v>
      </c>
      <c r="R267" s="3" t="b">
        <f t="shared" si="16"/>
        <v>0</v>
      </c>
      <c r="S267" s="3" t="b">
        <f t="shared" si="17"/>
        <v>0</v>
      </c>
      <c r="U267" s="3" t="s">
        <v>28</v>
      </c>
      <c r="V267" s="3" t="b">
        <v>1</v>
      </c>
      <c r="W267" s="3" t="b">
        <v>1</v>
      </c>
      <c r="X267" s="3" t="b">
        <v>1</v>
      </c>
      <c r="Y267" s="3" t="b">
        <v>1</v>
      </c>
      <c r="Z267" s="3" t="b">
        <v>1</v>
      </c>
      <c r="AA267" s="3"/>
      <c r="AB267" s="3"/>
      <c r="AC267" s="3"/>
      <c r="AD267" s="3"/>
      <c r="AE267" s="3"/>
      <c r="AF267" s="3" t="s">
        <v>28</v>
      </c>
      <c r="AG267" s="3" t="b">
        <v>1</v>
      </c>
      <c r="AH267" s="3" t="b">
        <v>1</v>
      </c>
      <c r="AI267" s="3" t="b">
        <v>1</v>
      </c>
      <c r="AJ267" s="3" t="b">
        <v>1</v>
      </c>
      <c r="AK267" s="3" t="b">
        <v>1</v>
      </c>
      <c r="AL267" s="3"/>
      <c r="AM267" s="3"/>
      <c r="AN267" s="3"/>
      <c r="AO267" s="3"/>
      <c r="AP267" s="3"/>
      <c r="AQ267" s="3" t="s">
        <v>28</v>
      </c>
      <c r="AR267" s="3" t="b">
        <v>1</v>
      </c>
      <c r="AS267" s="3" t="b">
        <v>1</v>
      </c>
      <c r="AT267" s="3" t="b">
        <v>1</v>
      </c>
      <c r="AU267" s="3" t="b">
        <v>1</v>
      </c>
      <c r="AV267" s="3" t="b">
        <v>1</v>
      </c>
      <c r="AW267" s="3" t="b">
        <f t="shared" si="18"/>
        <v>1</v>
      </c>
      <c r="AX267" s="3" t="b">
        <f t="shared" si="19"/>
        <v>0</v>
      </c>
      <c r="AY267" s="3" t="b">
        <f t="shared" si="20"/>
        <v>0</v>
      </c>
      <c r="AZ267" s="3" t="b">
        <f t="shared" si="21"/>
        <v>0</v>
      </c>
      <c r="BA267" s="3" t="b">
        <f t="shared" si="22"/>
        <v>0</v>
      </c>
      <c r="BB267" s="3" t="b">
        <f t="shared" si="23"/>
        <v>0</v>
      </c>
      <c r="BC267" s="3"/>
      <c r="BD267" s="3" t="s">
        <v>28</v>
      </c>
      <c r="BE267" s="3" t="b">
        <v>1</v>
      </c>
      <c r="BF267" s="3" t="b">
        <v>1</v>
      </c>
      <c r="BG267" s="3" t="b">
        <v>1</v>
      </c>
      <c r="BH267" s="3" t="b">
        <v>1</v>
      </c>
      <c r="BI267" s="3" t="b">
        <v>1</v>
      </c>
      <c r="BJ267" s="3"/>
      <c r="BK267" s="3"/>
      <c r="BL267" s="3"/>
      <c r="BM267" s="3"/>
      <c r="BN267" s="3"/>
      <c r="BO267" s="3" t="s">
        <v>28</v>
      </c>
      <c r="BP267" s="3" t="b">
        <v>1</v>
      </c>
      <c r="BQ267" s="3" t="b">
        <v>1</v>
      </c>
      <c r="BR267" s="3" t="b">
        <v>1</v>
      </c>
      <c r="BS267" s="3" t="b">
        <v>1</v>
      </c>
      <c r="BT267" s="3" t="b">
        <v>1</v>
      </c>
      <c r="BU267" s="3"/>
      <c r="BV267" s="3"/>
      <c r="BW267" s="3"/>
      <c r="BX267" s="3"/>
    </row>
    <row r="268" spans="1:76" x14ac:dyDescent="0.35">
      <c r="A268" s="3"/>
      <c r="B268" s="3" t="s">
        <v>108</v>
      </c>
      <c r="C268" s="3" t="s">
        <v>109</v>
      </c>
      <c r="D268" s="3"/>
      <c r="E268" s="3"/>
      <c r="F268" s="3"/>
      <c r="G268" s="3" t="s">
        <v>3717</v>
      </c>
      <c r="H268" s="3" t="s">
        <v>111</v>
      </c>
      <c r="I268" s="3" t="b">
        <v>1</v>
      </c>
      <c r="J268" s="3" t="b">
        <v>1</v>
      </c>
      <c r="K268" s="3" t="b">
        <v>1</v>
      </c>
      <c r="L268" s="3" t="b">
        <v>1</v>
      </c>
      <c r="M268" s="3" t="b">
        <v>1</v>
      </c>
      <c r="N268" s="3" t="b">
        <f t="shared" si="12"/>
        <v>1</v>
      </c>
      <c r="O268" s="3" t="b">
        <f t="shared" si="13"/>
        <v>0</v>
      </c>
      <c r="P268" s="3" t="b">
        <f t="shared" si="14"/>
        <v>0</v>
      </c>
      <c r="Q268" s="3" t="b">
        <f t="shared" si="15"/>
        <v>0</v>
      </c>
      <c r="R268" s="3" t="b">
        <f t="shared" si="16"/>
        <v>0</v>
      </c>
      <c r="S268" s="3" t="b">
        <f t="shared" si="17"/>
        <v>0</v>
      </c>
      <c r="U268" s="3" t="s">
        <v>111</v>
      </c>
      <c r="V268" s="3" t="b">
        <v>1</v>
      </c>
      <c r="W268" s="3" t="b">
        <v>1</v>
      </c>
      <c r="X268" s="3" t="b">
        <v>1</v>
      </c>
      <c r="Y268" s="3" t="b">
        <v>1</v>
      </c>
      <c r="Z268" s="3" t="b">
        <v>1</v>
      </c>
      <c r="AA268" s="3"/>
      <c r="AB268" s="3"/>
      <c r="AC268" s="3"/>
      <c r="AD268" s="3"/>
      <c r="AE268" s="3"/>
      <c r="AF268" s="3" t="s">
        <v>111</v>
      </c>
      <c r="AG268" s="3" t="b">
        <v>1</v>
      </c>
      <c r="AH268" s="3" t="b">
        <v>1</v>
      </c>
      <c r="AI268" s="3" t="b">
        <v>1</v>
      </c>
      <c r="AJ268" s="3" t="b">
        <v>1</v>
      </c>
      <c r="AK268" s="3" t="b">
        <v>1</v>
      </c>
      <c r="AL268" s="3"/>
      <c r="AM268" s="3"/>
      <c r="AN268" s="3"/>
      <c r="AO268" s="3"/>
      <c r="AP268" s="3"/>
      <c r="AQ268" s="3" t="s">
        <v>112</v>
      </c>
      <c r="AR268" s="3" t="b">
        <v>1</v>
      </c>
      <c r="AS268" s="3" t="b">
        <v>1</v>
      </c>
      <c r="AT268" s="3" t="b">
        <v>1</v>
      </c>
      <c r="AU268" s="3" t="b">
        <v>1</v>
      </c>
      <c r="AV268" s="3" t="b">
        <v>1</v>
      </c>
      <c r="AW268" s="3" t="b">
        <f t="shared" si="18"/>
        <v>1</v>
      </c>
      <c r="AX268" s="3" t="b">
        <f t="shared" si="19"/>
        <v>0</v>
      </c>
      <c r="AY268" s="3" t="b">
        <f t="shared" si="20"/>
        <v>0</v>
      </c>
      <c r="AZ268" s="3" t="b">
        <f t="shared" si="21"/>
        <v>0</v>
      </c>
      <c r="BA268" s="3" t="b">
        <f t="shared" si="22"/>
        <v>0</v>
      </c>
      <c r="BB268" s="3" t="b">
        <f t="shared" si="23"/>
        <v>0</v>
      </c>
      <c r="BC268" s="3"/>
      <c r="BD268" s="3" t="s">
        <v>112</v>
      </c>
      <c r="BE268" s="3" t="b">
        <v>1</v>
      </c>
      <c r="BF268" s="3" t="b">
        <v>1</v>
      </c>
      <c r="BG268" s="3" t="b">
        <v>1</v>
      </c>
      <c r="BH268" s="3" t="b">
        <v>1</v>
      </c>
      <c r="BI268" s="3" t="b">
        <v>1</v>
      </c>
      <c r="BJ268" s="3"/>
      <c r="BK268" s="3"/>
      <c r="BL268" s="3"/>
      <c r="BM268" s="3"/>
      <c r="BN268" s="3"/>
      <c r="BO268" s="3" t="s">
        <v>112</v>
      </c>
      <c r="BP268" s="3" t="b">
        <v>1</v>
      </c>
      <c r="BQ268" s="3" t="b">
        <v>1</v>
      </c>
      <c r="BR268" s="3" t="b">
        <v>1</v>
      </c>
      <c r="BS268" s="3" t="b">
        <v>1</v>
      </c>
      <c r="BT268" s="3" t="b">
        <v>1</v>
      </c>
      <c r="BU268" s="3"/>
      <c r="BV268" s="3"/>
      <c r="BW268" s="3"/>
      <c r="BX268" s="3"/>
    </row>
    <row r="269" spans="1:76" x14ac:dyDescent="0.35">
      <c r="A269" s="3"/>
      <c r="B269" s="3"/>
      <c r="C269" s="3" t="s">
        <v>113</v>
      </c>
      <c r="D269" s="3"/>
      <c r="E269" s="3"/>
      <c r="F269" s="3"/>
      <c r="G269" s="3" t="s">
        <v>3718</v>
      </c>
      <c r="H269" s="3" t="s">
        <v>118</v>
      </c>
      <c r="I269" s="3" t="b">
        <v>1</v>
      </c>
      <c r="J269" s="3" t="b">
        <v>1</v>
      </c>
      <c r="K269" s="3" t="b">
        <v>1</v>
      </c>
      <c r="L269" s="3" t="b">
        <v>1</v>
      </c>
      <c r="M269" s="3" t="b">
        <v>1</v>
      </c>
      <c r="N269" s="3" t="b">
        <f t="shared" si="12"/>
        <v>1</v>
      </c>
      <c r="O269" s="3" t="b">
        <f t="shared" si="13"/>
        <v>0</v>
      </c>
      <c r="P269" s="3" t="b">
        <f t="shared" si="14"/>
        <v>0</v>
      </c>
      <c r="Q269" s="3" t="b">
        <f t="shared" si="15"/>
        <v>0</v>
      </c>
      <c r="R269" s="3" t="b">
        <f t="shared" si="16"/>
        <v>0</v>
      </c>
      <c r="S269" s="3" t="b">
        <f t="shared" si="17"/>
        <v>0</v>
      </c>
      <c r="U269" s="3" t="s">
        <v>118</v>
      </c>
      <c r="V269" s="3" t="b">
        <v>1</v>
      </c>
      <c r="W269" s="3" t="b">
        <v>1</v>
      </c>
      <c r="X269" s="3" t="b">
        <v>1</v>
      </c>
      <c r="Y269" s="3" t="b">
        <v>1</v>
      </c>
      <c r="Z269" s="3" t="b">
        <v>1</v>
      </c>
      <c r="AA269" s="3"/>
      <c r="AB269" s="3"/>
      <c r="AC269" s="3"/>
      <c r="AD269" s="3"/>
      <c r="AE269" s="3"/>
      <c r="AF269" s="3" t="s">
        <v>680</v>
      </c>
      <c r="AG269" s="3" t="b">
        <v>1</v>
      </c>
      <c r="AH269" s="3" t="b">
        <v>0</v>
      </c>
      <c r="AI269" s="3" t="b">
        <v>0</v>
      </c>
      <c r="AJ269" s="3" t="b">
        <v>1</v>
      </c>
      <c r="AK269" s="3" t="b">
        <v>0</v>
      </c>
      <c r="AL269" s="3"/>
      <c r="AM269" s="3"/>
      <c r="AN269" s="3"/>
      <c r="AO269" s="3"/>
      <c r="AP269" s="3"/>
      <c r="AQ269" s="3" t="s">
        <v>681</v>
      </c>
      <c r="AR269" s="3" t="b">
        <v>1</v>
      </c>
      <c r="AS269" s="3" t="b">
        <v>0</v>
      </c>
      <c r="AT269" s="3" t="b">
        <v>0</v>
      </c>
      <c r="AU269" s="3" t="b">
        <v>1</v>
      </c>
      <c r="AV269" s="3" t="b">
        <v>0</v>
      </c>
      <c r="AW269" s="3" t="b">
        <f t="shared" si="18"/>
        <v>0</v>
      </c>
      <c r="AX269" s="3" t="b">
        <f t="shared" si="19"/>
        <v>0</v>
      </c>
      <c r="AY269" s="3" t="b">
        <f t="shared" si="20"/>
        <v>1</v>
      </c>
      <c r="AZ269" s="3" t="b">
        <f t="shared" si="21"/>
        <v>0</v>
      </c>
      <c r="BA269" s="3" t="b">
        <f t="shared" si="22"/>
        <v>0</v>
      </c>
      <c r="BB269" s="3" t="b">
        <f t="shared" si="23"/>
        <v>0</v>
      </c>
      <c r="BC269" s="3"/>
      <c r="BD269" s="3" t="s">
        <v>118</v>
      </c>
      <c r="BE269" s="3" t="b">
        <v>1</v>
      </c>
      <c r="BF269" s="3" t="b">
        <v>1</v>
      </c>
      <c r="BG269" s="3" t="b">
        <v>1</v>
      </c>
      <c r="BH269" s="3" t="b">
        <v>1</v>
      </c>
      <c r="BI269" s="3" t="b">
        <v>1</v>
      </c>
      <c r="BJ269" s="3"/>
      <c r="BK269" s="3"/>
      <c r="BL269" s="3"/>
      <c r="BM269" s="3"/>
      <c r="BN269" s="3"/>
      <c r="BO269" s="3" t="s">
        <v>118</v>
      </c>
      <c r="BP269" s="3" t="b">
        <v>1</v>
      </c>
      <c r="BQ269" s="3" t="b">
        <v>1</v>
      </c>
      <c r="BR269" s="3" t="b">
        <v>1</v>
      </c>
      <c r="BS269" s="3" t="b">
        <v>1</v>
      </c>
      <c r="BT269" s="3" t="b">
        <v>1</v>
      </c>
      <c r="BU269" s="3"/>
      <c r="BV269" s="3"/>
      <c r="BW269" s="3"/>
      <c r="BX269" s="3"/>
    </row>
    <row r="270" spans="1:76" x14ac:dyDescent="0.35">
      <c r="A270" s="3"/>
      <c r="B270" s="3"/>
      <c r="C270" s="3" t="s">
        <v>682</v>
      </c>
      <c r="D270" s="3"/>
      <c r="E270" s="3"/>
      <c r="F270" s="3"/>
      <c r="G270" s="3" t="s">
        <v>3719</v>
      </c>
      <c r="H270" s="3" t="s">
        <v>684</v>
      </c>
      <c r="I270" s="3" t="b">
        <v>1</v>
      </c>
      <c r="J270" s="3" t="b">
        <v>1</v>
      </c>
      <c r="K270" s="3" t="b">
        <v>1</v>
      </c>
      <c r="L270" s="3" t="b">
        <v>1</v>
      </c>
      <c r="M270" s="3" t="b">
        <v>0</v>
      </c>
      <c r="N270" s="3" t="b">
        <f t="shared" si="12"/>
        <v>0</v>
      </c>
      <c r="O270" s="3" t="b">
        <f t="shared" si="13"/>
        <v>1</v>
      </c>
      <c r="P270" s="3" t="b">
        <f t="shared" si="14"/>
        <v>0</v>
      </c>
      <c r="Q270" s="3" t="b">
        <f t="shared" si="15"/>
        <v>0</v>
      </c>
      <c r="R270" s="3" t="b">
        <f t="shared" si="16"/>
        <v>1</v>
      </c>
      <c r="S270" s="3" t="b">
        <f t="shared" si="17"/>
        <v>0</v>
      </c>
      <c r="U270" s="3"/>
      <c r="V270" s="3" t="b">
        <v>1</v>
      </c>
      <c r="W270" s="3" t="b">
        <v>0</v>
      </c>
      <c r="X270" s="3" t="b">
        <v>0</v>
      </c>
      <c r="Y270" s="3" t="b">
        <v>0</v>
      </c>
      <c r="Z270" s="3" t="b">
        <v>0</v>
      </c>
      <c r="AA270" s="3"/>
      <c r="AB270" s="3"/>
      <c r="AC270" s="3"/>
      <c r="AD270" s="3"/>
      <c r="AE270" s="3"/>
      <c r="AF270" s="3" t="s">
        <v>684</v>
      </c>
      <c r="AG270" s="3" t="b">
        <v>1</v>
      </c>
      <c r="AH270" s="3" t="b">
        <v>1</v>
      </c>
      <c r="AI270" s="3" t="b">
        <v>1</v>
      </c>
      <c r="AJ270" s="3" t="b">
        <v>1</v>
      </c>
      <c r="AK270" s="3" t="b">
        <v>0</v>
      </c>
      <c r="AL270" s="3"/>
      <c r="AM270" s="3"/>
      <c r="AN270" s="3"/>
      <c r="AO270" s="3"/>
      <c r="AP270" s="3"/>
      <c r="AQ270" s="3" t="s">
        <v>240</v>
      </c>
      <c r="AR270" s="3" t="b">
        <v>1</v>
      </c>
      <c r="AS270" s="3" t="b">
        <v>1</v>
      </c>
      <c r="AT270" s="3" t="b">
        <v>1</v>
      </c>
      <c r="AU270" s="3" t="b">
        <v>1</v>
      </c>
      <c r="AV270" s="3" t="b">
        <v>0</v>
      </c>
      <c r="AW270" s="3" t="b">
        <f t="shared" si="18"/>
        <v>0</v>
      </c>
      <c r="AX270" s="3" t="b">
        <f t="shared" si="19"/>
        <v>1</v>
      </c>
      <c r="AY270" s="3" t="b">
        <f t="shared" si="20"/>
        <v>0</v>
      </c>
      <c r="AZ270" s="3" t="b">
        <f t="shared" si="21"/>
        <v>0</v>
      </c>
      <c r="BA270" s="3" t="b">
        <f t="shared" si="22"/>
        <v>1</v>
      </c>
      <c r="BB270" s="3" t="b">
        <f t="shared" si="23"/>
        <v>0</v>
      </c>
      <c r="BC270" s="3"/>
      <c r="BD270" s="3" t="s">
        <v>122</v>
      </c>
      <c r="BE270" s="3" t="b">
        <v>1</v>
      </c>
      <c r="BF270" s="3" t="b">
        <v>0</v>
      </c>
      <c r="BG270" s="3" t="b">
        <v>0</v>
      </c>
      <c r="BH270" s="3" t="b">
        <v>1</v>
      </c>
      <c r="BI270" s="3" t="b">
        <v>0</v>
      </c>
      <c r="BJ270" s="3"/>
      <c r="BK270" s="3"/>
      <c r="BL270" s="3"/>
      <c r="BM270" s="3"/>
      <c r="BN270" s="3"/>
      <c r="BO270" s="3" t="s">
        <v>240</v>
      </c>
      <c r="BP270" s="3" t="b">
        <v>1</v>
      </c>
      <c r="BQ270" s="3" t="b">
        <v>1</v>
      </c>
      <c r="BR270" s="3" t="b">
        <v>1</v>
      </c>
      <c r="BS270" s="3" t="b">
        <v>1</v>
      </c>
      <c r="BT270" s="3" t="b">
        <v>0</v>
      </c>
      <c r="BU270" s="3"/>
      <c r="BV270" s="3"/>
      <c r="BW270" s="3"/>
      <c r="BX270" s="3"/>
    </row>
    <row r="271" spans="1:76" x14ac:dyDescent="0.35">
      <c r="A271" s="3"/>
      <c r="B271" s="3"/>
      <c r="C271" s="3" t="s">
        <v>131</v>
      </c>
      <c r="D271" s="3"/>
      <c r="E271" s="3"/>
      <c r="F271" s="3"/>
      <c r="G271" s="3" t="s">
        <v>3720</v>
      </c>
      <c r="H271" s="3" t="s">
        <v>133</v>
      </c>
      <c r="I271" s="3" t="b">
        <v>1</v>
      </c>
      <c r="J271" s="3" t="b">
        <v>1</v>
      </c>
      <c r="K271" s="3" t="b">
        <v>1</v>
      </c>
      <c r="L271" s="3" t="b">
        <v>1</v>
      </c>
      <c r="M271" s="3" t="b">
        <v>1</v>
      </c>
      <c r="N271" s="3" t="b">
        <f t="shared" si="12"/>
        <v>1</v>
      </c>
      <c r="O271" s="3" t="b">
        <f t="shared" si="13"/>
        <v>0</v>
      </c>
      <c r="P271" s="3" t="b">
        <f t="shared" si="14"/>
        <v>0</v>
      </c>
      <c r="Q271" s="3" t="b">
        <f t="shared" si="15"/>
        <v>0</v>
      </c>
      <c r="R271" s="3" t="b">
        <f t="shared" si="16"/>
        <v>0</v>
      </c>
      <c r="S271" s="3" t="b">
        <f t="shared" si="17"/>
        <v>0</v>
      </c>
      <c r="U271" s="3" t="s">
        <v>133</v>
      </c>
      <c r="V271" s="3" t="b">
        <v>1</v>
      </c>
      <c r="W271" s="3" t="b">
        <v>1</v>
      </c>
      <c r="X271" s="3" t="b">
        <v>1</v>
      </c>
      <c r="Y271" s="3" t="b">
        <v>1</v>
      </c>
      <c r="Z271" s="3" t="b">
        <v>1</v>
      </c>
      <c r="AA271" s="3"/>
      <c r="AB271" s="3"/>
      <c r="AC271" s="3"/>
      <c r="AD271" s="3"/>
      <c r="AE271" s="3"/>
      <c r="AF271" s="3" t="s">
        <v>133</v>
      </c>
      <c r="AG271" s="3" t="b">
        <v>1</v>
      </c>
      <c r="AH271" s="3" t="b">
        <v>1</v>
      </c>
      <c r="AI271" s="3" t="b">
        <v>1</v>
      </c>
      <c r="AJ271" s="3" t="b">
        <v>1</v>
      </c>
      <c r="AK271" s="3" t="b">
        <v>1</v>
      </c>
      <c r="AL271" s="3"/>
      <c r="AM271" s="3"/>
      <c r="AN271" s="3"/>
      <c r="AO271" s="3"/>
      <c r="AP271" s="3"/>
      <c r="AQ271" s="3" t="s">
        <v>133</v>
      </c>
      <c r="AR271" s="3" t="b">
        <v>1</v>
      </c>
      <c r="AS271" s="3" t="b">
        <v>1</v>
      </c>
      <c r="AT271" s="3" t="b">
        <v>1</v>
      </c>
      <c r="AU271" s="3" t="b">
        <v>1</v>
      </c>
      <c r="AV271" s="3" t="b">
        <v>1</v>
      </c>
      <c r="AW271" s="3" t="b">
        <f t="shared" si="18"/>
        <v>1</v>
      </c>
      <c r="AX271" s="3" t="b">
        <f t="shared" si="19"/>
        <v>0</v>
      </c>
      <c r="AY271" s="3" t="b">
        <f t="shared" si="20"/>
        <v>0</v>
      </c>
      <c r="AZ271" s="3" t="b">
        <f t="shared" si="21"/>
        <v>0</v>
      </c>
      <c r="BA271" s="3" t="b">
        <f t="shared" si="22"/>
        <v>0</v>
      </c>
      <c r="BB271" s="3" t="b">
        <f t="shared" si="23"/>
        <v>0</v>
      </c>
      <c r="BC271" s="3"/>
      <c r="BD271" s="3" t="s">
        <v>133</v>
      </c>
      <c r="BE271" s="3" t="b">
        <v>1</v>
      </c>
      <c r="BF271" s="3" t="b">
        <v>1</v>
      </c>
      <c r="BG271" s="3" t="b">
        <v>1</v>
      </c>
      <c r="BH271" s="3" t="b">
        <v>1</v>
      </c>
      <c r="BI271" s="3" t="b">
        <v>1</v>
      </c>
      <c r="BJ271" s="3"/>
      <c r="BK271" s="3"/>
      <c r="BL271" s="3"/>
      <c r="BM271" s="3"/>
      <c r="BN271" s="3"/>
      <c r="BO271" s="3" t="s">
        <v>133</v>
      </c>
      <c r="BP271" s="3" t="b">
        <v>1</v>
      </c>
      <c r="BQ271" s="3" t="b">
        <v>1</v>
      </c>
      <c r="BR271" s="3" t="b">
        <v>1</v>
      </c>
      <c r="BS271" s="3" t="b">
        <v>1</v>
      </c>
      <c r="BT271" s="3" t="b">
        <v>1</v>
      </c>
      <c r="BU271" s="3"/>
      <c r="BV271" s="3"/>
      <c r="BW271" s="3"/>
      <c r="BX271" s="3"/>
    </row>
    <row r="272" spans="1:76" x14ac:dyDescent="0.35">
      <c r="A272" s="3"/>
      <c r="B272" s="3" t="s">
        <v>136</v>
      </c>
      <c r="C272" s="3"/>
      <c r="D272" s="3"/>
      <c r="E272" s="3"/>
      <c r="F272" s="3"/>
      <c r="G272" s="3"/>
      <c r="H272" s="3"/>
      <c r="I272" s="3"/>
      <c r="J272" s="3"/>
      <c r="K272" s="3"/>
      <c r="L272" s="3"/>
      <c r="M272" s="3"/>
      <c r="N272" s="3">
        <f t="shared" si="12"/>
        <v>0</v>
      </c>
      <c r="O272" s="3">
        <f t="shared" si="13"/>
        <v>0</v>
      </c>
      <c r="P272" s="3">
        <f t="shared" si="14"/>
        <v>0</v>
      </c>
      <c r="Q272" s="3">
        <f t="shared" si="15"/>
        <v>0</v>
      </c>
      <c r="R272" s="3">
        <f t="shared" si="16"/>
        <v>0</v>
      </c>
      <c r="S272" s="3">
        <f t="shared" si="17"/>
        <v>0</v>
      </c>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f t="shared" si="18"/>
        <v>0</v>
      </c>
      <c r="AX272" s="3">
        <f t="shared" si="19"/>
        <v>0</v>
      </c>
      <c r="AY272" s="3">
        <f t="shared" si="20"/>
        <v>0</v>
      </c>
      <c r="AZ272" s="3">
        <f t="shared" si="21"/>
        <v>0</v>
      </c>
      <c r="BA272" s="3">
        <f t="shared" si="22"/>
        <v>0</v>
      </c>
      <c r="BB272" s="3">
        <f t="shared" si="23"/>
        <v>0</v>
      </c>
      <c r="BC272" s="3"/>
      <c r="BD272" s="3"/>
      <c r="BE272" s="3"/>
      <c r="BF272" s="3"/>
      <c r="BG272" s="3"/>
      <c r="BH272" s="3"/>
      <c r="BI272" s="3"/>
      <c r="BJ272" s="3"/>
      <c r="BK272" s="3"/>
      <c r="BL272" s="3"/>
      <c r="BM272" s="3"/>
      <c r="BN272" s="3"/>
      <c r="BO272" s="3"/>
      <c r="BP272" s="3"/>
      <c r="BQ272" s="3"/>
      <c r="BR272" s="3"/>
      <c r="BS272" s="3"/>
      <c r="BT272" s="3"/>
      <c r="BU272" s="3"/>
      <c r="BV272" s="3"/>
      <c r="BW272" s="3"/>
      <c r="BX272" s="3"/>
    </row>
    <row r="273" spans="1:76" x14ac:dyDescent="0.35">
      <c r="A273" s="3"/>
      <c r="B273" s="5" t="s">
        <v>137</v>
      </c>
      <c r="C273" s="5" t="s">
        <v>131</v>
      </c>
      <c r="D273" s="3"/>
      <c r="E273" s="3"/>
      <c r="F273" s="3"/>
      <c r="G273" s="3"/>
      <c r="H273" s="3"/>
      <c r="I273" s="3"/>
      <c r="J273" s="3"/>
      <c r="K273" s="3"/>
      <c r="L273" s="3"/>
      <c r="M273" s="3"/>
      <c r="N273" s="3">
        <f t="shared" si="12"/>
        <v>0</v>
      </c>
      <c r="O273" s="3">
        <f t="shared" si="13"/>
        <v>0</v>
      </c>
      <c r="P273" s="3">
        <f t="shared" si="14"/>
        <v>0</v>
      </c>
      <c r="Q273" s="3">
        <f t="shared" si="15"/>
        <v>0</v>
      </c>
      <c r="R273" s="3">
        <f t="shared" si="16"/>
        <v>0</v>
      </c>
      <c r="S273" s="3">
        <f t="shared" si="17"/>
        <v>0</v>
      </c>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f t="shared" si="18"/>
        <v>0</v>
      </c>
      <c r="AX273" s="3">
        <f t="shared" si="19"/>
        <v>0</v>
      </c>
      <c r="AY273" s="3">
        <f t="shared" si="20"/>
        <v>0</v>
      </c>
      <c r="AZ273" s="3">
        <f t="shared" si="21"/>
        <v>0</v>
      </c>
      <c r="BA273" s="3">
        <f t="shared" si="22"/>
        <v>0</v>
      </c>
      <c r="BB273" s="3">
        <f t="shared" si="23"/>
        <v>0</v>
      </c>
      <c r="BC273" s="3"/>
      <c r="BD273" s="3"/>
      <c r="BE273" s="3"/>
      <c r="BF273" s="3"/>
      <c r="BG273" s="3"/>
      <c r="BH273" s="3"/>
      <c r="BI273" s="3"/>
      <c r="BJ273" s="3"/>
      <c r="BK273" s="3"/>
      <c r="BL273" s="3"/>
      <c r="BM273" s="3"/>
      <c r="BN273" s="3"/>
      <c r="BO273" s="3"/>
      <c r="BP273" s="3"/>
      <c r="BQ273" s="3"/>
      <c r="BR273" s="3"/>
      <c r="BS273" s="3"/>
      <c r="BT273" s="3"/>
      <c r="BU273" s="3"/>
      <c r="BV273" s="3"/>
      <c r="BW273" s="3"/>
      <c r="BX273" s="3"/>
    </row>
    <row r="274" spans="1:76" x14ac:dyDescent="0.35">
      <c r="A274" s="3"/>
      <c r="B274" s="3" t="s">
        <v>162</v>
      </c>
      <c r="C274" s="3" t="s">
        <v>163</v>
      </c>
      <c r="D274" s="3"/>
      <c r="E274" s="3"/>
      <c r="F274" s="3"/>
      <c r="G274" s="3" t="s">
        <v>3721</v>
      </c>
      <c r="H274" s="3" t="s">
        <v>165</v>
      </c>
      <c r="I274" s="3" t="b">
        <v>1</v>
      </c>
      <c r="J274" s="3" t="b">
        <v>1</v>
      </c>
      <c r="K274" s="3" t="b">
        <v>1</v>
      </c>
      <c r="L274" s="3" t="b">
        <v>1</v>
      </c>
      <c r="M274" s="3" t="b">
        <v>1</v>
      </c>
      <c r="N274" s="3" t="b">
        <f t="shared" si="12"/>
        <v>1</v>
      </c>
      <c r="O274" s="3" t="b">
        <f t="shared" si="13"/>
        <v>0</v>
      </c>
      <c r="P274" s="3" t="b">
        <f t="shared" si="14"/>
        <v>0</v>
      </c>
      <c r="Q274" s="3" t="b">
        <f t="shared" si="15"/>
        <v>0</v>
      </c>
      <c r="R274" s="3" t="b">
        <f t="shared" si="16"/>
        <v>0</v>
      </c>
      <c r="S274" s="3" t="b">
        <f t="shared" si="17"/>
        <v>0</v>
      </c>
      <c r="U274" s="3" t="s">
        <v>165</v>
      </c>
      <c r="V274" s="3" t="b">
        <v>1</v>
      </c>
      <c r="W274" s="3" t="b">
        <v>1</v>
      </c>
      <c r="X274" s="3" t="b">
        <v>1</v>
      </c>
      <c r="Y274" s="3" t="b">
        <v>1</v>
      </c>
      <c r="Z274" s="3" t="b">
        <v>1</v>
      </c>
      <c r="AA274" s="3"/>
      <c r="AB274" s="3"/>
      <c r="AC274" s="3"/>
      <c r="AD274" s="3"/>
      <c r="AE274" s="3"/>
      <c r="AF274" s="3" t="s">
        <v>165</v>
      </c>
      <c r="AG274" s="3" t="b">
        <v>1</v>
      </c>
      <c r="AH274" s="3" t="b">
        <v>1</v>
      </c>
      <c r="AI274" s="3" t="b">
        <v>1</v>
      </c>
      <c r="AJ274" s="3" t="b">
        <v>1</v>
      </c>
      <c r="AK274" s="3" t="b">
        <v>1</v>
      </c>
      <c r="AL274" s="3"/>
      <c r="AM274" s="3"/>
      <c r="AN274" s="3"/>
      <c r="AO274" s="3"/>
      <c r="AP274" s="3"/>
      <c r="AQ274" s="3" t="s">
        <v>166</v>
      </c>
      <c r="AR274" s="3" t="b">
        <v>1</v>
      </c>
      <c r="AS274" s="3" t="b">
        <v>1</v>
      </c>
      <c r="AT274" s="3" t="b">
        <v>1</v>
      </c>
      <c r="AU274" s="3" t="b">
        <v>1</v>
      </c>
      <c r="AV274" s="3" t="b">
        <v>1</v>
      </c>
      <c r="AW274" s="3" t="b">
        <f t="shared" si="18"/>
        <v>1</v>
      </c>
      <c r="AX274" s="3" t="b">
        <f t="shared" si="19"/>
        <v>0</v>
      </c>
      <c r="AY274" s="3" t="b">
        <f t="shared" si="20"/>
        <v>0</v>
      </c>
      <c r="AZ274" s="3" t="b">
        <f t="shared" si="21"/>
        <v>0</v>
      </c>
      <c r="BA274" s="3" t="b">
        <f t="shared" si="22"/>
        <v>0</v>
      </c>
      <c r="BB274" s="3" t="b">
        <f t="shared" si="23"/>
        <v>0</v>
      </c>
      <c r="BC274" s="3"/>
      <c r="BD274" s="3" t="s">
        <v>166</v>
      </c>
      <c r="BE274" s="3" t="b">
        <v>1</v>
      </c>
      <c r="BF274" s="3" t="b">
        <v>1</v>
      </c>
      <c r="BG274" s="3" t="b">
        <v>1</v>
      </c>
      <c r="BH274" s="3" t="b">
        <v>1</v>
      </c>
      <c r="BI274" s="3" t="b">
        <v>1</v>
      </c>
      <c r="BJ274" s="3"/>
      <c r="BK274" s="3"/>
      <c r="BL274" s="3"/>
      <c r="BM274" s="3"/>
      <c r="BN274" s="3"/>
      <c r="BO274" s="3" t="s">
        <v>166</v>
      </c>
      <c r="BP274" s="3" t="b">
        <v>1</v>
      </c>
      <c r="BQ274" s="3" t="b">
        <v>1</v>
      </c>
      <c r="BR274" s="3" t="b">
        <v>1</v>
      </c>
      <c r="BS274" s="3" t="b">
        <v>1</v>
      </c>
      <c r="BT274" s="3" t="b">
        <v>1</v>
      </c>
      <c r="BU274" s="3"/>
      <c r="BV274" s="3"/>
      <c r="BW274" s="3"/>
      <c r="BX274" s="3"/>
    </row>
    <row r="275" spans="1:76" x14ac:dyDescent="0.35">
      <c r="A275" s="3"/>
      <c r="B275" s="3"/>
      <c r="C275" s="3" t="s">
        <v>687</v>
      </c>
      <c r="D275" s="3"/>
      <c r="E275" s="3"/>
      <c r="F275" s="3"/>
      <c r="G275" s="3" t="s">
        <v>3722</v>
      </c>
      <c r="H275" s="3" t="s">
        <v>689</v>
      </c>
      <c r="I275" s="3" t="b">
        <v>1</v>
      </c>
      <c r="J275" s="3" t="b">
        <v>1</v>
      </c>
      <c r="K275" s="3" t="b">
        <v>1</v>
      </c>
      <c r="L275" s="3" t="b">
        <v>1</v>
      </c>
      <c r="M275" s="3" t="b">
        <v>1</v>
      </c>
      <c r="N275" s="3" t="b">
        <f t="shared" si="12"/>
        <v>1</v>
      </c>
      <c r="O275" s="3" t="b">
        <f t="shared" si="13"/>
        <v>0</v>
      </c>
      <c r="P275" s="3" t="b">
        <f t="shared" si="14"/>
        <v>0</v>
      </c>
      <c r="Q275" s="3" t="b">
        <f t="shared" si="15"/>
        <v>0</v>
      </c>
      <c r="R275" s="3" t="b">
        <f t="shared" si="16"/>
        <v>0</v>
      </c>
      <c r="S275" s="3" t="b">
        <f t="shared" si="17"/>
        <v>0</v>
      </c>
      <c r="U275" s="3" t="s">
        <v>689</v>
      </c>
      <c r="V275" s="3" t="b">
        <v>1</v>
      </c>
      <c r="W275" s="3" t="b">
        <v>1</v>
      </c>
      <c r="X275" s="3" t="b">
        <v>1</v>
      </c>
      <c r="Y275" s="3" t="b">
        <v>1</v>
      </c>
      <c r="Z275" s="3" t="b">
        <v>1</v>
      </c>
      <c r="AA275" s="3"/>
      <c r="AB275" s="3"/>
      <c r="AC275" s="3"/>
      <c r="AD275" s="3"/>
      <c r="AE275" s="3"/>
      <c r="AF275" s="3" t="s">
        <v>689</v>
      </c>
      <c r="AG275" s="3" t="b">
        <v>1</v>
      </c>
      <c r="AH275" s="3" t="b">
        <v>1</v>
      </c>
      <c r="AI275" s="3" t="b">
        <v>1</v>
      </c>
      <c r="AJ275" s="3" t="b">
        <v>1</v>
      </c>
      <c r="AK275" s="3" t="b">
        <v>1</v>
      </c>
      <c r="AL275" s="3"/>
      <c r="AM275" s="3"/>
      <c r="AN275" s="3"/>
      <c r="AO275" s="3"/>
      <c r="AP275" s="3"/>
      <c r="AQ275" s="3" t="s">
        <v>689</v>
      </c>
      <c r="AR275" s="3" t="b">
        <v>1</v>
      </c>
      <c r="AS275" s="3" t="b">
        <v>1</v>
      </c>
      <c r="AT275" s="3" t="b">
        <v>1</v>
      </c>
      <c r="AU275" s="3" t="b">
        <v>1</v>
      </c>
      <c r="AV275" s="3" t="b">
        <v>1</v>
      </c>
      <c r="AW275" s="3" t="b">
        <f t="shared" si="18"/>
        <v>1</v>
      </c>
      <c r="AX275" s="3" t="b">
        <f t="shared" si="19"/>
        <v>0</v>
      </c>
      <c r="AY275" s="3" t="b">
        <f t="shared" si="20"/>
        <v>0</v>
      </c>
      <c r="AZ275" s="3" t="b">
        <f t="shared" si="21"/>
        <v>0</v>
      </c>
      <c r="BA275" s="3" t="b">
        <f t="shared" si="22"/>
        <v>0</v>
      </c>
      <c r="BB275" s="3" t="b">
        <f t="shared" si="23"/>
        <v>0</v>
      </c>
      <c r="BC275" s="3"/>
      <c r="BD275" s="3" t="s">
        <v>689</v>
      </c>
      <c r="BE275" s="3" t="b">
        <v>1</v>
      </c>
      <c r="BF275" s="3" t="b">
        <v>1</v>
      </c>
      <c r="BG275" s="3" t="b">
        <v>1</v>
      </c>
      <c r="BH275" s="3" t="b">
        <v>1</v>
      </c>
      <c r="BI275" s="3" t="b">
        <v>1</v>
      </c>
      <c r="BJ275" s="3"/>
      <c r="BK275" s="3"/>
      <c r="BL275" s="3"/>
      <c r="BM275" s="3"/>
      <c r="BN275" s="3"/>
      <c r="BO275" s="3" t="s">
        <v>689</v>
      </c>
      <c r="BP275" s="3" t="b">
        <v>1</v>
      </c>
      <c r="BQ275" s="3" t="b">
        <v>1</v>
      </c>
      <c r="BR275" s="3" t="b">
        <v>1</v>
      </c>
      <c r="BS275" s="3" t="b">
        <v>1</v>
      </c>
      <c r="BT275" s="3" t="b">
        <v>1</v>
      </c>
      <c r="BU275" s="3"/>
      <c r="BV275" s="3"/>
      <c r="BW275" s="3"/>
      <c r="BX275" s="3"/>
    </row>
    <row r="276" spans="1:76" x14ac:dyDescent="0.35">
      <c r="A276" s="3"/>
      <c r="B276" s="3" t="s">
        <v>188</v>
      </c>
      <c r="C276" s="3"/>
      <c r="D276" s="3"/>
      <c r="E276" s="3"/>
      <c r="F276" s="3"/>
      <c r="G276" s="3"/>
      <c r="H276" s="3"/>
      <c r="I276" s="3"/>
      <c r="J276" s="3"/>
      <c r="K276" s="3"/>
      <c r="L276" s="3"/>
      <c r="M276" s="3"/>
      <c r="N276" s="3">
        <f t="shared" si="12"/>
        <v>0</v>
      </c>
      <c r="O276" s="3">
        <f t="shared" si="13"/>
        <v>0</v>
      </c>
      <c r="P276" s="3">
        <f t="shared" si="14"/>
        <v>0</v>
      </c>
      <c r="Q276" s="3">
        <f t="shared" si="15"/>
        <v>0</v>
      </c>
      <c r="R276" s="3">
        <f t="shared" si="16"/>
        <v>0</v>
      </c>
      <c r="S276" s="3">
        <f t="shared" si="17"/>
        <v>0</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f t="shared" si="18"/>
        <v>0</v>
      </c>
      <c r="AX276" s="3">
        <f t="shared" si="19"/>
        <v>0</v>
      </c>
      <c r="AY276" s="3">
        <f t="shared" si="20"/>
        <v>0</v>
      </c>
      <c r="AZ276" s="3">
        <f t="shared" si="21"/>
        <v>0</v>
      </c>
      <c r="BA276" s="3">
        <f t="shared" si="22"/>
        <v>0</v>
      </c>
      <c r="BB276" s="3">
        <f t="shared" si="23"/>
        <v>0</v>
      </c>
      <c r="BC276" s="3"/>
      <c r="BD276" s="3"/>
      <c r="BE276" s="3"/>
      <c r="BF276" s="3"/>
      <c r="BG276" s="3"/>
      <c r="BH276" s="3"/>
      <c r="BI276" s="3"/>
      <c r="BJ276" s="3"/>
      <c r="BK276" s="3"/>
      <c r="BL276" s="3"/>
      <c r="BM276" s="3"/>
      <c r="BN276" s="3"/>
      <c r="BO276" s="3"/>
      <c r="BP276" s="3"/>
      <c r="BQ276" s="3"/>
      <c r="BR276" s="3"/>
      <c r="BS276" s="3"/>
      <c r="BT276" s="3"/>
      <c r="BU276" s="3"/>
      <c r="BV276" s="3"/>
      <c r="BW276" s="3"/>
      <c r="BX276" s="3"/>
    </row>
    <row r="277" spans="1:76" x14ac:dyDescent="0.35">
      <c r="A277" s="3"/>
      <c r="B277" s="5" t="s">
        <v>189</v>
      </c>
      <c r="C277" s="5" t="s">
        <v>131</v>
      </c>
      <c r="D277" s="3"/>
      <c r="E277" s="3"/>
      <c r="F277" s="3"/>
      <c r="G277" s="3"/>
      <c r="H277" s="3"/>
      <c r="I277" s="3"/>
      <c r="J277" s="3"/>
      <c r="K277" s="3"/>
      <c r="L277" s="3"/>
      <c r="M277" s="3"/>
      <c r="N277" s="3">
        <f t="shared" si="12"/>
        <v>0</v>
      </c>
      <c r="O277" s="3">
        <f t="shared" si="13"/>
        <v>0</v>
      </c>
      <c r="P277" s="3">
        <f t="shared" si="14"/>
        <v>0</v>
      </c>
      <c r="Q277" s="3">
        <f t="shared" si="15"/>
        <v>0</v>
      </c>
      <c r="R277" s="3">
        <f t="shared" si="16"/>
        <v>0</v>
      </c>
      <c r="S277" s="3">
        <f t="shared" si="17"/>
        <v>0</v>
      </c>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f t="shared" si="18"/>
        <v>0</v>
      </c>
      <c r="AX277" s="3">
        <f t="shared" si="19"/>
        <v>0</v>
      </c>
      <c r="AY277" s="3">
        <f t="shared" si="20"/>
        <v>0</v>
      </c>
      <c r="AZ277" s="3">
        <f t="shared" si="21"/>
        <v>0</v>
      </c>
      <c r="BA277" s="3">
        <f t="shared" si="22"/>
        <v>0</v>
      </c>
      <c r="BB277" s="3">
        <f t="shared" si="23"/>
        <v>0</v>
      </c>
      <c r="BC277" s="3"/>
      <c r="BD277" s="3"/>
      <c r="BE277" s="3"/>
      <c r="BF277" s="3"/>
      <c r="BG277" s="3"/>
      <c r="BH277" s="3"/>
      <c r="BI277" s="3"/>
      <c r="BJ277" s="3"/>
      <c r="BK277" s="3"/>
      <c r="BL277" s="3"/>
      <c r="BM277" s="3"/>
      <c r="BN277" s="3"/>
      <c r="BO277" s="3"/>
      <c r="BP277" s="3"/>
      <c r="BQ277" s="3"/>
      <c r="BR277" s="3"/>
      <c r="BS277" s="3"/>
      <c r="BT277" s="3"/>
      <c r="BU277" s="3"/>
      <c r="BV277" s="3"/>
      <c r="BW277" s="3"/>
      <c r="BX277" s="3"/>
    </row>
    <row r="278" spans="1:76" x14ac:dyDescent="0.35">
      <c r="A278" s="3"/>
      <c r="B278" s="3"/>
      <c r="C278" s="3"/>
      <c r="D278" s="3"/>
      <c r="E278" s="3"/>
      <c r="F278" s="3"/>
      <c r="G278" s="3"/>
      <c r="H278" s="3"/>
      <c r="I278" s="3"/>
      <c r="J278" s="3"/>
      <c r="K278" s="3"/>
      <c r="L278" s="3"/>
      <c r="M278" s="3"/>
      <c r="N278" s="3">
        <f t="shared" si="12"/>
        <v>0</v>
      </c>
      <c r="O278" s="3">
        <f t="shared" si="13"/>
        <v>0</v>
      </c>
      <c r="P278" s="3">
        <f t="shared" si="14"/>
        <v>0</v>
      </c>
      <c r="Q278" s="3">
        <f t="shared" si="15"/>
        <v>0</v>
      </c>
      <c r="R278" s="3">
        <f t="shared" si="16"/>
        <v>0</v>
      </c>
      <c r="S278" s="3">
        <f t="shared" si="17"/>
        <v>0</v>
      </c>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f t="shared" si="18"/>
        <v>0</v>
      </c>
      <c r="AX278" s="3">
        <f t="shared" si="19"/>
        <v>0</v>
      </c>
      <c r="AY278" s="3">
        <f t="shared" si="20"/>
        <v>0</v>
      </c>
      <c r="AZ278" s="3">
        <f t="shared" si="21"/>
        <v>0</v>
      </c>
      <c r="BA278" s="3">
        <f t="shared" si="22"/>
        <v>0</v>
      </c>
      <c r="BB278" s="3">
        <f t="shared" si="23"/>
        <v>0</v>
      </c>
      <c r="BC278" s="3"/>
      <c r="BD278" s="3"/>
      <c r="BE278" s="3"/>
      <c r="BF278" s="3"/>
      <c r="BG278" s="3"/>
      <c r="BH278" s="3"/>
      <c r="BI278" s="3"/>
      <c r="BJ278" s="3"/>
      <c r="BK278" s="3"/>
      <c r="BL278" s="3"/>
      <c r="BM278" s="3"/>
      <c r="BN278" s="3"/>
      <c r="BO278" s="3"/>
      <c r="BP278" s="3"/>
      <c r="BQ278" s="3"/>
      <c r="BR278" s="3"/>
      <c r="BS278" s="3"/>
      <c r="BT278" s="3"/>
      <c r="BU278" s="3"/>
      <c r="BV278" s="3"/>
      <c r="BW278" s="3"/>
      <c r="BX278" s="3"/>
    </row>
    <row r="279" spans="1:76" x14ac:dyDescent="0.35">
      <c r="A279" s="5" t="s">
        <v>690</v>
      </c>
      <c r="B279" s="5" t="s">
        <v>691</v>
      </c>
      <c r="C279" s="5" t="s">
        <v>25</v>
      </c>
      <c r="D279" s="5"/>
      <c r="E279" s="5"/>
      <c r="F279" s="3"/>
      <c r="G279" s="3"/>
      <c r="H279" s="3"/>
      <c r="I279" s="3"/>
      <c r="J279" s="3"/>
      <c r="K279" s="3"/>
      <c r="L279" s="3"/>
      <c r="M279" s="3"/>
      <c r="N279" s="3">
        <f t="shared" si="12"/>
        <v>0</v>
      </c>
      <c r="O279" s="3">
        <f t="shared" si="13"/>
        <v>0</v>
      </c>
      <c r="P279" s="3">
        <f t="shared" si="14"/>
        <v>0</v>
      </c>
      <c r="Q279" s="3">
        <f t="shared" si="15"/>
        <v>0</v>
      </c>
      <c r="R279" s="3">
        <f t="shared" si="16"/>
        <v>0</v>
      </c>
      <c r="S279" s="3">
        <f t="shared" si="17"/>
        <v>0</v>
      </c>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f t="shared" si="18"/>
        <v>0</v>
      </c>
      <c r="AX279" s="3">
        <f t="shared" si="19"/>
        <v>0</v>
      </c>
      <c r="AY279" s="3">
        <f t="shared" si="20"/>
        <v>0</v>
      </c>
      <c r="AZ279" s="3">
        <f t="shared" si="21"/>
        <v>0</v>
      </c>
      <c r="BA279" s="3">
        <f t="shared" si="22"/>
        <v>0</v>
      </c>
      <c r="BB279" s="3">
        <f t="shared" si="23"/>
        <v>0</v>
      </c>
      <c r="BC279" s="3"/>
      <c r="BD279" s="3"/>
      <c r="BE279" s="3"/>
      <c r="BF279" s="3"/>
      <c r="BG279" s="3"/>
      <c r="BH279" s="3"/>
      <c r="BI279" s="3"/>
      <c r="BJ279" s="3"/>
      <c r="BK279" s="3"/>
      <c r="BL279" s="3"/>
      <c r="BM279" s="3"/>
      <c r="BN279" s="3"/>
      <c r="BO279" s="3"/>
      <c r="BP279" s="3"/>
      <c r="BQ279" s="3"/>
      <c r="BR279" s="3"/>
      <c r="BS279" s="3"/>
      <c r="BT279" s="3"/>
      <c r="BU279" s="3"/>
      <c r="BV279" s="3"/>
      <c r="BW279" s="3"/>
      <c r="BX279" s="3"/>
    </row>
    <row r="280" spans="1:76" x14ac:dyDescent="0.35">
      <c r="A280" s="5"/>
      <c r="B280" s="5"/>
      <c r="C280" s="5" t="s">
        <v>29</v>
      </c>
      <c r="D280" s="5"/>
      <c r="E280" s="5"/>
      <c r="F280" s="3"/>
      <c r="G280" s="3"/>
      <c r="H280" s="3"/>
      <c r="I280" s="3"/>
      <c r="J280" s="3"/>
      <c r="K280" s="3"/>
      <c r="L280" s="3"/>
      <c r="M280" s="3"/>
      <c r="N280" s="3">
        <f t="shared" si="12"/>
        <v>0</v>
      </c>
      <c r="O280" s="3">
        <f t="shared" si="13"/>
        <v>0</v>
      </c>
      <c r="P280" s="3">
        <f t="shared" si="14"/>
        <v>0</v>
      </c>
      <c r="Q280" s="3">
        <f t="shared" si="15"/>
        <v>0</v>
      </c>
      <c r="R280" s="3">
        <f t="shared" si="16"/>
        <v>0</v>
      </c>
      <c r="S280" s="3">
        <f t="shared" si="17"/>
        <v>0</v>
      </c>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f t="shared" si="18"/>
        <v>0</v>
      </c>
      <c r="AX280" s="3">
        <f t="shared" si="19"/>
        <v>0</v>
      </c>
      <c r="AY280" s="3">
        <f t="shared" si="20"/>
        <v>0</v>
      </c>
      <c r="AZ280" s="3">
        <f t="shared" si="21"/>
        <v>0</v>
      </c>
      <c r="BA280" s="3">
        <f t="shared" si="22"/>
        <v>0</v>
      </c>
      <c r="BB280" s="3">
        <f t="shared" si="23"/>
        <v>0</v>
      </c>
      <c r="BC280" s="3"/>
      <c r="BD280" s="3"/>
      <c r="BE280" s="3"/>
      <c r="BF280" s="3"/>
      <c r="BG280" s="3"/>
      <c r="BH280" s="3"/>
      <c r="BI280" s="3"/>
      <c r="BJ280" s="3"/>
      <c r="BK280" s="3"/>
      <c r="BL280" s="3"/>
      <c r="BM280" s="3"/>
      <c r="BN280" s="3"/>
      <c r="BO280" s="3"/>
      <c r="BP280" s="3"/>
      <c r="BQ280" s="3"/>
      <c r="BR280" s="3"/>
      <c r="BS280" s="3"/>
      <c r="BT280" s="3"/>
      <c r="BU280" s="3"/>
      <c r="BV280" s="3"/>
      <c r="BW280" s="3"/>
      <c r="BX280" s="3"/>
    </row>
    <row r="281" spans="1:76" x14ac:dyDescent="0.35">
      <c r="A281" s="5"/>
      <c r="B281" s="5" t="s">
        <v>692</v>
      </c>
      <c r="C281" s="5" t="s">
        <v>33</v>
      </c>
      <c r="D281" s="5" t="s">
        <v>34</v>
      </c>
      <c r="E281" s="5" t="s">
        <v>35</v>
      </c>
      <c r="F281" s="3"/>
      <c r="G281" s="3"/>
      <c r="H281" s="3"/>
      <c r="I281" s="3"/>
      <c r="J281" s="3"/>
      <c r="K281" s="3"/>
      <c r="L281" s="3"/>
      <c r="M281" s="3"/>
      <c r="N281" s="3">
        <f t="shared" si="12"/>
        <v>0</v>
      </c>
      <c r="O281" s="3">
        <f t="shared" si="13"/>
        <v>0</v>
      </c>
      <c r="P281" s="3">
        <f t="shared" si="14"/>
        <v>0</v>
      </c>
      <c r="Q281" s="3">
        <f t="shared" si="15"/>
        <v>0</v>
      </c>
      <c r="R281" s="3">
        <f t="shared" si="16"/>
        <v>0</v>
      </c>
      <c r="S281" s="3">
        <f t="shared" si="17"/>
        <v>0</v>
      </c>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f t="shared" si="18"/>
        <v>0</v>
      </c>
      <c r="AX281" s="3">
        <f t="shared" si="19"/>
        <v>0</v>
      </c>
      <c r="AY281" s="3">
        <f t="shared" si="20"/>
        <v>0</v>
      </c>
      <c r="AZ281" s="3">
        <f t="shared" si="21"/>
        <v>0</v>
      </c>
      <c r="BA281" s="3">
        <f t="shared" si="22"/>
        <v>0</v>
      </c>
      <c r="BB281" s="3">
        <f t="shared" si="23"/>
        <v>0</v>
      </c>
      <c r="BC281" s="3"/>
      <c r="BD281" s="3"/>
      <c r="BE281" s="3"/>
      <c r="BF281" s="3"/>
      <c r="BG281" s="3"/>
      <c r="BH281" s="3"/>
      <c r="BI281" s="3"/>
      <c r="BJ281" s="3"/>
      <c r="BK281" s="3"/>
      <c r="BL281" s="3"/>
      <c r="BM281" s="3"/>
      <c r="BN281" s="3"/>
      <c r="BO281" s="3"/>
      <c r="BP281" s="3"/>
      <c r="BQ281" s="3"/>
      <c r="BR281" s="3"/>
      <c r="BS281" s="3"/>
      <c r="BT281" s="3"/>
      <c r="BU281" s="3"/>
      <c r="BV281" s="3"/>
      <c r="BW281" s="3"/>
      <c r="BX281" s="3"/>
    </row>
    <row r="282" spans="1:76" x14ac:dyDescent="0.35">
      <c r="A282" s="5"/>
      <c r="B282" s="5" t="s">
        <v>693</v>
      </c>
      <c r="C282" s="5" t="s">
        <v>50</v>
      </c>
      <c r="D282" s="5" t="s">
        <v>51</v>
      </c>
      <c r="E282" s="5" t="s">
        <v>52</v>
      </c>
      <c r="F282" s="3"/>
      <c r="G282" s="3"/>
      <c r="H282" s="3"/>
      <c r="I282" s="3"/>
      <c r="J282" s="3"/>
      <c r="K282" s="3"/>
      <c r="L282" s="3"/>
      <c r="M282" s="3"/>
      <c r="N282" s="3">
        <f t="shared" si="12"/>
        <v>0</v>
      </c>
      <c r="O282" s="3">
        <f t="shared" si="13"/>
        <v>0</v>
      </c>
      <c r="P282" s="3">
        <f t="shared" si="14"/>
        <v>0</v>
      </c>
      <c r="Q282" s="3">
        <f t="shared" si="15"/>
        <v>0</v>
      </c>
      <c r="R282" s="3">
        <f t="shared" si="16"/>
        <v>0</v>
      </c>
      <c r="S282" s="3">
        <f t="shared" si="17"/>
        <v>0</v>
      </c>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f t="shared" si="18"/>
        <v>0</v>
      </c>
      <c r="AX282" s="3">
        <f t="shared" si="19"/>
        <v>0</v>
      </c>
      <c r="AY282" s="3">
        <f t="shared" si="20"/>
        <v>0</v>
      </c>
      <c r="AZ282" s="3">
        <f t="shared" si="21"/>
        <v>0</v>
      </c>
      <c r="BA282" s="3">
        <f t="shared" si="22"/>
        <v>0</v>
      </c>
      <c r="BB282" s="3">
        <f t="shared" si="23"/>
        <v>0</v>
      </c>
      <c r="BC282" s="3"/>
      <c r="BD282" s="3"/>
      <c r="BE282" s="3"/>
      <c r="BF282" s="3"/>
      <c r="BG282" s="3"/>
      <c r="BH282" s="3"/>
      <c r="BI282" s="3"/>
      <c r="BJ282" s="3"/>
      <c r="BK282" s="3"/>
      <c r="BL282" s="3"/>
      <c r="BM282" s="3"/>
      <c r="BN282" s="3"/>
      <c r="BO282" s="3"/>
      <c r="BP282" s="3"/>
      <c r="BQ282" s="3"/>
      <c r="BR282" s="3"/>
      <c r="BS282" s="3"/>
      <c r="BT282" s="3"/>
      <c r="BU282" s="3"/>
      <c r="BV282" s="3"/>
      <c r="BW282" s="3"/>
      <c r="BX282" s="3"/>
    </row>
    <row r="283" spans="1:76" x14ac:dyDescent="0.35">
      <c r="A283" s="5"/>
      <c r="B283" s="5"/>
      <c r="C283" s="5" t="s">
        <v>57</v>
      </c>
      <c r="D283" s="5"/>
      <c r="E283" s="5"/>
      <c r="F283" s="3"/>
      <c r="G283" s="3"/>
      <c r="H283" s="3"/>
      <c r="I283" s="3"/>
      <c r="J283" s="3"/>
      <c r="K283" s="3"/>
      <c r="L283" s="3"/>
      <c r="M283" s="3"/>
      <c r="N283" s="3">
        <f t="shared" si="12"/>
        <v>0</v>
      </c>
      <c r="O283" s="3">
        <f t="shared" si="13"/>
        <v>0</v>
      </c>
      <c r="P283" s="3">
        <f t="shared" si="14"/>
        <v>0</v>
      </c>
      <c r="Q283" s="3">
        <f t="shared" si="15"/>
        <v>0</v>
      </c>
      <c r="R283" s="3">
        <f t="shared" si="16"/>
        <v>0</v>
      </c>
      <c r="S283" s="3">
        <f t="shared" si="17"/>
        <v>0</v>
      </c>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f t="shared" si="18"/>
        <v>0</v>
      </c>
      <c r="AX283" s="3">
        <f t="shared" si="19"/>
        <v>0</v>
      </c>
      <c r="AY283" s="3">
        <f t="shared" si="20"/>
        <v>0</v>
      </c>
      <c r="AZ283" s="3">
        <f t="shared" si="21"/>
        <v>0</v>
      </c>
      <c r="BA283" s="3">
        <f t="shared" si="22"/>
        <v>0</v>
      </c>
      <c r="BB283" s="3">
        <f t="shared" si="23"/>
        <v>0</v>
      </c>
      <c r="BC283" s="3"/>
      <c r="BD283" s="3"/>
      <c r="BE283" s="3"/>
      <c r="BF283" s="3"/>
      <c r="BG283" s="3"/>
      <c r="BH283" s="3"/>
      <c r="BI283" s="3"/>
      <c r="BJ283" s="3"/>
      <c r="BK283" s="3"/>
      <c r="BL283" s="3"/>
      <c r="BM283" s="3"/>
      <c r="BN283" s="3"/>
      <c r="BO283" s="3"/>
      <c r="BP283" s="3"/>
      <c r="BQ283" s="3"/>
      <c r="BR283" s="3"/>
      <c r="BS283" s="3"/>
      <c r="BT283" s="3"/>
      <c r="BU283" s="3"/>
      <c r="BV283" s="3"/>
      <c r="BW283" s="3"/>
      <c r="BX283" s="3"/>
    </row>
    <row r="284" spans="1:76" x14ac:dyDescent="0.35">
      <c r="A284" s="5"/>
      <c r="B284" s="5" t="s">
        <v>694</v>
      </c>
      <c r="C284" s="5" t="s">
        <v>665</v>
      </c>
      <c r="D284" s="5" t="s">
        <v>51</v>
      </c>
      <c r="E284" s="5" t="s">
        <v>52</v>
      </c>
      <c r="F284" s="3"/>
      <c r="G284" s="3"/>
      <c r="H284" s="3"/>
      <c r="I284" s="3"/>
      <c r="J284" s="3"/>
      <c r="K284" s="3"/>
      <c r="L284" s="3"/>
      <c r="M284" s="3"/>
      <c r="N284" s="3">
        <f t="shared" si="12"/>
        <v>0</v>
      </c>
      <c r="O284" s="3">
        <f t="shared" si="13"/>
        <v>0</v>
      </c>
      <c r="P284" s="3">
        <f t="shared" si="14"/>
        <v>0</v>
      </c>
      <c r="Q284" s="3">
        <f t="shared" si="15"/>
        <v>0</v>
      </c>
      <c r="R284" s="3">
        <f t="shared" si="16"/>
        <v>0</v>
      </c>
      <c r="S284" s="3">
        <f t="shared" si="17"/>
        <v>0</v>
      </c>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f t="shared" si="18"/>
        <v>0</v>
      </c>
      <c r="AX284" s="3">
        <f t="shared" si="19"/>
        <v>0</v>
      </c>
      <c r="AY284" s="3">
        <f t="shared" si="20"/>
        <v>0</v>
      </c>
      <c r="AZ284" s="3">
        <f t="shared" si="21"/>
        <v>0</v>
      </c>
      <c r="BA284" s="3">
        <f t="shared" si="22"/>
        <v>0</v>
      </c>
      <c r="BB284" s="3">
        <f t="shared" si="23"/>
        <v>0</v>
      </c>
      <c r="BC284" s="3"/>
      <c r="BD284" s="3"/>
      <c r="BE284" s="3"/>
      <c r="BF284" s="3"/>
      <c r="BG284" s="3"/>
      <c r="BH284" s="3"/>
      <c r="BI284" s="3"/>
      <c r="BJ284" s="3"/>
      <c r="BK284" s="3"/>
      <c r="BL284" s="3"/>
      <c r="BM284" s="3"/>
      <c r="BN284" s="3"/>
      <c r="BO284" s="3"/>
      <c r="BP284" s="3"/>
      <c r="BQ284" s="3"/>
      <c r="BR284" s="3"/>
      <c r="BS284" s="3"/>
      <c r="BT284" s="3"/>
      <c r="BU284" s="3"/>
      <c r="BV284" s="3"/>
      <c r="BW284" s="3"/>
      <c r="BX284" s="3"/>
    </row>
    <row r="285" spans="1:76" x14ac:dyDescent="0.35">
      <c r="A285" s="5"/>
      <c r="B285" s="5"/>
      <c r="C285" s="5" t="s">
        <v>669</v>
      </c>
      <c r="D285" s="5" t="s">
        <v>670</v>
      </c>
      <c r="E285" s="5" t="s">
        <v>671</v>
      </c>
      <c r="F285" s="3"/>
      <c r="G285" s="3"/>
      <c r="H285" s="3"/>
      <c r="I285" s="3"/>
      <c r="J285" s="3"/>
      <c r="K285" s="3"/>
      <c r="L285" s="3"/>
      <c r="M285" s="3"/>
      <c r="N285" s="3">
        <f t="shared" si="12"/>
        <v>0</v>
      </c>
      <c r="O285" s="3">
        <f t="shared" si="13"/>
        <v>0</v>
      </c>
      <c r="P285" s="3">
        <f t="shared" si="14"/>
        <v>0</v>
      </c>
      <c r="Q285" s="3">
        <f t="shared" si="15"/>
        <v>0</v>
      </c>
      <c r="R285" s="3">
        <f t="shared" si="16"/>
        <v>0</v>
      </c>
      <c r="S285" s="3">
        <f t="shared" si="17"/>
        <v>0</v>
      </c>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f t="shared" si="18"/>
        <v>0</v>
      </c>
      <c r="AX285" s="3">
        <f t="shared" si="19"/>
        <v>0</v>
      </c>
      <c r="AY285" s="3">
        <f t="shared" si="20"/>
        <v>0</v>
      </c>
      <c r="AZ285" s="3">
        <f t="shared" si="21"/>
        <v>0</v>
      </c>
      <c r="BA285" s="3">
        <f t="shared" si="22"/>
        <v>0</v>
      </c>
      <c r="BB285" s="3">
        <f t="shared" si="23"/>
        <v>0</v>
      </c>
      <c r="BC285" s="3"/>
      <c r="BD285" s="3"/>
      <c r="BE285" s="3"/>
      <c r="BF285" s="3"/>
      <c r="BG285" s="3"/>
      <c r="BH285" s="3"/>
      <c r="BI285" s="3"/>
      <c r="BJ285" s="3"/>
      <c r="BK285" s="3"/>
      <c r="BL285" s="3"/>
      <c r="BM285" s="3"/>
      <c r="BN285" s="3"/>
      <c r="BO285" s="3"/>
      <c r="BP285" s="3"/>
      <c r="BQ285" s="3"/>
      <c r="BR285" s="3"/>
      <c r="BS285" s="3"/>
      <c r="BT285" s="3"/>
      <c r="BU285" s="3"/>
      <c r="BV285" s="3"/>
      <c r="BW285" s="3"/>
      <c r="BX285" s="3"/>
    </row>
    <row r="286" spans="1:76" x14ac:dyDescent="0.35">
      <c r="A286" s="3"/>
      <c r="B286" s="5" t="s">
        <v>189</v>
      </c>
      <c r="C286" s="5" t="s">
        <v>131</v>
      </c>
      <c r="D286" s="5"/>
      <c r="E286" s="5"/>
      <c r="F286" s="3"/>
      <c r="G286" s="3"/>
      <c r="H286" s="3"/>
      <c r="I286" s="3"/>
      <c r="J286" s="3"/>
      <c r="K286" s="3"/>
      <c r="L286" s="3"/>
      <c r="M286" s="3"/>
      <c r="N286" s="3">
        <f t="shared" si="12"/>
        <v>0</v>
      </c>
      <c r="O286" s="3">
        <f t="shared" si="13"/>
        <v>0</v>
      </c>
      <c r="P286" s="3">
        <f t="shared" si="14"/>
        <v>0</v>
      </c>
      <c r="Q286" s="3">
        <f t="shared" si="15"/>
        <v>0</v>
      </c>
      <c r="R286" s="3">
        <f t="shared" si="16"/>
        <v>0</v>
      </c>
      <c r="S286" s="3">
        <f t="shared" si="17"/>
        <v>0</v>
      </c>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f t="shared" si="18"/>
        <v>0</v>
      </c>
      <c r="AX286" s="3">
        <f t="shared" si="19"/>
        <v>0</v>
      </c>
      <c r="AY286" s="3">
        <f t="shared" si="20"/>
        <v>0</v>
      </c>
      <c r="AZ286" s="3">
        <f t="shared" si="21"/>
        <v>0</v>
      </c>
      <c r="BA286" s="3">
        <f t="shared" si="22"/>
        <v>0</v>
      </c>
      <c r="BB286" s="3">
        <f t="shared" si="23"/>
        <v>0</v>
      </c>
      <c r="BC286" s="3"/>
      <c r="BD286" s="3"/>
      <c r="BE286" s="3"/>
      <c r="BF286" s="3"/>
      <c r="BG286" s="3"/>
      <c r="BH286" s="3"/>
      <c r="BI286" s="3"/>
      <c r="BJ286" s="3"/>
      <c r="BK286" s="3"/>
      <c r="BL286" s="3"/>
      <c r="BM286" s="3"/>
      <c r="BN286" s="3"/>
      <c r="BO286" s="3"/>
      <c r="BP286" s="3"/>
      <c r="BQ286" s="3"/>
      <c r="BR286" s="3"/>
      <c r="BS286" s="3"/>
      <c r="BT286" s="3"/>
      <c r="BU286" s="3"/>
      <c r="BV286" s="3"/>
      <c r="BW286" s="3"/>
      <c r="BX286" s="3"/>
    </row>
    <row r="287" spans="1:76" x14ac:dyDescent="0.35">
      <c r="A287" s="3"/>
      <c r="B287" s="3"/>
      <c r="C287" s="3"/>
      <c r="D287" s="3"/>
      <c r="E287" s="3"/>
      <c r="F287" s="3"/>
      <c r="G287" s="3"/>
      <c r="H287" s="3"/>
      <c r="I287" s="3"/>
      <c r="J287" s="3"/>
      <c r="K287" s="3"/>
      <c r="L287" s="3"/>
      <c r="M287" s="3"/>
      <c r="N287" s="3">
        <f t="shared" si="12"/>
        <v>0</v>
      </c>
      <c r="O287" s="3">
        <f t="shared" si="13"/>
        <v>0</v>
      </c>
      <c r="P287" s="3">
        <f t="shared" si="14"/>
        <v>0</v>
      </c>
      <c r="Q287" s="3">
        <f t="shared" si="15"/>
        <v>0</v>
      </c>
      <c r="R287" s="3">
        <f t="shared" si="16"/>
        <v>0</v>
      </c>
      <c r="S287" s="3">
        <f t="shared" si="17"/>
        <v>0</v>
      </c>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f t="shared" si="18"/>
        <v>0</v>
      </c>
      <c r="AX287" s="3">
        <f t="shared" si="19"/>
        <v>0</v>
      </c>
      <c r="AY287" s="3">
        <f t="shared" si="20"/>
        <v>0</v>
      </c>
      <c r="AZ287" s="3">
        <f t="shared" si="21"/>
        <v>0</v>
      </c>
      <c r="BA287" s="3">
        <f t="shared" si="22"/>
        <v>0</v>
      </c>
      <c r="BB287" s="3">
        <f t="shared" si="23"/>
        <v>0</v>
      </c>
      <c r="BC287" s="3"/>
      <c r="BD287" s="3"/>
      <c r="BE287" s="3"/>
      <c r="BF287" s="3"/>
      <c r="BG287" s="3"/>
      <c r="BH287" s="3"/>
      <c r="BI287" s="3"/>
      <c r="BJ287" s="3"/>
      <c r="BK287" s="3"/>
      <c r="BL287" s="3"/>
      <c r="BM287" s="3"/>
      <c r="BN287" s="3"/>
      <c r="BO287" s="3"/>
      <c r="BP287" s="3"/>
      <c r="BQ287" s="3"/>
      <c r="BR287" s="3"/>
      <c r="BS287" s="3"/>
      <c r="BT287" s="3"/>
      <c r="BU287" s="3"/>
      <c r="BV287" s="3"/>
      <c r="BW287" s="3"/>
      <c r="BX287" s="3"/>
    </row>
    <row r="288" spans="1:76" x14ac:dyDescent="0.35">
      <c r="A288" s="3" t="s">
        <v>695</v>
      </c>
      <c r="B288" s="3" t="s">
        <v>696</v>
      </c>
      <c r="C288" s="3" t="s">
        <v>25</v>
      </c>
      <c r="D288" s="3"/>
      <c r="E288" s="3"/>
      <c r="F288" s="3"/>
      <c r="G288" s="3" t="s">
        <v>3723</v>
      </c>
      <c r="H288" s="3" t="s">
        <v>28</v>
      </c>
      <c r="I288" s="3" t="b">
        <v>1</v>
      </c>
      <c r="J288" s="3" t="b">
        <v>1</v>
      </c>
      <c r="K288" s="3" t="b">
        <v>1</v>
      </c>
      <c r="L288" s="3" t="b">
        <v>1</v>
      </c>
      <c r="M288" s="3" t="b">
        <v>1</v>
      </c>
      <c r="N288" s="3" t="b">
        <f t="shared" si="12"/>
        <v>1</v>
      </c>
      <c r="O288" s="3" t="b">
        <f t="shared" si="13"/>
        <v>0</v>
      </c>
      <c r="P288" s="3" t="b">
        <f t="shared" si="14"/>
        <v>0</v>
      </c>
      <c r="Q288" s="3" t="b">
        <f t="shared" si="15"/>
        <v>0</v>
      </c>
      <c r="R288" s="3" t="b">
        <f t="shared" si="16"/>
        <v>0</v>
      </c>
      <c r="S288" s="3" t="b">
        <f t="shared" si="17"/>
        <v>0</v>
      </c>
      <c r="U288" s="3" t="s">
        <v>28</v>
      </c>
      <c r="V288" s="3" t="b">
        <v>1</v>
      </c>
      <c r="W288" s="3" t="b">
        <v>1</v>
      </c>
      <c r="X288" s="3" t="b">
        <v>1</v>
      </c>
      <c r="Y288" s="3" t="b">
        <v>1</v>
      </c>
      <c r="Z288" s="3" t="b">
        <v>1</v>
      </c>
      <c r="AA288" s="3"/>
      <c r="AB288" s="3"/>
      <c r="AC288" s="3"/>
      <c r="AD288" s="3"/>
      <c r="AE288" s="3"/>
      <c r="AF288" s="3" t="s">
        <v>27</v>
      </c>
      <c r="AG288" s="3" t="b">
        <v>1</v>
      </c>
      <c r="AH288" s="3" t="b">
        <v>1</v>
      </c>
      <c r="AI288" s="3" t="b">
        <v>1</v>
      </c>
      <c r="AJ288" s="3" t="b">
        <v>1</v>
      </c>
      <c r="AK288" s="3" t="b">
        <v>1</v>
      </c>
      <c r="AL288" s="3"/>
      <c r="AM288" s="3"/>
      <c r="AN288" s="3"/>
      <c r="AO288" s="3"/>
      <c r="AP288" s="3"/>
      <c r="AQ288" s="3" t="s">
        <v>28</v>
      </c>
      <c r="AR288" s="3" t="b">
        <v>1</v>
      </c>
      <c r="AS288" s="3" t="b">
        <v>1</v>
      </c>
      <c r="AT288" s="3" t="b">
        <v>1</v>
      </c>
      <c r="AU288" s="3" t="b">
        <v>1</v>
      </c>
      <c r="AV288" s="3" t="b">
        <v>1</v>
      </c>
      <c r="AW288" s="3" t="b">
        <f t="shared" si="18"/>
        <v>1</v>
      </c>
      <c r="AX288" s="3" t="b">
        <f t="shared" si="19"/>
        <v>0</v>
      </c>
      <c r="AY288" s="3" t="b">
        <f t="shared" si="20"/>
        <v>0</v>
      </c>
      <c r="AZ288" s="3" t="b">
        <f t="shared" si="21"/>
        <v>0</v>
      </c>
      <c r="BA288" s="3" t="b">
        <f t="shared" si="22"/>
        <v>0</v>
      </c>
      <c r="BB288" s="3" t="b">
        <f t="shared" si="23"/>
        <v>0</v>
      </c>
      <c r="BC288" s="3"/>
      <c r="BD288" s="3" t="s">
        <v>28</v>
      </c>
      <c r="BE288" s="3" t="b">
        <v>1</v>
      </c>
      <c r="BF288" s="3" t="b">
        <v>1</v>
      </c>
      <c r="BG288" s="3" t="b">
        <v>1</v>
      </c>
      <c r="BH288" s="3" t="b">
        <v>1</v>
      </c>
      <c r="BI288" s="3" t="b">
        <v>1</v>
      </c>
      <c r="BJ288" s="3"/>
      <c r="BK288" s="3"/>
      <c r="BL288" s="3"/>
      <c r="BM288" s="3"/>
      <c r="BN288" s="3"/>
      <c r="BO288" s="3" t="s">
        <v>28</v>
      </c>
      <c r="BP288" s="3" t="b">
        <v>1</v>
      </c>
      <c r="BQ288" s="3" t="b">
        <v>1</v>
      </c>
      <c r="BR288" s="3" t="b">
        <v>1</v>
      </c>
      <c r="BS288" s="3" t="b">
        <v>1</v>
      </c>
      <c r="BT288" s="3" t="b">
        <v>1</v>
      </c>
      <c r="BU288" s="3"/>
      <c r="BV288" s="3"/>
      <c r="BW288" s="3"/>
      <c r="BX288" s="3"/>
    </row>
    <row r="289" spans="1:76" x14ac:dyDescent="0.35">
      <c r="A289" s="3"/>
      <c r="B289" s="3"/>
      <c r="C289" s="3" t="s">
        <v>29</v>
      </c>
      <c r="D289" s="3"/>
      <c r="E289" s="3"/>
      <c r="F289" s="3"/>
      <c r="G289" s="3" t="s">
        <v>3724</v>
      </c>
      <c r="H289" s="3" t="s">
        <v>31</v>
      </c>
      <c r="I289" s="3" t="b">
        <v>1</v>
      </c>
      <c r="J289" s="3" t="b">
        <v>1</v>
      </c>
      <c r="K289" s="3" t="b">
        <v>1</v>
      </c>
      <c r="L289" s="3" t="b">
        <v>1</v>
      </c>
      <c r="M289" s="3" t="b">
        <v>1</v>
      </c>
      <c r="N289" s="3" t="b">
        <f t="shared" si="12"/>
        <v>1</v>
      </c>
      <c r="O289" s="3" t="b">
        <f t="shared" si="13"/>
        <v>0</v>
      </c>
      <c r="P289" s="3" t="b">
        <f t="shared" si="14"/>
        <v>0</v>
      </c>
      <c r="Q289" s="3" t="b">
        <f t="shared" si="15"/>
        <v>0</v>
      </c>
      <c r="R289" s="3" t="b">
        <f t="shared" si="16"/>
        <v>0</v>
      </c>
      <c r="S289" s="3" t="b">
        <f t="shared" si="17"/>
        <v>0</v>
      </c>
      <c r="U289" s="3" t="s">
        <v>31</v>
      </c>
      <c r="V289" s="3" t="b">
        <v>1</v>
      </c>
      <c r="W289" s="3" t="b">
        <v>1</v>
      </c>
      <c r="X289" s="3" t="b">
        <v>1</v>
      </c>
      <c r="Y289" s="3" t="b">
        <v>1</v>
      </c>
      <c r="Z289" s="3" t="b">
        <v>1</v>
      </c>
      <c r="AA289" s="3"/>
      <c r="AB289" s="3"/>
      <c r="AC289" s="3"/>
      <c r="AD289" s="3"/>
      <c r="AE289" s="3"/>
      <c r="AF289" s="3" t="s">
        <v>31</v>
      </c>
      <c r="AG289" s="3" t="b">
        <v>1</v>
      </c>
      <c r="AH289" s="3" t="b">
        <v>1</v>
      </c>
      <c r="AI289" s="3" t="b">
        <v>1</v>
      </c>
      <c r="AJ289" s="3" t="b">
        <v>1</v>
      </c>
      <c r="AK289" s="3" t="b">
        <v>1</v>
      </c>
      <c r="AL289" s="3"/>
      <c r="AM289" s="3"/>
      <c r="AN289" s="3"/>
      <c r="AO289" s="3"/>
      <c r="AP289" s="3"/>
      <c r="AQ289" s="3" t="s">
        <v>31</v>
      </c>
      <c r="AR289" s="3" t="b">
        <v>1</v>
      </c>
      <c r="AS289" s="3" t="b">
        <v>1</v>
      </c>
      <c r="AT289" s="3" t="b">
        <v>1</v>
      </c>
      <c r="AU289" s="3" t="b">
        <v>1</v>
      </c>
      <c r="AV289" s="3" t="b">
        <v>1</v>
      </c>
      <c r="AW289" s="3" t="b">
        <f t="shared" si="18"/>
        <v>1</v>
      </c>
      <c r="AX289" s="3" t="b">
        <f t="shared" si="19"/>
        <v>0</v>
      </c>
      <c r="AY289" s="3" t="b">
        <f t="shared" si="20"/>
        <v>0</v>
      </c>
      <c r="AZ289" s="3" t="b">
        <f t="shared" si="21"/>
        <v>0</v>
      </c>
      <c r="BA289" s="3" t="b">
        <f t="shared" si="22"/>
        <v>0</v>
      </c>
      <c r="BB289" s="3" t="b">
        <f t="shared" si="23"/>
        <v>0</v>
      </c>
      <c r="BC289" s="3"/>
      <c r="BD289" s="3" t="s">
        <v>31</v>
      </c>
      <c r="BE289" s="3" t="b">
        <v>1</v>
      </c>
      <c r="BF289" s="3" t="b">
        <v>1</v>
      </c>
      <c r="BG289" s="3" t="b">
        <v>1</v>
      </c>
      <c r="BH289" s="3" t="b">
        <v>1</v>
      </c>
      <c r="BI289" s="3" t="b">
        <v>1</v>
      </c>
      <c r="BJ289" s="3"/>
      <c r="BK289" s="3"/>
      <c r="BL289" s="3"/>
      <c r="BM289" s="3"/>
      <c r="BN289" s="3"/>
      <c r="BO289" s="3" t="s">
        <v>31</v>
      </c>
      <c r="BP289" s="3" t="b">
        <v>1</v>
      </c>
      <c r="BQ289" s="3" t="b">
        <v>1</v>
      </c>
      <c r="BR289" s="3" t="b">
        <v>1</v>
      </c>
      <c r="BS289" s="3" t="b">
        <v>1</v>
      </c>
      <c r="BT289" s="3" t="b">
        <v>1</v>
      </c>
      <c r="BU289" s="3"/>
      <c r="BV289" s="3"/>
      <c r="BW289" s="3"/>
      <c r="BX289" s="3"/>
    </row>
    <row r="290" spans="1:76" x14ac:dyDescent="0.35">
      <c r="A290" s="3"/>
      <c r="B290" s="3" t="s">
        <v>699</v>
      </c>
      <c r="C290" s="3" t="s">
        <v>700</v>
      </c>
      <c r="D290" s="3" t="s">
        <v>701</v>
      </c>
      <c r="E290" s="3" t="s">
        <v>702</v>
      </c>
      <c r="F290" s="3"/>
      <c r="G290" s="3" t="s">
        <v>3725</v>
      </c>
      <c r="H290" s="3" t="s">
        <v>704</v>
      </c>
      <c r="I290" s="3" t="b">
        <v>1</v>
      </c>
      <c r="J290" s="3" t="b">
        <v>1</v>
      </c>
      <c r="K290" s="3" t="b">
        <v>1</v>
      </c>
      <c r="L290" s="3" t="b">
        <v>1</v>
      </c>
      <c r="M290" s="3" t="b">
        <v>1</v>
      </c>
      <c r="N290" s="3" t="b">
        <f t="shared" si="12"/>
        <v>1</v>
      </c>
      <c r="O290" s="3" t="b">
        <f t="shared" si="13"/>
        <v>0</v>
      </c>
      <c r="P290" s="3" t="b">
        <f t="shared" si="14"/>
        <v>0</v>
      </c>
      <c r="Q290" s="3" t="b">
        <f t="shared" si="15"/>
        <v>0</v>
      </c>
      <c r="R290" s="3" t="b">
        <f t="shared" si="16"/>
        <v>0</v>
      </c>
      <c r="S290" s="3" t="b">
        <f t="shared" si="17"/>
        <v>0</v>
      </c>
      <c r="U290" s="3" t="s">
        <v>705</v>
      </c>
      <c r="V290" s="3" t="b">
        <v>1</v>
      </c>
      <c r="W290" s="3" t="b">
        <v>1</v>
      </c>
      <c r="X290" s="3" t="b">
        <v>1</v>
      </c>
      <c r="Y290" s="3" t="b">
        <v>1</v>
      </c>
      <c r="Z290" s="3" t="b">
        <v>1</v>
      </c>
      <c r="AA290" s="3"/>
      <c r="AB290" s="3"/>
      <c r="AC290" s="3"/>
      <c r="AD290" s="3"/>
      <c r="AE290" s="3"/>
      <c r="AF290" s="3" t="s">
        <v>705</v>
      </c>
      <c r="AG290" s="3" t="b">
        <v>1</v>
      </c>
      <c r="AH290" s="3" t="b">
        <v>1</v>
      </c>
      <c r="AI290" s="3" t="b">
        <v>1</v>
      </c>
      <c r="AJ290" s="3" t="b">
        <v>1</v>
      </c>
      <c r="AK290" s="3" t="b">
        <v>1</v>
      </c>
      <c r="AL290" s="3"/>
      <c r="AM290" s="3"/>
      <c r="AN290" s="3"/>
      <c r="AO290" s="3"/>
      <c r="AP290" s="3"/>
      <c r="AQ290" s="3" t="s">
        <v>705</v>
      </c>
      <c r="AR290" s="3" t="b">
        <v>1</v>
      </c>
      <c r="AS290" s="3" t="b">
        <v>1</v>
      </c>
      <c r="AT290" s="3" t="b">
        <v>1</v>
      </c>
      <c r="AU290" s="3" t="b">
        <v>0</v>
      </c>
      <c r="AV290" s="3" t="b">
        <v>1</v>
      </c>
      <c r="AW290" s="3" t="b">
        <f t="shared" si="18"/>
        <v>0</v>
      </c>
      <c r="AX290" s="3" t="b">
        <f t="shared" si="19"/>
        <v>0</v>
      </c>
      <c r="AY290" s="3" t="b">
        <f t="shared" si="20"/>
        <v>0</v>
      </c>
      <c r="AZ290" s="3" t="b">
        <f t="shared" si="21"/>
        <v>1</v>
      </c>
      <c r="BA290" s="3" t="b">
        <f t="shared" si="22"/>
        <v>0</v>
      </c>
      <c r="BB290" s="3" t="b">
        <f t="shared" si="23"/>
        <v>0</v>
      </c>
      <c r="BC290" s="3"/>
      <c r="BD290" s="3" t="s">
        <v>705</v>
      </c>
      <c r="BE290" s="3" t="b">
        <v>1</v>
      </c>
      <c r="BF290" s="3" t="b">
        <v>1</v>
      </c>
      <c r="BG290" s="3" t="b">
        <v>1</v>
      </c>
      <c r="BH290" s="3" t="b">
        <v>0</v>
      </c>
      <c r="BI290" s="3" t="b">
        <v>1</v>
      </c>
      <c r="BJ290" s="3"/>
      <c r="BK290" s="3"/>
      <c r="BL290" s="3"/>
      <c r="BM290" s="3"/>
      <c r="BN290" s="3"/>
      <c r="BO290" s="3" t="s">
        <v>705</v>
      </c>
      <c r="BP290" s="3" t="b">
        <v>1</v>
      </c>
      <c r="BQ290" s="3" t="b">
        <v>1</v>
      </c>
      <c r="BR290" s="3" t="b">
        <v>1</v>
      </c>
      <c r="BS290" s="3" t="b">
        <v>0</v>
      </c>
      <c r="BT290" s="3" t="b">
        <v>1</v>
      </c>
      <c r="BU290" s="3"/>
      <c r="BV290" s="3"/>
      <c r="BW290" s="3"/>
      <c r="BX290" s="3"/>
    </row>
    <row r="291" spans="1:76" x14ac:dyDescent="0.35">
      <c r="A291" s="3"/>
      <c r="B291" s="3"/>
      <c r="C291" s="3" t="s">
        <v>706</v>
      </c>
      <c r="D291" s="3"/>
      <c r="E291" s="3"/>
      <c r="F291" s="3"/>
      <c r="G291" s="3" t="s">
        <v>3726</v>
      </c>
      <c r="H291" s="3"/>
      <c r="I291" s="3" t="b">
        <v>1</v>
      </c>
      <c r="J291" s="3" t="b">
        <v>0</v>
      </c>
      <c r="K291" s="3" t="b">
        <v>0</v>
      </c>
      <c r="L291" s="3" t="b">
        <v>0</v>
      </c>
      <c r="M291" s="3" t="b">
        <v>0</v>
      </c>
      <c r="N291" s="3" t="b">
        <f t="shared" si="12"/>
        <v>0</v>
      </c>
      <c r="O291" s="3" t="b">
        <f t="shared" si="13"/>
        <v>0</v>
      </c>
      <c r="P291" s="3" t="b">
        <f t="shared" si="14"/>
        <v>1</v>
      </c>
      <c r="Q291" s="3" t="b">
        <f t="shared" si="15"/>
        <v>0</v>
      </c>
      <c r="R291" s="3" t="b">
        <f t="shared" si="16"/>
        <v>0</v>
      </c>
      <c r="S291" s="3" t="b">
        <f t="shared" si="17"/>
        <v>0</v>
      </c>
      <c r="U291" s="3" t="s">
        <v>708</v>
      </c>
      <c r="V291" s="3" t="b">
        <v>1</v>
      </c>
      <c r="W291" s="3" t="b">
        <v>1</v>
      </c>
      <c r="X291" s="3" t="b">
        <v>1</v>
      </c>
      <c r="Y291" s="3" t="b">
        <v>1</v>
      </c>
      <c r="Z291" s="3" t="b">
        <v>1</v>
      </c>
      <c r="AA291" s="3"/>
      <c r="AB291" s="3"/>
      <c r="AC291" s="3"/>
      <c r="AD291" s="3"/>
      <c r="AE291" s="3"/>
      <c r="AF291" s="3" t="s">
        <v>709</v>
      </c>
      <c r="AG291" s="3" t="b">
        <v>1</v>
      </c>
      <c r="AH291" s="3" t="b">
        <v>1</v>
      </c>
      <c r="AI291" s="3" t="b">
        <v>1</v>
      </c>
      <c r="AJ291" s="3" t="b">
        <v>1</v>
      </c>
      <c r="AK291" s="3" t="b">
        <v>1</v>
      </c>
      <c r="AL291" s="3"/>
      <c r="AM291" s="3"/>
      <c r="AN291" s="3"/>
      <c r="AO291" s="3"/>
      <c r="AP291" s="3"/>
      <c r="AQ291" s="3" t="s">
        <v>710</v>
      </c>
      <c r="AR291" s="3" t="b">
        <v>1</v>
      </c>
      <c r="AS291" s="3" t="b">
        <v>0</v>
      </c>
      <c r="AT291" s="3" t="b">
        <v>0</v>
      </c>
      <c r="AU291" s="3" t="b">
        <v>1</v>
      </c>
      <c r="AV291" s="3" t="b">
        <v>0</v>
      </c>
      <c r="AW291" s="3" t="b">
        <f t="shared" si="18"/>
        <v>0</v>
      </c>
      <c r="AX291" s="3" t="b">
        <f t="shared" si="19"/>
        <v>0</v>
      </c>
      <c r="AY291" s="3" t="b">
        <f t="shared" si="20"/>
        <v>1</v>
      </c>
      <c r="AZ291" s="3" t="b">
        <f t="shared" si="21"/>
        <v>0</v>
      </c>
      <c r="BA291" s="3" t="b">
        <f t="shared" si="22"/>
        <v>0</v>
      </c>
      <c r="BB291" s="3" t="b">
        <f t="shared" si="23"/>
        <v>0</v>
      </c>
      <c r="BC291" s="3"/>
      <c r="BD291" s="3" t="s">
        <v>710</v>
      </c>
      <c r="BE291" s="3" t="b">
        <v>1</v>
      </c>
      <c r="BF291" s="3" t="b">
        <v>0</v>
      </c>
      <c r="BG291" s="3" t="b">
        <v>0</v>
      </c>
      <c r="BH291" s="3" t="b">
        <v>1</v>
      </c>
      <c r="BI291" s="3" t="b">
        <v>0</v>
      </c>
      <c r="BJ291" s="3"/>
      <c r="BK291" s="3"/>
      <c r="BL291" s="3"/>
      <c r="BM291" s="3"/>
      <c r="BN291" s="3"/>
      <c r="BO291" s="3" t="s">
        <v>710</v>
      </c>
      <c r="BP291" s="3" t="b">
        <v>1</v>
      </c>
      <c r="BQ291" s="3" t="b">
        <v>0</v>
      </c>
      <c r="BR291" s="3" t="b">
        <v>0</v>
      </c>
      <c r="BS291" s="3" t="b">
        <v>1</v>
      </c>
      <c r="BT291" s="3" t="b">
        <v>0</v>
      </c>
      <c r="BU291" s="3"/>
      <c r="BV291" s="3"/>
      <c r="BW291" s="3"/>
      <c r="BX291" s="3"/>
    </row>
    <row r="292" spans="1:76" x14ac:dyDescent="0.35">
      <c r="A292" s="3"/>
      <c r="B292" s="3"/>
      <c r="C292" s="3" t="s">
        <v>711</v>
      </c>
      <c r="D292" s="3"/>
      <c r="E292" s="3"/>
      <c r="F292" s="3"/>
      <c r="G292" s="3" t="s">
        <v>3727</v>
      </c>
      <c r="H292" s="3" t="s">
        <v>713</v>
      </c>
      <c r="I292" s="3" t="b">
        <v>1</v>
      </c>
      <c r="J292" s="3" t="b">
        <v>1</v>
      </c>
      <c r="K292" s="3" t="b">
        <v>1</v>
      </c>
      <c r="L292" s="3" t="b">
        <v>1</v>
      </c>
      <c r="M292" s="3" t="b">
        <v>1</v>
      </c>
      <c r="N292" s="3" t="b">
        <f t="shared" si="12"/>
        <v>1</v>
      </c>
      <c r="O292" s="3" t="b">
        <f t="shared" si="13"/>
        <v>0</v>
      </c>
      <c r="P292" s="3" t="b">
        <f t="shared" si="14"/>
        <v>0</v>
      </c>
      <c r="Q292" s="3" t="b">
        <f t="shared" si="15"/>
        <v>0</v>
      </c>
      <c r="R292" s="3" t="b">
        <f t="shared" si="16"/>
        <v>0</v>
      </c>
      <c r="S292" s="3" t="b">
        <f t="shared" si="17"/>
        <v>0</v>
      </c>
      <c r="U292" s="3" t="s">
        <v>714</v>
      </c>
      <c r="V292" s="3" t="b">
        <v>1</v>
      </c>
      <c r="W292" s="3" t="b">
        <v>1</v>
      </c>
      <c r="X292" s="3" t="b">
        <v>1</v>
      </c>
      <c r="Y292" s="3" t="b">
        <v>1</v>
      </c>
      <c r="Z292" s="3" t="b">
        <v>1</v>
      </c>
      <c r="AA292" s="3"/>
      <c r="AB292" s="3"/>
      <c r="AC292" s="3"/>
      <c r="AD292" s="3"/>
      <c r="AE292" s="3"/>
      <c r="AF292" s="3" t="s">
        <v>715</v>
      </c>
      <c r="AG292" s="3" t="b">
        <v>1</v>
      </c>
      <c r="AH292" s="3" t="b">
        <v>1</v>
      </c>
      <c r="AI292" s="3" t="b">
        <v>1</v>
      </c>
      <c r="AJ292" s="3" t="b">
        <v>1</v>
      </c>
      <c r="AK292" s="3" t="b">
        <v>1</v>
      </c>
      <c r="AL292" s="3"/>
      <c r="AM292" s="3"/>
      <c r="AN292" s="3"/>
      <c r="AO292" s="3"/>
      <c r="AP292" s="3"/>
      <c r="AQ292" s="3" t="s">
        <v>716</v>
      </c>
      <c r="AR292" s="3" t="b">
        <v>1</v>
      </c>
      <c r="AS292" s="3" t="b">
        <v>1</v>
      </c>
      <c r="AT292" s="3" t="b">
        <v>1</v>
      </c>
      <c r="AU292" s="3" t="b">
        <v>0</v>
      </c>
      <c r="AV292" s="3" t="b">
        <v>1</v>
      </c>
      <c r="AW292" s="3" t="b">
        <f t="shared" si="18"/>
        <v>0</v>
      </c>
      <c r="AX292" s="3" t="b">
        <f t="shared" si="19"/>
        <v>0</v>
      </c>
      <c r="AY292" s="3" t="b">
        <f t="shared" si="20"/>
        <v>0</v>
      </c>
      <c r="AZ292" s="3" t="b">
        <f t="shared" si="21"/>
        <v>1</v>
      </c>
      <c r="BA292" s="3" t="b">
        <f t="shared" si="22"/>
        <v>0</v>
      </c>
      <c r="BB292" s="3" t="b">
        <f t="shared" si="23"/>
        <v>0</v>
      </c>
      <c r="BC292" s="3"/>
      <c r="BD292" s="3" t="s">
        <v>716</v>
      </c>
      <c r="BE292" s="3" t="b">
        <v>1</v>
      </c>
      <c r="BF292" s="3" t="b">
        <v>1</v>
      </c>
      <c r="BG292" s="3" t="b">
        <v>1</v>
      </c>
      <c r="BH292" s="3" t="b">
        <v>0</v>
      </c>
      <c r="BI292" s="3" t="b">
        <v>1</v>
      </c>
      <c r="BJ292" s="3"/>
      <c r="BK292" s="3"/>
      <c r="BL292" s="3"/>
      <c r="BM292" s="3"/>
      <c r="BN292" s="3"/>
      <c r="BO292" s="3" t="s">
        <v>717</v>
      </c>
      <c r="BP292" s="3" t="b">
        <v>1</v>
      </c>
      <c r="BQ292" s="3" t="b">
        <v>1</v>
      </c>
      <c r="BR292" s="3" t="b">
        <v>1</v>
      </c>
      <c r="BS292" s="3" t="b">
        <v>0</v>
      </c>
      <c r="BT292" s="3" t="b">
        <v>1</v>
      </c>
      <c r="BU292" s="3"/>
      <c r="BV292" s="3"/>
      <c r="BW292" s="3"/>
      <c r="BX292" s="3"/>
    </row>
    <row r="293" spans="1:76" x14ac:dyDescent="0.35">
      <c r="A293" s="3"/>
      <c r="B293" s="3" t="s">
        <v>718</v>
      </c>
      <c r="C293" s="3" t="s">
        <v>50</v>
      </c>
      <c r="D293" s="3" t="s">
        <v>51</v>
      </c>
      <c r="E293" s="3" t="s">
        <v>52</v>
      </c>
      <c r="F293" s="3"/>
      <c r="G293" s="3" t="s">
        <v>3728</v>
      </c>
      <c r="H293" s="3" t="s">
        <v>54</v>
      </c>
      <c r="I293" s="3" t="b">
        <v>1</v>
      </c>
      <c r="J293" s="3" t="b">
        <v>1</v>
      </c>
      <c r="K293" s="3" t="b">
        <v>1</v>
      </c>
      <c r="L293" s="3" t="b">
        <v>1</v>
      </c>
      <c r="M293" s="3" t="b">
        <v>1</v>
      </c>
      <c r="N293" s="3" t="b">
        <f t="shared" si="12"/>
        <v>1</v>
      </c>
      <c r="O293" s="3" t="b">
        <f t="shared" si="13"/>
        <v>0</v>
      </c>
      <c r="P293" s="3" t="b">
        <f t="shared" si="14"/>
        <v>0</v>
      </c>
      <c r="Q293" s="3" t="b">
        <f t="shared" si="15"/>
        <v>0</v>
      </c>
      <c r="R293" s="3" t="b">
        <f t="shared" si="16"/>
        <v>0</v>
      </c>
      <c r="S293" s="3" t="b">
        <f t="shared" si="17"/>
        <v>0</v>
      </c>
      <c r="U293" s="3" t="s">
        <v>55</v>
      </c>
      <c r="V293" s="3" t="b">
        <v>1</v>
      </c>
      <c r="W293" s="3" t="b">
        <v>1</v>
      </c>
      <c r="X293" s="3" t="b">
        <v>1</v>
      </c>
      <c r="Y293" s="3" t="b">
        <v>1</v>
      </c>
      <c r="Z293" s="3" t="b">
        <v>1</v>
      </c>
      <c r="AA293" s="3"/>
      <c r="AB293" s="3"/>
      <c r="AC293" s="3"/>
      <c r="AD293" s="3"/>
      <c r="AE293" s="3"/>
      <c r="AF293" s="3" t="s">
        <v>55</v>
      </c>
      <c r="AG293" s="3" t="b">
        <v>1</v>
      </c>
      <c r="AH293" s="3" t="b">
        <v>1</v>
      </c>
      <c r="AI293" s="3" t="b">
        <v>1</v>
      </c>
      <c r="AJ293" s="3" t="b">
        <v>1</v>
      </c>
      <c r="AK293" s="3" t="b">
        <v>1</v>
      </c>
      <c r="AL293" s="3"/>
      <c r="AM293" s="3"/>
      <c r="AN293" s="3"/>
      <c r="AO293" s="3"/>
      <c r="AP293" s="3"/>
      <c r="AQ293" s="3" t="s">
        <v>55</v>
      </c>
      <c r="AR293" s="3" t="b">
        <v>1</v>
      </c>
      <c r="AS293" s="3" t="b">
        <v>1</v>
      </c>
      <c r="AT293" s="3" t="b">
        <v>1</v>
      </c>
      <c r="AU293" s="3" t="b">
        <v>1</v>
      </c>
      <c r="AV293" s="3" t="b">
        <v>1</v>
      </c>
      <c r="AW293" s="3" t="b">
        <f t="shared" si="18"/>
        <v>1</v>
      </c>
      <c r="AX293" s="3" t="b">
        <f t="shared" si="19"/>
        <v>0</v>
      </c>
      <c r="AY293" s="3" t="b">
        <f t="shared" si="20"/>
        <v>0</v>
      </c>
      <c r="AZ293" s="3" t="b">
        <f t="shared" si="21"/>
        <v>0</v>
      </c>
      <c r="BA293" s="3" t="b">
        <f t="shared" si="22"/>
        <v>0</v>
      </c>
      <c r="BB293" s="3" t="b">
        <f t="shared" si="23"/>
        <v>0</v>
      </c>
      <c r="BC293" s="3"/>
      <c r="BD293" s="3" t="s">
        <v>55</v>
      </c>
      <c r="BE293" s="3" t="b">
        <v>1</v>
      </c>
      <c r="BF293" s="3" t="b">
        <v>1</v>
      </c>
      <c r="BG293" s="3" t="b">
        <v>1</v>
      </c>
      <c r="BH293" s="3" t="b">
        <v>1</v>
      </c>
      <c r="BI293" s="3" t="b">
        <v>1</v>
      </c>
      <c r="BJ293" s="3"/>
      <c r="BK293" s="3"/>
      <c r="BL293" s="3"/>
      <c r="BM293" s="3"/>
      <c r="BN293" s="3"/>
      <c r="BO293" s="3" t="s">
        <v>55</v>
      </c>
      <c r="BP293" s="3" t="b">
        <v>1</v>
      </c>
      <c r="BQ293" s="3" t="b">
        <v>1</v>
      </c>
      <c r="BR293" s="3" t="b">
        <v>1</v>
      </c>
      <c r="BS293" s="3" t="b">
        <v>1</v>
      </c>
      <c r="BT293" s="3" t="b">
        <v>1</v>
      </c>
      <c r="BU293" s="3"/>
      <c r="BV293" s="3"/>
      <c r="BW293" s="3"/>
      <c r="BX293" s="3"/>
    </row>
    <row r="294" spans="1:76" x14ac:dyDescent="0.35">
      <c r="A294" s="3"/>
      <c r="B294" s="3"/>
      <c r="C294" s="3" t="s">
        <v>57</v>
      </c>
      <c r="D294" s="3"/>
      <c r="E294" s="3"/>
      <c r="F294" s="3"/>
      <c r="G294" s="3" t="s">
        <v>3729</v>
      </c>
      <c r="H294" s="3" t="s">
        <v>299</v>
      </c>
      <c r="I294" s="3" t="b">
        <v>1</v>
      </c>
      <c r="J294" s="3" t="b">
        <v>1</v>
      </c>
      <c r="K294" s="3" t="b">
        <v>1</v>
      </c>
      <c r="L294" s="3" t="b">
        <v>1</v>
      </c>
      <c r="M294" s="3" t="b">
        <v>1</v>
      </c>
      <c r="N294" s="3" t="b">
        <f t="shared" si="12"/>
        <v>1</v>
      </c>
      <c r="O294" s="3" t="b">
        <f t="shared" si="13"/>
        <v>0</v>
      </c>
      <c r="P294" s="3" t="b">
        <f t="shared" si="14"/>
        <v>0</v>
      </c>
      <c r="Q294" s="3" t="b">
        <f t="shared" si="15"/>
        <v>0</v>
      </c>
      <c r="R294" s="3" t="b">
        <f t="shared" si="16"/>
        <v>0</v>
      </c>
      <c r="S294" s="3" t="b">
        <f t="shared" si="17"/>
        <v>0</v>
      </c>
      <c r="U294" s="3" t="s">
        <v>299</v>
      </c>
      <c r="V294" s="3" t="b">
        <v>1</v>
      </c>
      <c r="W294" s="3" t="b">
        <v>1</v>
      </c>
      <c r="X294" s="3" t="b">
        <v>1</v>
      </c>
      <c r="Y294" s="3" t="b">
        <v>1</v>
      </c>
      <c r="Z294" s="3" t="b">
        <v>1</v>
      </c>
      <c r="AA294" s="3"/>
      <c r="AB294" s="3"/>
      <c r="AC294" s="3"/>
      <c r="AD294" s="3"/>
      <c r="AE294" s="3"/>
      <c r="AF294" s="3" t="s">
        <v>59</v>
      </c>
      <c r="AG294" s="3" t="b">
        <v>1</v>
      </c>
      <c r="AH294" s="3" t="b">
        <v>1</v>
      </c>
      <c r="AI294" s="3" t="b">
        <v>1</v>
      </c>
      <c r="AJ294" s="3" t="b">
        <v>1</v>
      </c>
      <c r="AK294" s="3" t="b">
        <v>1</v>
      </c>
      <c r="AL294" s="3"/>
      <c r="AM294" s="3"/>
      <c r="AN294" s="3"/>
      <c r="AO294" s="3"/>
      <c r="AP294" s="3"/>
      <c r="AQ294" s="3" t="s">
        <v>59</v>
      </c>
      <c r="AR294" s="3" t="b">
        <v>1</v>
      </c>
      <c r="AS294" s="3" t="b">
        <v>1</v>
      </c>
      <c r="AT294" s="3" t="b">
        <v>1</v>
      </c>
      <c r="AU294" s="3" t="b">
        <v>1</v>
      </c>
      <c r="AV294" s="3" t="b">
        <v>1</v>
      </c>
      <c r="AW294" s="3" t="b">
        <f t="shared" si="18"/>
        <v>1</v>
      </c>
      <c r="AX294" s="3" t="b">
        <f t="shared" si="19"/>
        <v>0</v>
      </c>
      <c r="AY294" s="3" t="b">
        <f t="shared" si="20"/>
        <v>0</v>
      </c>
      <c r="AZ294" s="3" t="b">
        <f t="shared" si="21"/>
        <v>0</v>
      </c>
      <c r="BA294" s="3" t="b">
        <f t="shared" si="22"/>
        <v>0</v>
      </c>
      <c r="BB294" s="3" t="b">
        <f t="shared" si="23"/>
        <v>0</v>
      </c>
      <c r="BC294" s="3"/>
      <c r="BD294" s="3" t="s">
        <v>59</v>
      </c>
      <c r="BE294" s="3" t="b">
        <v>1</v>
      </c>
      <c r="BF294" s="3" t="b">
        <v>1</v>
      </c>
      <c r="BG294" s="3" t="b">
        <v>1</v>
      </c>
      <c r="BH294" s="3" t="b">
        <v>1</v>
      </c>
      <c r="BI294" s="3" t="b">
        <v>1</v>
      </c>
      <c r="BJ294" s="3"/>
      <c r="BK294" s="3"/>
      <c r="BL294" s="3"/>
      <c r="BM294" s="3"/>
      <c r="BN294" s="3"/>
      <c r="BO294" s="3" t="s">
        <v>59</v>
      </c>
      <c r="BP294" s="3" t="b">
        <v>1</v>
      </c>
      <c r="BQ294" s="3" t="b">
        <v>1</v>
      </c>
      <c r="BR294" s="3" t="b">
        <v>1</v>
      </c>
      <c r="BS294" s="3" t="b">
        <v>1</v>
      </c>
      <c r="BT294" s="3" t="b">
        <v>1</v>
      </c>
      <c r="BU294" s="3"/>
      <c r="BV294" s="3"/>
      <c r="BW294" s="3"/>
      <c r="BX294" s="3"/>
    </row>
    <row r="295" spans="1:76" x14ac:dyDescent="0.35">
      <c r="A295" s="3"/>
      <c r="B295" s="5" t="s">
        <v>719</v>
      </c>
      <c r="C295" s="5" t="s">
        <v>700</v>
      </c>
      <c r="D295" s="5" t="s">
        <v>701</v>
      </c>
      <c r="E295" s="5" t="s">
        <v>702</v>
      </c>
      <c r="F295" s="3"/>
      <c r="G295" s="3"/>
      <c r="H295" s="3"/>
      <c r="I295" s="3"/>
      <c r="J295" s="3"/>
      <c r="K295" s="3"/>
      <c r="L295" s="3"/>
      <c r="M295" s="3"/>
      <c r="N295" s="3">
        <f t="shared" si="12"/>
        <v>0</v>
      </c>
      <c r="O295" s="3">
        <f t="shared" si="13"/>
        <v>0</v>
      </c>
      <c r="P295" s="3">
        <f t="shared" si="14"/>
        <v>0</v>
      </c>
      <c r="Q295" s="3">
        <f t="shared" si="15"/>
        <v>0</v>
      </c>
      <c r="R295" s="3">
        <f t="shared" si="16"/>
        <v>0</v>
      </c>
      <c r="S295" s="3">
        <f t="shared" si="17"/>
        <v>0</v>
      </c>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f t="shared" si="18"/>
        <v>0</v>
      </c>
      <c r="AX295" s="3">
        <f t="shared" si="19"/>
        <v>0</v>
      </c>
      <c r="AY295" s="3">
        <f t="shared" si="20"/>
        <v>0</v>
      </c>
      <c r="AZ295" s="3">
        <f t="shared" si="21"/>
        <v>0</v>
      </c>
      <c r="BA295" s="3">
        <f t="shared" si="22"/>
        <v>0</v>
      </c>
      <c r="BB295" s="3">
        <f t="shared" si="23"/>
        <v>0</v>
      </c>
      <c r="BC295" s="3"/>
      <c r="BD295" s="3"/>
      <c r="BE295" s="3"/>
      <c r="BF295" s="3"/>
      <c r="BG295" s="3"/>
      <c r="BH295" s="3"/>
      <c r="BI295" s="3"/>
      <c r="BJ295" s="3"/>
      <c r="BK295" s="3"/>
      <c r="BL295" s="3"/>
      <c r="BM295" s="3"/>
      <c r="BN295" s="3"/>
      <c r="BO295" s="3"/>
      <c r="BP295" s="3"/>
      <c r="BQ295" s="3"/>
      <c r="BR295" s="3"/>
      <c r="BS295" s="3"/>
      <c r="BT295" s="3"/>
      <c r="BU295" s="3"/>
      <c r="BV295" s="3"/>
      <c r="BW295" s="3"/>
      <c r="BX295" s="3"/>
    </row>
    <row r="296" spans="1:76" x14ac:dyDescent="0.35">
      <c r="A296" s="3"/>
      <c r="B296" s="3"/>
      <c r="C296" s="5" t="s">
        <v>706</v>
      </c>
      <c r="D296" s="5"/>
      <c r="E296" s="5"/>
      <c r="F296" s="3"/>
      <c r="G296" s="3"/>
      <c r="H296" s="3"/>
      <c r="I296" s="3"/>
      <c r="J296" s="3"/>
      <c r="K296" s="3"/>
      <c r="L296" s="3"/>
      <c r="M296" s="3"/>
      <c r="N296" s="3">
        <f t="shared" si="12"/>
        <v>0</v>
      </c>
      <c r="O296" s="3">
        <f t="shared" si="13"/>
        <v>0</v>
      </c>
      <c r="P296" s="3">
        <f t="shared" si="14"/>
        <v>0</v>
      </c>
      <c r="Q296" s="3">
        <f t="shared" si="15"/>
        <v>0</v>
      </c>
      <c r="R296" s="3">
        <f t="shared" si="16"/>
        <v>0</v>
      </c>
      <c r="S296" s="3">
        <f t="shared" si="17"/>
        <v>0</v>
      </c>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f t="shared" si="18"/>
        <v>0</v>
      </c>
      <c r="AX296" s="3">
        <f t="shared" si="19"/>
        <v>0</v>
      </c>
      <c r="AY296" s="3">
        <f t="shared" si="20"/>
        <v>0</v>
      </c>
      <c r="AZ296" s="3">
        <f t="shared" si="21"/>
        <v>0</v>
      </c>
      <c r="BA296" s="3">
        <f t="shared" si="22"/>
        <v>0</v>
      </c>
      <c r="BB296" s="3">
        <f t="shared" si="23"/>
        <v>0</v>
      </c>
      <c r="BC296" s="3"/>
      <c r="BD296" s="3"/>
      <c r="BE296" s="3"/>
      <c r="BF296" s="3"/>
      <c r="BG296" s="3"/>
      <c r="BH296" s="3"/>
      <c r="BI296" s="3"/>
      <c r="BJ296" s="3"/>
      <c r="BK296" s="3"/>
      <c r="BL296" s="3"/>
      <c r="BM296" s="3"/>
      <c r="BN296" s="3"/>
      <c r="BO296" s="3"/>
      <c r="BP296" s="3"/>
      <c r="BQ296" s="3"/>
      <c r="BR296" s="3"/>
      <c r="BS296" s="3"/>
      <c r="BT296" s="3"/>
      <c r="BU296" s="3"/>
      <c r="BV296" s="3"/>
      <c r="BW296" s="3"/>
      <c r="BX296" s="3"/>
    </row>
    <row r="297" spans="1:76" x14ac:dyDescent="0.35">
      <c r="A297" s="3"/>
      <c r="B297" s="3"/>
      <c r="C297" s="5" t="s">
        <v>711</v>
      </c>
      <c r="D297" s="5"/>
      <c r="E297" s="5"/>
      <c r="F297" s="3"/>
      <c r="G297" s="3"/>
      <c r="H297" s="3"/>
      <c r="I297" s="3"/>
      <c r="J297" s="3"/>
      <c r="K297" s="3"/>
      <c r="L297" s="3"/>
      <c r="M297" s="3"/>
      <c r="N297" s="3">
        <f t="shared" si="12"/>
        <v>0</v>
      </c>
      <c r="O297" s="3">
        <f t="shared" si="13"/>
        <v>0</v>
      </c>
      <c r="P297" s="3">
        <f t="shared" si="14"/>
        <v>0</v>
      </c>
      <c r="Q297" s="3">
        <f t="shared" si="15"/>
        <v>0</v>
      </c>
      <c r="R297" s="3">
        <f t="shared" si="16"/>
        <v>0</v>
      </c>
      <c r="S297" s="3">
        <f t="shared" si="17"/>
        <v>0</v>
      </c>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f t="shared" si="18"/>
        <v>0</v>
      </c>
      <c r="AX297" s="3">
        <f t="shared" si="19"/>
        <v>0</v>
      </c>
      <c r="AY297" s="3">
        <f t="shared" si="20"/>
        <v>0</v>
      </c>
      <c r="AZ297" s="3">
        <f t="shared" si="21"/>
        <v>0</v>
      </c>
      <c r="BA297" s="3">
        <f t="shared" si="22"/>
        <v>0</v>
      </c>
      <c r="BB297" s="3">
        <f t="shared" si="23"/>
        <v>0</v>
      </c>
      <c r="BC297" s="3"/>
      <c r="BD297" s="3"/>
      <c r="BE297" s="3"/>
      <c r="BF297" s="3"/>
      <c r="BG297" s="3"/>
      <c r="BH297" s="3"/>
      <c r="BI297" s="3"/>
      <c r="BJ297" s="3"/>
      <c r="BK297" s="3"/>
      <c r="BL297" s="3"/>
      <c r="BM297" s="3"/>
      <c r="BN297" s="3"/>
      <c r="BO297" s="3"/>
      <c r="BP297" s="3"/>
      <c r="BQ297" s="3"/>
      <c r="BR297" s="3"/>
      <c r="BS297" s="3"/>
      <c r="BT297" s="3"/>
      <c r="BU297" s="3"/>
      <c r="BV297" s="3"/>
      <c r="BW297" s="3"/>
      <c r="BX297" s="3"/>
    </row>
    <row r="298" spans="1:76" x14ac:dyDescent="0.35">
      <c r="A298" s="3"/>
      <c r="B298" s="3" t="s">
        <v>720</v>
      </c>
      <c r="C298" s="3" t="s">
        <v>721</v>
      </c>
      <c r="D298" s="3"/>
      <c r="E298" s="3"/>
      <c r="F298" s="3"/>
      <c r="G298" s="3" t="s">
        <v>3730</v>
      </c>
      <c r="H298" s="3" t="s">
        <v>723</v>
      </c>
      <c r="I298" s="3" t="b">
        <v>1</v>
      </c>
      <c r="J298" s="3" t="b">
        <v>1</v>
      </c>
      <c r="K298" s="3" t="b">
        <v>1</v>
      </c>
      <c r="L298" s="3" t="b">
        <v>1</v>
      </c>
      <c r="M298" s="3" t="b">
        <v>1</v>
      </c>
      <c r="N298" s="3" t="b">
        <f t="shared" si="12"/>
        <v>1</v>
      </c>
      <c r="O298" s="3" t="b">
        <f t="shared" si="13"/>
        <v>0</v>
      </c>
      <c r="P298" s="3" t="b">
        <f t="shared" si="14"/>
        <v>0</v>
      </c>
      <c r="Q298" s="3" t="b">
        <f t="shared" si="15"/>
        <v>0</v>
      </c>
      <c r="R298" s="3" t="b">
        <f t="shared" si="16"/>
        <v>0</v>
      </c>
      <c r="S298" s="3" t="b">
        <f t="shared" si="17"/>
        <v>0</v>
      </c>
      <c r="U298" s="3" t="s">
        <v>723</v>
      </c>
      <c r="V298" s="3" t="b">
        <v>1</v>
      </c>
      <c r="W298" s="3" t="b">
        <v>1</v>
      </c>
      <c r="X298" s="3" t="b">
        <v>1</v>
      </c>
      <c r="Y298" s="3" t="b">
        <v>1</v>
      </c>
      <c r="Z298" s="3" t="b">
        <v>1</v>
      </c>
      <c r="AA298" s="3"/>
      <c r="AB298" s="3"/>
      <c r="AC298" s="3"/>
      <c r="AD298" s="3"/>
      <c r="AE298" s="3"/>
      <c r="AF298" s="3" t="s">
        <v>723</v>
      </c>
      <c r="AG298" s="3" t="b">
        <v>1</v>
      </c>
      <c r="AH298" s="3" t="b">
        <v>1</v>
      </c>
      <c r="AI298" s="3" t="b">
        <v>1</v>
      </c>
      <c r="AJ298" s="3" t="b">
        <v>1</v>
      </c>
      <c r="AK298" s="3" t="b">
        <v>1</v>
      </c>
      <c r="AL298" s="3"/>
      <c r="AM298" s="3"/>
      <c r="AN298" s="3"/>
      <c r="AO298" s="3"/>
      <c r="AP298" s="3"/>
      <c r="AQ298" s="3" t="s">
        <v>723</v>
      </c>
      <c r="AR298" s="3" t="b">
        <v>1</v>
      </c>
      <c r="AS298" s="3" t="b">
        <v>1</v>
      </c>
      <c r="AT298" s="3" t="b">
        <v>1</v>
      </c>
      <c r="AU298" s="3" t="b">
        <v>1</v>
      </c>
      <c r="AV298" s="3" t="b">
        <v>1</v>
      </c>
      <c r="AW298" s="3" t="b">
        <f t="shared" si="18"/>
        <v>1</v>
      </c>
      <c r="AX298" s="3" t="b">
        <f t="shared" si="19"/>
        <v>0</v>
      </c>
      <c r="AY298" s="3" t="b">
        <f t="shared" si="20"/>
        <v>0</v>
      </c>
      <c r="AZ298" s="3" t="b">
        <f t="shared" si="21"/>
        <v>0</v>
      </c>
      <c r="BA298" s="3" t="b">
        <f t="shared" si="22"/>
        <v>0</v>
      </c>
      <c r="BB298" s="3" t="b">
        <f t="shared" si="23"/>
        <v>0</v>
      </c>
      <c r="BC298" s="3"/>
      <c r="BD298" s="3" t="s">
        <v>723</v>
      </c>
      <c r="BE298" s="3" t="b">
        <v>1</v>
      </c>
      <c r="BF298" s="3" t="b">
        <v>1</v>
      </c>
      <c r="BG298" s="3" t="b">
        <v>1</v>
      </c>
      <c r="BH298" s="3" t="b">
        <v>1</v>
      </c>
      <c r="BI298" s="3" t="b">
        <v>1</v>
      </c>
      <c r="BJ298" s="3"/>
      <c r="BK298" s="3"/>
      <c r="BL298" s="3"/>
      <c r="BM298" s="3"/>
      <c r="BN298" s="3"/>
      <c r="BO298" s="3" t="s">
        <v>723</v>
      </c>
      <c r="BP298" s="3" t="b">
        <v>1</v>
      </c>
      <c r="BQ298" s="3" t="b">
        <v>1</v>
      </c>
      <c r="BR298" s="3" t="b">
        <v>1</v>
      </c>
      <c r="BS298" s="3" t="b">
        <v>1</v>
      </c>
      <c r="BT298" s="3" t="b">
        <v>1</v>
      </c>
      <c r="BU298" s="3"/>
      <c r="BV298" s="3"/>
      <c r="BW298" s="3"/>
      <c r="BX298" s="3"/>
    </row>
    <row r="299" spans="1:76" x14ac:dyDescent="0.35">
      <c r="A299" s="3"/>
      <c r="B299" s="3"/>
      <c r="C299" s="3" t="s">
        <v>724</v>
      </c>
      <c r="D299" s="3"/>
      <c r="E299" s="3"/>
      <c r="F299" s="3"/>
      <c r="G299" s="3" t="s">
        <v>3731</v>
      </c>
      <c r="H299" s="3" t="s">
        <v>726</v>
      </c>
      <c r="I299" s="3" t="b">
        <v>1</v>
      </c>
      <c r="J299" s="3" t="b">
        <v>1</v>
      </c>
      <c r="K299" s="3" t="b">
        <v>1</v>
      </c>
      <c r="L299" s="3" t="b">
        <v>1</v>
      </c>
      <c r="M299" s="3" t="b">
        <v>1</v>
      </c>
      <c r="N299" s="3" t="b">
        <f t="shared" si="12"/>
        <v>1</v>
      </c>
      <c r="O299" s="3" t="b">
        <f t="shared" si="13"/>
        <v>0</v>
      </c>
      <c r="P299" s="3" t="b">
        <f t="shared" si="14"/>
        <v>0</v>
      </c>
      <c r="Q299" s="3" t="b">
        <f t="shared" si="15"/>
        <v>0</v>
      </c>
      <c r="R299" s="3" t="b">
        <f t="shared" si="16"/>
        <v>0</v>
      </c>
      <c r="S299" s="3" t="b">
        <f t="shared" si="17"/>
        <v>0</v>
      </c>
      <c r="U299" s="3" t="s">
        <v>727</v>
      </c>
      <c r="V299" s="3" t="b">
        <v>1</v>
      </c>
      <c r="W299" s="3" t="b">
        <v>1</v>
      </c>
      <c r="X299" s="3" t="b">
        <v>1</v>
      </c>
      <c r="Y299" s="3" t="b">
        <v>1</v>
      </c>
      <c r="Z299" s="3" t="b">
        <v>1</v>
      </c>
      <c r="AA299" s="3"/>
      <c r="AB299" s="3"/>
      <c r="AC299" s="3"/>
      <c r="AD299" s="3"/>
      <c r="AE299" s="3"/>
      <c r="AF299" s="3" t="s">
        <v>728</v>
      </c>
      <c r="AG299" s="3" t="b">
        <v>1</v>
      </c>
      <c r="AH299" s="3" t="b">
        <v>0</v>
      </c>
      <c r="AI299" s="3" t="b">
        <v>0</v>
      </c>
      <c r="AJ299" s="3" t="b">
        <v>1</v>
      </c>
      <c r="AK299" s="3" t="b">
        <v>0</v>
      </c>
      <c r="AL299" s="3"/>
      <c r="AM299" s="3"/>
      <c r="AN299" s="3"/>
      <c r="AO299" s="3"/>
      <c r="AP299" s="3"/>
      <c r="AQ299" s="3" t="s">
        <v>727</v>
      </c>
      <c r="AR299" s="3" t="b">
        <v>1</v>
      </c>
      <c r="AS299" s="3" t="b">
        <v>1</v>
      </c>
      <c r="AT299" s="3" t="b">
        <v>1</v>
      </c>
      <c r="AU299" s="3" t="b">
        <v>1</v>
      </c>
      <c r="AV299" s="3" t="b">
        <v>1</v>
      </c>
      <c r="AW299" s="3" t="b">
        <f t="shared" si="18"/>
        <v>1</v>
      </c>
      <c r="AX299" s="3" t="b">
        <f t="shared" si="19"/>
        <v>0</v>
      </c>
      <c r="AY299" s="3" t="b">
        <f t="shared" si="20"/>
        <v>0</v>
      </c>
      <c r="AZ299" s="3" t="b">
        <f t="shared" si="21"/>
        <v>0</v>
      </c>
      <c r="BA299" s="3" t="b">
        <f t="shared" si="22"/>
        <v>0</v>
      </c>
      <c r="BB299" s="3" t="b">
        <f t="shared" si="23"/>
        <v>0</v>
      </c>
      <c r="BC299" s="3"/>
      <c r="BD299" s="3" t="s">
        <v>727</v>
      </c>
      <c r="BE299" s="3" t="b">
        <v>1</v>
      </c>
      <c r="BF299" s="3" t="b">
        <v>1</v>
      </c>
      <c r="BG299" s="3" t="b">
        <v>1</v>
      </c>
      <c r="BH299" s="3" t="b">
        <v>1</v>
      </c>
      <c r="BI299" s="3" t="b">
        <v>1</v>
      </c>
      <c r="BJ299" s="3"/>
      <c r="BK299" s="3"/>
      <c r="BL299" s="3"/>
      <c r="BM299" s="3"/>
      <c r="BN299" s="3"/>
      <c r="BO299" s="3" t="s">
        <v>729</v>
      </c>
      <c r="BP299" s="3" t="b">
        <v>1</v>
      </c>
      <c r="BQ299" s="3" t="b">
        <v>0</v>
      </c>
      <c r="BR299" s="3" t="b">
        <v>0</v>
      </c>
      <c r="BS299" s="3" t="b">
        <v>1</v>
      </c>
      <c r="BT299" s="3" t="b">
        <v>0</v>
      </c>
      <c r="BU299" s="3"/>
      <c r="BV299" s="3"/>
      <c r="BW299" s="3"/>
      <c r="BX299" s="3"/>
    </row>
    <row r="300" spans="1:76" x14ac:dyDescent="0.35">
      <c r="A300" s="3"/>
      <c r="B300" s="3" t="s">
        <v>730</v>
      </c>
      <c r="C300" s="3" t="s">
        <v>731</v>
      </c>
      <c r="D300" s="3" t="s">
        <v>732</v>
      </c>
      <c r="E300" s="3" t="s">
        <v>77</v>
      </c>
      <c r="F300" s="3"/>
      <c r="G300" s="3" t="s">
        <v>3732</v>
      </c>
      <c r="H300" s="3" t="s">
        <v>734</v>
      </c>
      <c r="I300" s="3" t="b">
        <v>1</v>
      </c>
      <c r="J300" s="3" t="b">
        <v>1</v>
      </c>
      <c r="K300" s="3" t="b">
        <v>1</v>
      </c>
      <c r="L300" s="3" t="b">
        <v>1</v>
      </c>
      <c r="M300" s="3" t="b">
        <v>1</v>
      </c>
      <c r="N300" s="3" t="b">
        <f t="shared" si="12"/>
        <v>1</v>
      </c>
      <c r="O300" s="3" t="b">
        <f t="shared" si="13"/>
        <v>0</v>
      </c>
      <c r="P300" s="3" t="b">
        <f t="shared" si="14"/>
        <v>0</v>
      </c>
      <c r="Q300" s="3" t="b">
        <f t="shared" si="15"/>
        <v>0</v>
      </c>
      <c r="R300" s="3" t="b">
        <f t="shared" si="16"/>
        <v>0</v>
      </c>
      <c r="S300" s="3" t="b">
        <f t="shared" si="17"/>
        <v>0</v>
      </c>
      <c r="U300" s="3" t="s">
        <v>735</v>
      </c>
      <c r="V300" s="3" t="b">
        <v>1</v>
      </c>
      <c r="W300" s="3" t="b">
        <v>1</v>
      </c>
      <c r="X300" s="3" t="b">
        <v>1</v>
      </c>
      <c r="Y300" s="3" t="b">
        <v>1</v>
      </c>
      <c r="Z300" s="3" t="b">
        <v>1</v>
      </c>
      <c r="AA300" s="3"/>
      <c r="AB300" s="3"/>
      <c r="AC300" s="3"/>
      <c r="AD300" s="3"/>
      <c r="AE300" s="3"/>
      <c r="AF300" s="3" t="s">
        <v>734</v>
      </c>
      <c r="AG300" s="3" t="b">
        <v>1</v>
      </c>
      <c r="AH300" s="3" t="b">
        <v>1</v>
      </c>
      <c r="AI300" s="3" t="b">
        <v>1</v>
      </c>
      <c r="AJ300" s="3" t="b">
        <v>1</v>
      </c>
      <c r="AK300" s="3" t="b">
        <v>1</v>
      </c>
      <c r="AL300" s="3"/>
      <c r="AM300" s="3"/>
      <c r="AN300" s="3"/>
      <c r="AO300" s="3"/>
      <c r="AP300" s="3"/>
      <c r="AQ300" s="3" t="s">
        <v>736</v>
      </c>
      <c r="AR300" s="3" t="b">
        <v>1</v>
      </c>
      <c r="AS300" s="3" t="b">
        <v>1</v>
      </c>
      <c r="AT300" s="3" t="b">
        <v>1</v>
      </c>
      <c r="AU300" s="3" t="b">
        <v>1</v>
      </c>
      <c r="AV300" s="3" t="b">
        <v>1</v>
      </c>
      <c r="AW300" s="3" t="b">
        <f t="shared" si="18"/>
        <v>1</v>
      </c>
      <c r="AX300" s="3" t="b">
        <f t="shared" si="19"/>
        <v>0</v>
      </c>
      <c r="AY300" s="3" t="b">
        <f t="shared" si="20"/>
        <v>0</v>
      </c>
      <c r="AZ300" s="3" t="b">
        <f t="shared" si="21"/>
        <v>0</v>
      </c>
      <c r="BA300" s="3" t="b">
        <f t="shared" si="22"/>
        <v>0</v>
      </c>
      <c r="BB300" s="3" t="b">
        <f t="shared" si="23"/>
        <v>0</v>
      </c>
      <c r="BC300" s="3"/>
      <c r="BD300" s="3" t="s">
        <v>736</v>
      </c>
      <c r="BE300" s="3" t="b">
        <v>1</v>
      </c>
      <c r="BF300" s="3" t="b">
        <v>1</v>
      </c>
      <c r="BG300" s="3" t="b">
        <v>1</v>
      </c>
      <c r="BH300" s="3" t="b">
        <v>1</v>
      </c>
      <c r="BI300" s="3" t="b">
        <v>1</v>
      </c>
      <c r="BJ300" s="3"/>
      <c r="BK300" s="3"/>
      <c r="BL300" s="3"/>
      <c r="BM300" s="3"/>
      <c r="BN300" s="3"/>
      <c r="BO300" s="3" t="s">
        <v>736</v>
      </c>
      <c r="BP300" s="3" t="b">
        <v>1</v>
      </c>
      <c r="BQ300" s="3" t="b">
        <v>1</v>
      </c>
      <c r="BR300" s="3" t="b">
        <v>1</v>
      </c>
      <c r="BS300" s="3" t="b">
        <v>1</v>
      </c>
      <c r="BT300" s="3" t="b">
        <v>1</v>
      </c>
      <c r="BU300" s="3"/>
      <c r="BV300" s="3"/>
      <c r="BW300" s="3"/>
      <c r="BX300" s="3"/>
    </row>
    <row r="301" spans="1:76" x14ac:dyDescent="0.35">
      <c r="A301" s="3"/>
      <c r="B301" s="3"/>
      <c r="C301" s="3" t="s">
        <v>737</v>
      </c>
      <c r="D301" s="3"/>
      <c r="E301" s="3"/>
      <c r="F301" s="3"/>
      <c r="G301" s="3" t="s">
        <v>3733</v>
      </c>
      <c r="H301" s="3" t="s">
        <v>739</v>
      </c>
      <c r="I301" s="3" t="b">
        <v>1</v>
      </c>
      <c r="J301" s="3" t="b">
        <v>1</v>
      </c>
      <c r="K301" s="3" t="b">
        <v>1</v>
      </c>
      <c r="L301" s="3" t="b">
        <v>1</v>
      </c>
      <c r="M301" s="3" t="b">
        <v>1</v>
      </c>
      <c r="N301" s="3" t="b">
        <f t="shared" si="12"/>
        <v>1</v>
      </c>
      <c r="O301" s="3" t="b">
        <f t="shared" si="13"/>
        <v>0</v>
      </c>
      <c r="P301" s="3" t="b">
        <f t="shared" si="14"/>
        <v>0</v>
      </c>
      <c r="Q301" s="3" t="b">
        <f t="shared" si="15"/>
        <v>0</v>
      </c>
      <c r="R301" s="3" t="b">
        <f t="shared" si="16"/>
        <v>0</v>
      </c>
      <c r="S301" s="3" t="b">
        <f t="shared" si="17"/>
        <v>0</v>
      </c>
      <c r="U301" s="3" t="s">
        <v>740</v>
      </c>
      <c r="V301" s="3" t="b">
        <v>1</v>
      </c>
      <c r="W301" s="3" t="b">
        <v>1</v>
      </c>
      <c r="X301" s="3" t="b">
        <v>1</v>
      </c>
      <c r="Y301" s="3" t="b">
        <v>1</v>
      </c>
      <c r="Z301" s="3" t="b">
        <v>1</v>
      </c>
      <c r="AA301" s="3"/>
      <c r="AB301" s="3"/>
      <c r="AC301" s="3"/>
      <c r="AD301" s="3"/>
      <c r="AE301" s="3"/>
      <c r="AF301" s="3" t="s">
        <v>741</v>
      </c>
      <c r="AG301" s="3" t="b">
        <v>1</v>
      </c>
      <c r="AH301" s="3" t="b">
        <v>1</v>
      </c>
      <c r="AI301" s="3" t="b">
        <v>1</v>
      </c>
      <c r="AJ301" s="3" t="b">
        <v>1</v>
      </c>
      <c r="AK301" s="3" t="b">
        <v>1</v>
      </c>
      <c r="AL301" s="3"/>
      <c r="AM301" s="3"/>
      <c r="AN301" s="3"/>
      <c r="AO301" s="3"/>
      <c r="AP301" s="3"/>
      <c r="AQ301" s="3" t="s">
        <v>742</v>
      </c>
      <c r="AR301" s="3" t="b">
        <v>1</v>
      </c>
      <c r="AS301" s="3" t="b">
        <v>1</v>
      </c>
      <c r="AT301" s="3" t="b">
        <v>1</v>
      </c>
      <c r="AU301" s="3" t="b">
        <v>0</v>
      </c>
      <c r="AV301" s="3" t="b">
        <v>1</v>
      </c>
      <c r="AW301" s="3" t="b">
        <f t="shared" si="18"/>
        <v>0</v>
      </c>
      <c r="AX301" s="3" t="b">
        <f t="shared" si="19"/>
        <v>0</v>
      </c>
      <c r="AY301" s="3" t="b">
        <f t="shared" si="20"/>
        <v>0</v>
      </c>
      <c r="AZ301" s="3" t="b">
        <f t="shared" si="21"/>
        <v>1</v>
      </c>
      <c r="BA301" s="3" t="b">
        <f t="shared" si="22"/>
        <v>0</v>
      </c>
      <c r="BB301" s="3" t="b">
        <f t="shared" si="23"/>
        <v>0</v>
      </c>
      <c r="BC301" s="3"/>
      <c r="BD301" s="3" t="s">
        <v>743</v>
      </c>
      <c r="BE301" s="3" t="b">
        <v>1</v>
      </c>
      <c r="BF301" s="3" t="b">
        <v>0</v>
      </c>
      <c r="BG301" s="3" t="b">
        <v>0</v>
      </c>
      <c r="BH301" s="3" t="b">
        <v>1</v>
      </c>
      <c r="BI301" s="3" t="b">
        <v>0</v>
      </c>
      <c r="BJ301" s="3"/>
      <c r="BK301" s="3"/>
      <c r="BL301" s="3"/>
      <c r="BM301" s="3"/>
      <c r="BN301" s="3"/>
      <c r="BO301" s="3" t="s">
        <v>744</v>
      </c>
      <c r="BP301" s="3" t="b">
        <v>1</v>
      </c>
      <c r="BQ301" s="3" t="b">
        <v>0</v>
      </c>
      <c r="BR301" s="3" t="b">
        <v>0</v>
      </c>
      <c r="BS301" s="3" t="b">
        <v>0</v>
      </c>
      <c r="BT301" s="3" t="b">
        <v>0</v>
      </c>
      <c r="BU301" s="3"/>
      <c r="BV301" s="3"/>
      <c r="BW301" s="3"/>
      <c r="BX301" s="3"/>
    </row>
    <row r="302" spans="1:76" x14ac:dyDescent="0.35">
      <c r="A302" s="3"/>
      <c r="B302" s="3"/>
      <c r="C302" s="3" t="s">
        <v>89</v>
      </c>
      <c r="D302" s="3"/>
      <c r="E302" s="3"/>
      <c r="F302" s="3"/>
      <c r="G302" s="3" t="s">
        <v>3734</v>
      </c>
      <c r="H302" s="3" t="s">
        <v>746</v>
      </c>
      <c r="I302" s="3" t="b">
        <v>1</v>
      </c>
      <c r="J302" s="3" t="b">
        <v>1</v>
      </c>
      <c r="K302" s="3" t="b">
        <v>1</v>
      </c>
      <c r="L302" s="3" t="b">
        <v>1</v>
      </c>
      <c r="M302" s="3" t="b">
        <v>1</v>
      </c>
      <c r="N302" s="3" t="b">
        <f t="shared" si="12"/>
        <v>1</v>
      </c>
      <c r="O302" s="3" t="b">
        <f t="shared" si="13"/>
        <v>0</v>
      </c>
      <c r="P302" s="3" t="b">
        <f t="shared" si="14"/>
        <v>0</v>
      </c>
      <c r="Q302" s="3" t="b">
        <f t="shared" si="15"/>
        <v>0</v>
      </c>
      <c r="R302" s="3" t="b">
        <f t="shared" si="16"/>
        <v>0</v>
      </c>
      <c r="S302" s="3" t="b">
        <f t="shared" si="17"/>
        <v>0</v>
      </c>
      <c r="U302" s="3" t="s">
        <v>486</v>
      </c>
      <c r="V302" s="3" t="b">
        <v>1</v>
      </c>
      <c r="W302" s="3" t="b">
        <v>0</v>
      </c>
      <c r="X302" s="3" t="b">
        <v>0</v>
      </c>
      <c r="Y302" s="3" t="b">
        <v>1</v>
      </c>
      <c r="Z302" s="3" t="b">
        <v>0</v>
      </c>
      <c r="AA302" s="3"/>
      <c r="AB302" s="3"/>
      <c r="AC302" s="3"/>
      <c r="AD302" s="3"/>
      <c r="AE302" s="3"/>
      <c r="AF302" s="3" t="s">
        <v>747</v>
      </c>
      <c r="AG302" s="3" t="b">
        <v>1</v>
      </c>
      <c r="AH302" s="3" t="b">
        <v>1</v>
      </c>
      <c r="AI302" s="3" t="b">
        <v>1</v>
      </c>
      <c r="AJ302" s="3" t="b">
        <v>1</v>
      </c>
      <c r="AK302" s="3" t="b">
        <v>1</v>
      </c>
      <c r="AL302" s="3"/>
      <c r="AM302" s="3"/>
      <c r="AN302" s="3"/>
      <c r="AO302" s="3"/>
      <c r="AP302" s="3"/>
      <c r="AQ302" s="3" t="s">
        <v>326</v>
      </c>
      <c r="AR302" s="3" t="b">
        <v>1</v>
      </c>
      <c r="AS302" s="3" t="b">
        <v>0</v>
      </c>
      <c r="AT302" s="3" t="b">
        <v>0</v>
      </c>
      <c r="AU302" s="3" t="b">
        <v>1</v>
      </c>
      <c r="AV302" s="3" t="b">
        <v>0</v>
      </c>
      <c r="AW302" s="3" t="b">
        <f t="shared" si="18"/>
        <v>0</v>
      </c>
      <c r="AX302" s="3" t="b">
        <f t="shared" si="19"/>
        <v>0</v>
      </c>
      <c r="AY302" s="3" t="b">
        <f t="shared" si="20"/>
        <v>1</v>
      </c>
      <c r="AZ302" s="3" t="b">
        <f t="shared" si="21"/>
        <v>0</v>
      </c>
      <c r="BA302" s="3" t="b">
        <f t="shared" si="22"/>
        <v>0</v>
      </c>
      <c r="BB302" s="3" t="b">
        <f t="shared" si="23"/>
        <v>0</v>
      </c>
      <c r="BC302" s="3"/>
      <c r="BD302" s="3" t="s">
        <v>748</v>
      </c>
      <c r="BE302" s="3" t="b">
        <v>1</v>
      </c>
      <c r="BF302" s="3" t="b">
        <v>1</v>
      </c>
      <c r="BG302" s="3" t="b">
        <v>1</v>
      </c>
      <c r="BH302" s="3" t="b">
        <v>1</v>
      </c>
      <c r="BI302" s="3" t="b">
        <v>1</v>
      </c>
      <c r="BJ302" s="3"/>
      <c r="BK302" s="3"/>
      <c r="BL302" s="3"/>
      <c r="BM302" s="3"/>
      <c r="BN302" s="3"/>
      <c r="BO302" s="3" t="s">
        <v>749</v>
      </c>
      <c r="BP302" s="3" t="b">
        <v>1</v>
      </c>
      <c r="BQ302" s="3" t="b">
        <v>1</v>
      </c>
      <c r="BR302" s="3" t="b">
        <v>1</v>
      </c>
      <c r="BS302" s="3" t="b">
        <v>1</v>
      </c>
      <c r="BT302" s="3" t="b">
        <v>1</v>
      </c>
      <c r="BU302" s="3"/>
      <c r="BV302" s="3"/>
      <c r="BW302" s="3"/>
      <c r="BX302" s="3"/>
    </row>
    <row r="303" spans="1:76" x14ac:dyDescent="0.35">
      <c r="A303" s="3"/>
      <c r="B303" s="3"/>
      <c r="C303" s="3" t="s">
        <v>97</v>
      </c>
      <c r="D303" s="3"/>
      <c r="E303" s="3"/>
      <c r="F303" s="3"/>
      <c r="G303" s="3" t="s">
        <v>3735</v>
      </c>
      <c r="H303" s="3"/>
      <c r="I303" s="3" t="b">
        <v>1</v>
      </c>
      <c r="J303" s="3" t="b">
        <v>0</v>
      </c>
      <c r="K303" s="3" t="b">
        <v>0</v>
      </c>
      <c r="L303" s="3" t="b">
        <v>0</v>
      </c>
      <c r="M303" s="3" t="b">
        <v>0</v>
      </c>
      <c r="N303" s="3" t="b">
        <f t="shared" si="12"/>
        <v>0</v>
      </c>
      <c r="O303" s="3" t="b">
        <f t="shared" si="13"/>
        <v>0</v>
      </c>
      <c r="P303" s="3" t="b">
        <f t="shared" si="14"/>
        <v>1</v>
      </c>
      <c r="Q303" s="3" t="b">
        <f t="shared" si="15"/>
        <v>0</v>
      </c>
      <c r="R303" s="3" t="b">
        <f t="shared" si="16"/>
        <v>0</v>
      </c>
      <c r="S303" s="3" t="b">
        <f t="shared" si="17"/>
        <v>0</v>
      </c>
      <c r="U303" s="3" t="s">
        <v>751</v>
      </c>
      <c r="V303" s="3" t="b">
        <v>1</v>
      </c>
      <c r="W303" s="3" t="b">
        <v>1</v>
      </c>
      <c r="X303" s="3" t="b">
        <v>1</v>
      </c>
      <c r="Y303" s="3" t="b">
        <v>1</v>
      </c>
      <c r="Z303" s="3" t="b">
        <v>1</v>
      </c>
      <c r="AA303" s="3"/>
      <c r="AB303" s="3"/>
      <c r="AC303" s="3"/>
      <c r="AD303" s="3"/>
      <c r="AE303" s="3"/>
      <c r="AF303" s="3" t="s">
        <v>752</v>
      </c>
      <c r="AG303" s="3" t="b">
        <v>1</v>
      </c>
      <c r="AH303" s="3" t="b">
        <v>0</v>
      </c>
      <c r="AI303" s="3" t="b">
        <v>0</v>
      </c>
      <c r="AJ303" s="3" t="b">
        <v>1</v>
      </c>
      <c r="AK303" s="3" t="b">
        <v>0</v>
      </c>
      <c r="AL303" s="3"/>
      <c r="AM303" s="3"/>
      <c r="AN303" s="3"/>
      <c r="AO303" s="3"/>
      <c r="AP303" s="3"/>
      <c r="AQ303" s="3" t="s">
        <v>332</v>
      </c>
      <c r="AR303" s="3" t="b">
        <v>1</v>
      </c>
      <c r="AS303" s="3" t="b">
        <v>1</v>
      </c>
      <c r="AT303" s="3" t="b">
        <v>1</v>
      </c>
      <c r="AU303" s="3" t="b">
        <v>0</v>
      </c>
      <c r="AV303" s="3" t="b">
        <v>1</v>
      </c>
      <c r="AW303" s="3" t="b">
        <f t="shared" si="18"/>
        <v>0</v>
      </c>
      <c r="AX303" s="3" t="b">
        <f t="shared" si="19"/>
        <v>0</v>
      </c>
      <c r="AY303" s="3" t="b">
        <f t="shared" si="20"/>
        <v>0</v>
      </c>
      <c r="AZ303" s="3" t="b">
        <f t="shared" si="21"/>
        <v>1</v>
      </c>
      <c r="BA303" s="3" t="b">
        <f t="shared" si="22"/>
        <v>0</v>
      </c>
      <c r="BB303" s="3" t="b">
        <f t="shared" si="23"/>
        <v>0</v>
      </c>
      <c r="BC303" s="3"/>
      <c r="BD303" s="3" t="s">
        <v>332</v>
      </c>
      <c r="BE303" s="3" t="b">
        <v>1</v>
      </c>
      <c r="BF303" s="3" t="b">
        <v>1</v>
      </c>
      <c r="BG303" s="3" t="b">
        <v>1</v>
      </c>
      <c r="BH303" s="3" t="b">
        <v>0</v>
      </c>
      <c r="BI303" s="3" t="b">
        <v>1</v>
      </c>
      <c r="BJ303" s="3"/>
      <c r="BK303" s="3"/>
      <c r="BL303" s="3"/>
      <c r="BM303" s="3"/>
      <c r="BN303" s="3"/>
      <c r="BO303" s="3" t="s">
        <v>332</v>
      </c>
      <c r="BP303" s="3" t="b">
        <v>1</v>
      </c>
      <c r="BQ303" s="3" t="b">
        <v>1</v>
      </c>
      <c r="BR303" s="3" t="b">
        <v>1</v>
      </c>
      <c r="BS303" s="3" t="b">
        <v>0</v>
      </c>
      <c r="BT303" s="3" t="b">
        <v>1</v>
      </c>
      <c r="BU303" s="3"/>
      <c r="BV303" s="3"/>
      <c r="BW303" s="3"/>
      <c r="BX303" s="3"/>
    </row>
    <row r="304" spans="1:76" x14ac:dyDescent="0.35">
      <c r="A304" s="3"/>
      <c r="B304" s="5" t="s">
        <v>753</v>
      </c>
      <c r="C304" s="5" t="s">
        <v>754</v>
      </c>
      <c r="D304" s="5" t="s">
        <v>732</v>
      </c>
      <c r="E304" s="5" t="s">
        <v>77</v>
      </c>
      <c r="F304" s="3"/>
      <c r="G304" s="3"/>
      <c r="H304" s="3"/>
      <c r="I304" s="3"/>
      <c r="J304" s="3"/>
      <c r="K304" s="3"/>
      <c r="L304" s="3"/>
      <c r="M304" s="3"/>
      <c r="N304" s="3">
        <f t="shared" si="12"/>
        <v>0</v>
      </c>
      <c r="O304" s="3">
        <f t="shared" si="13"/>
        <v>0</v>
      </c>
      <c r="P304" s="3">
        <f t="shared" si="14"/>
        <v>0</v>
      </c>
      <c r="Q304" s="3">
        <f t="shared" si="15"/>
        <v>0</v>
      </c>
      <c r="R304" s="3">
        <f t="shared" si="16"/>
        <v>0</v>
      </c>
      <c r="S304" s="3">
        <f t="shared" si="17"/>
        <v>0</v>
      </c>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f t="shared" si="18"/>
        <v>0</v>
      </c>
      <c r="AX304" s="3">
        <f t="shared" si="19"/>
        <v>0</v>
      </c>
      <c r="AY304" s="3">
        <f t="shared" si="20"/>
        <v>0</v>
      </c>
      <c r="AZ304" s="3">
        <f t="shared" si="21"/>
        <v>0</v>
      </c>
      <c r="BA304" s="3">
        <f t="shared" si="22"/>
        <v>0</v>
      </c>
      <c r="BB304" s="3">
        <f t="shared" si="23"/>
        <v>0</v>
      </c>
      <c r="BC304" s="3"/>
      <c r="BD304" s="3"/>
      <c r="BE304" s="3"/>
      <c r="BF304" s="3"/>
      <c r="BG304" s="3"/>
      <c r="BH304" s="3"/>
      <c r="BI304" s="3"/>
      <c r="BJ304" s="3"/>
      <c r="BK304" s="3"/>
      <c r="BL304" s="3"/>
      <c r="BM304" s="3"/>
      <c r="BN304" s="3"/>
      <c r="BO304" s="3"/>
      <c r="BP304" s="3"/>
      <c r="BQ304" s="3"/>
      <c r="BR304" s="3"/>
      <c r="BS304" s="3"/>
      <c r="BT304" s="3"/>
      <c r="BU304" s="3"/>
      <c r="BV304" s="3"/>
      <c r="BW304" s="3"/>
      <c r="BX304" s="3"/>
    </row>
    <row r="305" spans="1:76" x14ac:dyDescent="0.35">
      <c r="A305" s="3"/>
      <c r="B305" s="3"/>
      <c r="C305" s="5" t="s">
        <v>755</v>
      </c>
      <c r="D305" s="5"/>
      <c r="E305" s="5"/>
      <c r="F305" s="3"/>
      <c r="G305" s="3"/>
      <c r="H305" s="3"/>
      <c r="I305" s="3"/>
      <c r="J305" s="3"/>
      <c r="K305" s="3"/>
      <c r="L305" s="3"/>
      <c r="M305" s="3"/>
      <c r="N305" s="3">
        <f t="shared" si="12"/>
        <v>0</v>
      </c>
      <c r="O305" s="3">
        <f t="shared" si="13"/>
        <v>0</v>
      </c>
      <c r="P305" s="3">
        <f t="shared" si="14"/>
        <v>0</v>
      </c>
      <c r="Q305" s="3">
        <f t="shared" si="15"/>
        <v>0</v>
      </c>
      <c r="R305" s="3">
        <f t="shared" si="16"/>
        <v>0</v>
      </c>
      <c r="S305" s="3">
        <f t="shared" si="17"/>
        <v>0</v>
      </c>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f t="shared" si="18"/>
        <v>0</v>
      </c>
      <c r="AX305" s="3">
        <f t="shared" si="19"/>
        <v>0</v>
      </c>
      <c r="AY305" s="3">
        <f t="shared" si="20"/>
        <v>0</v>
      </c>
      <c r="AZ305" s="3">
        <f t="shared" si="21"/>
        <v>0</v>
      </c>
      <c r="BA305" s="3">
        <f t="shared" si="22"/>
        <v>0</v>
      </c>
      <c r="BB305" s="3">
        <f t="shared" si="23"/>
        <v>0</v>
      </c>
      <c r="BC305" s="3"/>
      <c r="BD305" s="3"/>
      <c r="BE305" s="3"/>
      <c r="BF305" s="3"/>
      <c r="BG305" s="3"/>
      <c r="BH305" s="3"/>
      <c r="BI305" s="3"/>
      <c r="BJ305" s="3"/>
      <c r="BK305" s="3"/>
      <c r="BL305" s="3"/>
      <c r="BM305" s="3"/>
      <c r="BN305" s="3"/>
      <c r="BO305" s="3"/>
      <c r="BP305" s="3"/>
      <c r="BQ305" s="3"/>
      <c r="BR305" s="3"/>
      <c r="BS305" s="3"/>
      <c r="BT305" s="3"/>
      <c r="BU305" s="3"/>
      <c r="BV305" s="3"/>
      <c r="BW305" s="3"/>
      <c r="BX305" s="3"/>
    </row>
    <row r="306" spans="1:76" x14ac:dyDescent="0.35">
      <c r="A306" s="3"/>
      <c r="B306" s="3"/>
      <c r="C306" s="5" t="s">
        <v>756</v>
      </c>
      <c r="D306" s="5"/>
      <c r="E306" s="5"/>
      <c r="F306" s="3"/>
      <c r="G306" s="3"/>
      <c r="H306" s="3"/>
      <c r="I306" s="3"/>
      <c r="J306" s="3"/>
      <c r="K306" s="3"/>
      <c r="L306" s="3"/>
      <c r="M306" s="3"/>
      <c r="N306" s="3">
        <f t="shared" si="12"/>
        <v>0</v>
      </c>
      <c r="O306" s="3">
        <f t="shared" si="13"/>
        <v>0</v>
      </c>
      <c r="P306" s="3">
        <f t="shared" si="14"/>
        <v>0</v>
      </c>
      <c r="Q306" s="3">
        <f t="shared" si="15"/>
        <v>0</v>
      </c>
      <c r="R306" s="3">
        <f t="shared" si="16"/>
        <v>0</v>
      </c>
      <c r="S306" s="3">
        <f t="shared" si="17"/>
        <v>0</v>
      </c>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f t="shared" si="18"/>
        <v>0</v>
      </c>
      <c r="AX306" s="3">
        <f t="shared" si="19"/>
        <v>0</v>
      </c>
      <c r="AY306" s="3">
        <f t="shared" si="20"/>
        <v>0</v>
      </c>
      <c r="AZ306" s="3">
        <f t="shared" si="21"/>
        <v>0</v>
      </c>
      <c r="BA306" s="3">
        <f t="shared" si="22"/>
        <v>0</v>
      </c>
      <c r="BB306" s="3">
        <f t="shared" si="23"/>
        <v>0</v>
      </c>
      <c r="BC306" s="3"/>
      <c r="BD306" s="3"/>
      <c r="BE306" s="3"/>
      <c r="BF306" s="3"/>
      <c r="BG306" s="3"/>
      <c r="BH306" s="3"/>
      <c r="BI306" s="3"/>
      <c r="BJ306" s="3"/>
      <c r="BK306" s="3"/>
      <c r="BL306" s="3"/>
      <c r="BM306" s="3"/>
      <c r="BN306" s="3"/>
      <c r="BO306" s="3"/>
      <c r="BP306" s="3"/>
      <c r="BQ306" s="3"/>
      <c r="BR306" s="3"/>
      <c r="BS306" s="3"/>
      <c r="BT306" s="3"/>
      <c r="BU306" s="3"/>
      <c r="BV306" s="3"/>
      <c r="BW306" s="3"/>
      <c r="BX306" s="3"/>
    </row>
    <row r="307" spans="1:76" x14ac:dyDescent="0.35">
      <c r="A307" s="3"/>
      <c r="B307" s="3"/>
      <c r="C307" s="5" t="s">
        <v>757</v>
      </c>
      <c r="D307" s="5"/>
      <c r="E307" s="5"/>
      <c r="F307" s="3"/>
      <c r="G307" s="3"/>
      <c r="H307" s="3"/>
      <c r="I307" s="3"/>
      <c r="J307" s="3"/>
      <c r="K307" s="3"/>
      <c r="L307" s="3"/>
      <c r="M307" s="3"/>
      <c r="N307" s="3">
        <f t="shared" si="12"/>
        <v>0</v>
      </c>
      <c r="O307" s="3">
        <f t="shared" si="13"/>
        <v>0</v>
      </c>
      <c r="P307" s="3">
        <f t="shared" si="14"/>
        <v>0</v>
      </c>
      <c r="Q307" s="3">
        <f t="shared" si="15"/>
        <v>0</v>
      </c>
      <c r="R307" s="3">
        <f t="shared" si="16"/>
        <v>0</v>
      </c>
      <c r="S307" s="3">
        <f t="shared" si="17"/>
        <v>0</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f t="shared" si="18"/>
        <v>0</v>
      </c>
      <c r="AX307" s="3">
        <f t="shared" si="19"/>
        <v>0</v>
      </c>
      <c r="AY307" s="3">
        <f t="shared" si="20"/>
        <v>0</v>
      </c>
      <c r="AZ307" s="3">
        <f t="shared" si="21"/>
        <v>0</v>
      </c>
      <c r="BA307" s="3">
        <f t="shared" si="22"/>
        <v>0</v>
      </c>
      <c r="BB307" s="3">
        <f t="shared" si="23"/>
        <v>0</v>
      </c>
      <c r="BC307" s="3"/>
      <c r="BD307" s="3"/>
      <c r="BE307" s="3"/>
      <c r="BF307" s="3"/>
      <c r="BG307" s="3"/>
      <c r="BH307" s="3"/>
      <c r="BI307" s="3"/>
      <c r="BJ307" s="3"/>
      <c r="BK307" s="3"/>
      <c r="BL307" s="3"/>
      <c r="BM307" s="3"/>
      <c r="BN307" s="3"/>
      <c r="BO307" s="3"/>
      <c r="BP307" s="3"/>
      <c r="BQ307" s="3"/>
      <c r="BR307" s="3"/>
      <c r="BS307" s="3"/>
      <c r="BT307" s="3"/>
      <c r="BU307" s="3"/>
      <c r="BV307" s="3"/>
      <c r="BW307" s="3"/>
      <c r="BX307" s="3"/>
    </row>
    <row r="308" spans="1:76" x14ac:dyDescent="0.35">
      <c r="A308" s="3"/>
      <c r="B308" s="5" t="s">
        <v>758</v>
      </c>
      <c r="C308" s="5" t="s">
        <v>759</v>
      </c>
      <c r="D308" s="5"/>
      <c r="E308" s="3"/>
      <c r="F308" s="3"/>
      <c r="G308" s="3"/>
      <c r="H308" s="3"/>
      <c r="I308" s="3"/>
      <c r="J308" s="3"/>
      <c r="K308" s="3"/>
      <c r="L308" s="3"/>
      <c r="M308" s="3"/>
      <c r="N308" s="3">
        <f t="shared" si="12"/>
        <v>0</v>
      </c>
      <c r="O308" s="3">
        <f t="shared" si="13"/>
        <v>0</v>
      </c>
      <c r="P308" s="3">
        <f t="shared" si="14"/>
        <v>0</v>
      </c>
      <c r="Q308" s="3">
        <f t="shared" si="15"/>
        <v>0</v>
      </c>
      <c r="R308" s="3">
        <f t="shared" si="16"/>
        <v>0</v>
      </c>
      <c r="S308" s="3">
        <f t="shared" si="17"/>
        <v>0</v>
      </c>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f t="shared" si="18"/>
        <v>0</v>
      </c>
      <c r="AX308" s="3">
        <f t="shared" si="19"/>
        <v>0</v>
      </c>
      <c r="AY308" s="3">
        <f t="shared" si="20"/>
        <v>0</v>
      </c>
      <c r="AZ308" s="3">
        <f t="shared" si="21"/>
        <v>0</v>
      </c>
      <c r="BA308" s="3">
        <f t="shared" si="22"/>
        <v>0</v>
      </c>
      <c r="BB308" s="3">
        <f t="shared" si="23"/>
        <v>0</v>
      </c>
      <c r="BC308" s="3"/>
      <c r="BD308" s="3"/>
      <c r="BE308" s="3"/>
      <c r="BF308" s="3"/>
      <c r="BG308" s="3"/>
      <c r="BH308" s="3"/>
      <c r="BI308" s="3"/>
      <c r="BJ308" s="3"/>
      <c r="BK308" s="3"/>
      <c r="BL308" s="3"/>
      <c r="BM308" s="3"/>
      <c r="BN308" s="3"/>
      <c r="BO308" s="3"/>
      <c r="BP308" s="3"/>
      <c r="BQ308" s="3"/>
      <c r="BR308" s="3"/>
      <c r="BS308" s="3"/>
      <c r="BT308" s="3"/>
      <c r="BU308" s="3"/>
      <c r="BV308" s="3"/>
      <c r="BW308" s="3"/>
      <c r="BX308" s="3"/>
    </row>
    <row r="309" spans="1:76" x14ac:dyDescent="0.35">
      <c r="A309" s="3"/>
      <c r="B309" s="3"/>
      <c r="C309" s="5" t="s">
        <v>760</v>
      </c>
      <c r="D309" s="5"/>
      <c r="E309" s="3"/>
      <c r="F309" s="3"/>
      <c r="G309" s="3"/>
      <c r="H309" s="3"/>
      <c r="I309" s="3"/>
      <c r="J309" s="3"/>
      <c r="K309" s="3"/>
      <c r="L309" s="3"/>
      <c r="M309" s="3"/>
      <c r="N309" s="3">
        <f t="shared" si="12"/>
        <v>0</v>
      </c>
      <c r="O309" s="3">
        <f t="shared" si="13"/>
        <v>0</v>
      </c>
      <c r="P309" s="3">
        <f t="shared" si="14"/>
        <v>0</v>
      </c>
      <c r="Q309" s="3">
        <f t="shared" si="15"/>
        <v>0</v>
      </c>
      <c r="R309" s="3">
        <f t="shared" si="16"/>
        <v>0</v>
      </c>
      <c r="S309" s="3">
        <f t="shared" si="17"/>
        <v>0</v>
      </c>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f t="shared" si="18"/>
        <v>0</v>
      </c>
      <c r="AX309" s="3">
        <f t="shared" si="19"/>
        <v>0</v>
      </c>
      <c r="AY309" s="3">
        <f t="shared" si="20"/>
        <v>0</v>
      </c>
      <c r="AZ309" s="3">
        <f t="shared" si="21"/>
        <v>0</v>
      </c>
      <c r="BA309" s="3">
        <f t="shared" si="22"/>
        <v>0</v>
      </c>
      <c r="BB309" s="3">
        <f t="shared" si="23"/>
        <v>0</v>
      </c>
      <c r="BC309" s="3"/>
      <c r="BD309" s="3"/>
      <c r="BE309" s="3"/>
      <c r="BF309" s="3"/>
      <c r="BG309" s="3"/>
      <c r="BH309" s="3"/>
      <c r="BI309" s="3"/>
      <c r="BJ309" s="3"/>
      <c r="BK309" s="3"/>
      <c r="BL309" s="3"/>
      <c r="BM309" s="3"/>
      <c r="BN309" s="3"/>
      <c r="BO309" s="3"/>
      <c r="BP309" s="3"/>
      <c r="BQ309" s="3"/>
      <c r="BR309" s="3"/>
      <c r="BS309" s="3"/>
      <c r="BT309" s="3"/>
      <c r="BU309" s="3"/>
      <c r="BV309" s="3"/>
      <c r="BW309" s="3"/>
      <c r="BX309" s="3"/>
    </row>
    <row r="310" spans="1:76" x14ac:dyDescent="0.35">
      <c r="A310" s="3"/>
      <c r="B310" s="3"/>
      <c r="C310" s="5" t="s">
        <v>64</v>
      </c>
      <c r="D310" s="3"/>
      <c r="E310" s="3"/>
      <c r="F310" s="3"/>
      <c r="G310" s="3"/>
      <c r="H310" s="3"/>
      <c r="I310" s="3"/>
      <c r="J310" s="3"/>
      <c r="K310" s="3"/>
      <c r="L310" s="3"/>
      <c r="M310" s="3"/>
      <c r="N310" s="3">
        <f t="shared" si="12"/>
        <v>0</v>
      </c>
      <c r="O310" s="3">
        <f t="shared" si="13"/>
        <v>0</v>
      </c>
      <c r="P310" s="3">
        <f t="shared" si="14"/>
        <v>0</v>
      </c>
      <c r="Q310" s="3">
        <f t="shared" si="15"/>
        <v>0</v>
      </c>
      <c r="R310" s="3">
        <f t="shared" si="16"/>
        <v>0</v>
      </c>
      <c r="S310" s="3">
        <f t="shared" si="17"/>
        <v>0</v>
      </c>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f t="shared" si="18"/>
        <v>0</v>
      </c>
      <c r="AX310" s="3">
        <f t="shared" si="19"/>
        <v>0</v>
      </c>
      <c r="AY310" s="3">
        <f t="shared" si="20"/>
        <v>0</v>
      </c>
      <c r="AZ310" s="3">
        <f t="shared" si="21"/>
        <v>0</v>
      </c>
      <c r="BA310" s="3">
        <f t="shared" si="22"/>
        <v>0</v>
      </c>
      <c r="BB310" s="3">
        <f t="shared" si="23"/>
        <v>0</v>
      </c>
      <c r="BC310" s="3"/>
      <c r="BD310" s="3"/>
      <c r="BE310" s="3"/>
      <c r="BF310" s="3"/>
      <c r="BG310" s="3"/>
      <c r="BH310" s="3"/>
      <c r="BI310" s="3"/>
      <c r="BJ310" s="3"/>
      <c r="BK310" s="3"/>
      <c r="BL310" s="3"/>
      <c r="BM310" s="3"/>
      <c r="BN310" s="3"/>
      <c r="BO310" s="3"/>
      <c r="BP310" s="3"/>
      <c r="BQ310" s="3"/>
      <c r="BR310" s="3"/>
      <c r="BS310" s="3"/>
      <c r="BT310" s="3"/>
      <c r="BU310" s="3"/>
      <c r="BV310" s="3"/>
      <c r="BW310" s="3"/>
      <c r="BX310" s="3"/>
    </row>
    <row r="311" spans="1:76" x14ac:dyDescent="0.35">
      <c r="A311" s="3"/>
      <c r="B311" s="5" t="s">
        <v>761</v>
      </c>
      <c r="C311" s="5" t="s">
        <v>131</v>
      </c>
      <c r="D311" s="3"/>
      <c r="E311" s="3"/>
      <c r="F311" s="3"/>
      <c r="G311" s="3"/>
      <c r="H311" s="3"/>
      <c r="I311" s="3"/>
      <c r="J311" s="3"/>
      <c r="K311" s="3"/>
      <c r="L311" s="3"/>
      <c r="M311" s="3"/>
      <c r="N311" s="3">
        <f t="shared" si="12"/>
        <v>0</v>
      </c>
      <c r="O311" s="3">
        <f t="shared" si="13"/>
        <v>0</v>
      </c>
      <c r="P311" s="3">
        <f t="shared" si="14"/>
        <v>0</v>
      </c>
      <c r="Q311" s="3">
        <f t="shared" si="15"/>
        <v>0</v>
      </c>
      <c r="R311" s="3">
        <f t="shared" si="16"/>
        <v>0</v>
      </c>
      <c r="S311" s="3">
        <f t="shared" si="17"/>
        <v>0</v>
      </c>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f t="shared" si="18"/>
        <v>0</v>
      </c>
      <c r="AX311" s="3">
        <f t="shared" si="19"/>
        <v>0</v>
      </c>
      <c r="AY311" s="3">
        <f t="shared" si="20"/>
        <v>0</v>
      </c>
      <c r="AZ311" s="3">
        <f t="shared" si="21"/>
        <v>0</v>
      </c>
      <c r="BA311" s="3">
        <f t="shared" si="22"/>
        <v>0</v>
      </c>
      <c r="BB311" s="3">
        <f t="shared" si="23"/>
        <v>0</v>
      </c>
      <c r="BC311" s="3"/>
      <c r="BD311" s="3"/>
      <c r="BE311" s="3"/>
      <c r="BF311" s="3"/>
      <c r="BG311" s="3"/>
      <c r="BH311" s="3"/>
      <c r="BI311" s="3"/>
      <c r="BJ311" s="3"/>
      <c r="BK311" s="3"/>
      <c r="BL311" s="3"/>
      <c r="BM311" s="3"/>
      <c r="BN311" s="3"/>
      <c r="BO311" s="3"/>
      <c r="BP311" s="3"/>
      <c r="BQ311" s="3"/>
      <c r="BR311" s="3"/>
      <c r="BS311" s="3"/>
      <c r="BT311" s="3"/>
      <c r="BU311" s="3"/>
      <c r="BV311" s="3"/>
      <c r="BW311" s="3"/>
      <c r="BX311" s="3"/>
    </row>
    <row r="312" spans="1:76" x14ac:dyDescent="0.35">
      <c r="A312" s="3"/>
      <c r="B312" s="3" t="s">
        <v>762</v>
      </c>
      <c r="C312" s="3" t="s">
        <v>763</v>
      </c>
      <c r="D312" s="3" t="s">
        <v>764</v>
      </c>
      <c r="E312" s="3" t="s">
        <v>175</v>
      </c>
      <c r="F312" s="3"/>
      <c r="G312" s="3" t="s">
        <v>3736</v>
      </c>
      <c r="H312" s="3" t="s">
        <v>765</v>
      </c>
      <c r="I312" s="3" t="b">
        <v>1</v>
      </c>
      <c r="J312" s="3" t="b">
        <v>1</v>
      </c>
      <c r="K312" s="3" t="b">
        <v>1</v>
      </c>
      <c r="L312" s="3" t="b">
        <v>0</v>
      </c>
      <c r="M312" s="3" t="b">
        <v>0</v>
      </c>
      <c r="N312" s="3" t="b">
        <f t="shared" si="12"/>
        <v>0</v>
      </c>
      <c r="O312" s="3" t="b">
        <f t="shared" si="13"/>
        <v>0</v>
      </c>
      <c r="P312" s="3" t="b">
        <f t="shared" si="14"/>
        <v>1</v>
      </c>
      <c r="Q312" s="3" t="b">
        <f t="shared" si="15"/>
        <v>0</v>
      </c>
      <c r="R312" s="3" t="b">
        <f t="shared" si="16"/>
        <v>1</v>
      </c>
      <c r="S312" s="3" t="b">
        <f t="shared" si="17"/>
        <v>0</v>
      </c>
      <c r="U312" s="3"/>
      <c r="V312" s="3" t="b">
        <v>1</v>
      </c>
      <c r="W312" s="3" t="b">
        <v>0</v>
      </c>
      <c r="X312" s="3" t="b">
        <v>0</v>
      </c>
      <c r="Y312" s="3" t="b">
        <v>0</v>
      </c>
      <c r="Z312" s="3" t="b">
        <v>0</v>
      </c>
      <c r="AA312" s="3"/>
      <c r="AB312" s="3"/>
      <c r="AC312" s="3"/>
      <c r="AD312" s="3"/>
      <c r="AE312" s="3"/>
      <c r="AF312" s="3"/>
      <c r="AG312" s="3" t="b">
        <v>1</v>
      </c>
      <c r="AH312" s="3" t="b">
        <v>0</v>
      </c>
      <c r="AI312" s="3" t="b">
        <v>0</v>
      </c>
      <c r="AJ312" s="3" t="b">
        <v>0</v>
      </c>
      <c r="AK312" s="3" t="b">
        <v>0</v>
      </c>
      <c r="AL312" s="3"/>
      <c r="AM312" s="3"/>
      <c r="AN312" s="3"/>
      <c r="AO312" s="3"/>
      <c r="AP312" s="3"/>
      <c r="AQ312" s="3" t="s">
        <v>766</v>
      </c>
      <c r="AR312" s="3" t="b">
        <v>1</v>
      </c>
      <c r="AS312" s="3" t="b">
        <v>1</v>
      </c>
      <c r="AT312" s="3" t="b">
        <v>1</v>
      </c>
      <c r="AU312" s="3" t="b">
        <v>1</v>
      </c>
      <c r="AV312" s="3" t="b">
        <v>0</v>
      </c>
      <c r="AW312" s="3" t="b">
        <f t="shared" si="18"/>
        <v>0</v>
      </c>
      <c r="AX312" s="3" t="b">
        <f t="shared" si="19"/>
        <v>1</v>
      </c>
      <c r="AY312" s="3" t="b">
        <f t="shared" si="20"/>
        <v>0</v>
      </c>
      <c r="AZ312" s="3" t="b">
        <f t="shared" si="21"/>
        <v>0</v>
      </c>
      <c r="BA312" s="3" t="b">
        <f t="shared" si="22"/>
        <v>1</v>
      </c>
      <c r="BB312" s="3" t="b">
        <f t="shared" si="23"/>
        <v>0</v>
      </c>
      <c r="BC312" s="3"/>
      <c r="BD312" s="3" t="s">
        <v>766</v>
      </c>
      <c r="BE312" s="3" t="b">
        <v>1</v>
      </c>
      <c r="BF312" s="3" t="b">
        <v>1</v>
      </c>
      <c r="BG312" s="3" t="b">
        <v>1</v>
      </c>
      <c r="BH312" s="3" t="b">
        <v>1</v>
      </c>
      <c r="BI312" s="3" t="b">
        <v>0</v>
      </c>
      <c r="BJ312" s="3"/>
      <c r="BK312" s="3"/>
      <c r="BL312" s="3"/>
      <c r="BM312" s="3"/>
      <c r="BN312" s="3"/>
      <c r="BO312" s="3" t="s">
        <v>766</v>
      </c>
      <c r="BP312" s="3" t="b">
        <v>1</v>
      </c>
      <c r="BQ312" s="3" t="b">
        <v>1</v>
      </c>
      <c r="BR312" s="3" t="b">
        <v>1</v>
      </c>
      <c r="BS312" s="3" t="b">
        <v>1</v>
      </c>
      <c r="BT312" s="3" t="b">
        <v>0</v>
      </c>
      <c r="BU312" s="3"/>
      <c r="BV312" s="3"/>
      <c r="BW312" s="3"/>
      <c r="BX312" s="3"/>
    </row>
    <row r="313" spans="1:76" x14ac:dyDescent="0.35">
      <c r="A313" s="3"/>
      <c r="B313" s="3"/>
      <c r="C313" s="3" t="s">
        <v>148</v>
      </c>
      <c r="D313" s="3"/>
      <c r="E313" s="3"/>
      <c r="F313" s="3"/>
      <c r="G313" s="3" t="s">
        <v>3737</v>
      </c>
      <c r="H313" s="3" t="s">
        <v>768</v>
      </c>
      <c r="I313" s="3" t="b">
        <v>1</v>
      </c>
      <c r="J313" s="3" t="b">
        <v>0</v>
      </c>
      <c r="K313" s="3" t="b">
        <v>0</v>
      </c>
      <c r="L313" s="3" t="b">
        <v>1</v>
      </c>
      <c r="M313" s="3" t="b">
        <v>0</v>
      </c>
      <c r="N313" s="3" t="b">
        <f t="shared" si="12"/>
        <v>0</v>
      </c>
      <c r="O313" s="3" t="b">
        <f t="shared" si="13"/>
        <v>0</v>
      </c>
      <c r="P313" s="3" t="b">
        <f t="shared" si="14"/>
        <v>1</v>
      </c>
      <c r="Q313" s="3" t="b">
        <f t="shared" si="15"/>
        <v>0</v>
      </c>
      <c r="R313" s="3" t="b">
        <f t="shared" si="16"/>
        <v>0</v>
      </c>
      <c r="S313" s="3" t="b">
        <f t="shared" si="17"/>
        <v>0</v>
      </c>
      <c r="U313" s="3" t="s">
        <v>769</v>
      </c>
      <c r="V313" s="3" t="b">
        <v>1</v>
      </c>
      <c r="W313" s="3" t="b">
        <v>1</v>
      </c>
      <c r="X313" s="3" t="b">
        <v>1</v>
      </c>
      <c r="Y313" s="3" t="b">
        <v>1</v>
      </c>
      <c r="Z313" s="3" t="b">
        <v>1</v>
      </c>
      <c r="AA313" s="3"/>
      <c r="AB313" s="3"/>
      <c r="AC313" s="3"/>
      <c r="AD313" s="3"/>
      <c r="AE313" s="3"/>
      <c r="AF313" s="3" t="s">
        <v>613</v>
      </c>
      <c r="AG313" s="3" t="b">
        <v>1</v>
      </c>
      <c r="AH313" s="3" t="b">
        <v>1</v>
      </c>
      <c r="AI313" s="3" t="b">
        <v>1</v>
      </c>
      <c r="AJ313" s="3" t="b">
        <v>1</v>
      </c>
      <c r="AK313" s="3" t="b">
        <v>1</v>
      </c>
      <c r="AL313" s="3"/>
      <c r="AM313" s="3"/>
      <c r="AN313" s="3"/>
      <c r="AO313" s="3"/>
      <c r="AP313" s="3"/>
      <c r="AQ313" s="3" t="s">
        <v>154</v>
      </c>
      <c r="AR313" s="3" t="b">
        <v>1</v>
      </c>
      <c r="AS313" s="3" t="b">
        <v>1</v>
      </c>
      <c r="AT313" s="3" t="b">
        <v>1</v>
      </c>
      <c r="AU313" s="3" t="b">
        <v>1</v>
      </c>
      <c r="AV313" s="3" t="b">
        <v>1</v>
      </c>
      <c r="AW313" s="3" t="b">
        <f t="shared" si="18"/>
        <v>1</v>
      </c>
      <c r="AX313" s="3" t="b">
        <f t="shared" si="19"/>
        <v>0</v>
      </c>
      <c r="AY313" s="3" t="b">
        <f t="shared" si="20"/>
        <v>0</v>
      </c>
      <c r="AZ313" s="3" t="b">
        <f t="shared" si="21"/>
        <v>0</v>
      </c>
      <c r="BA313" s="3" t="b">
        <f t="shared" si="22"/>
        <v>0</v>
      </c>
      <c r="BB313" s="3" t="b">
        <f t="shared" si="23"/>
        <v>0</v>
      </c>
      <c r="BC313" s="3"/>
      <c r="BD313" s="3" t="s">
        <v>154</v>
      </c>
      <c r="BE313" s="3" t="b">
        <v>1</v>
      </c>
      <c r="BF313" s="3" t="b">
        <v>1</v>
      </c>
      <c r="BG313" s="3" t="b">
        <v>1</v>
      </c>
      <c r="BH313" s="3" t="b">
        <v>1</v>
      </c>
      <c r="BI313" s="3" t="b">
        <v>1</v>
      </c>
      <c r="BJ313" s="3"/>
      <c r="BK313" s="3"/>
      <c r="BL313" s="3"/>
      <c r="BM313" s="3"/>
      <c r="BN313" s="3"/>
      <c r="BO313" s="3" t="s">
        <v>154</v>
      </c>
      <c r="BP313" s="3" t="b">
        <v>1</v>
      </c>
      <c r="BQ313" s="3" t="b">
        <v>1</v>
      </c>
      <c r="BR313" s="3" t="b">
        <v>1</v>
      </c>
      <c r="BS313" s="3" t="b">
        <v>1</v>
      </c>
      <c r="BT313" s="3" t="b">
        <v>1</v>
      </c>
      <c r="BU313" s="3"/>
      <c r="BV313" s="3"/>
      <c r="BW313" s="3"/>
      <c r="BX313" s="3"/>
    </row>
    <row r="314" spans="1:76" x14ac:dyDescent="0.35">
      <c r="A314" s="3"/>
      <c r="B314" s="3"/>
      <c r="C314" s="3" t="s">
        <v>182</v>
      </c>
      <c r="D314" s="3"/>
      <c r="E314" s="3"/>
      <c r="F314" s="3"/>
      <c r="G314" s="3" t="s">
        <v>3738</v>
      </c>
      <c r="H314" s="3" t="s">
        <v>771</v>
      </c>
      <c r="I314" s="3" t="b">
        <v>1</v>
      </c>
      <c r="J314" s="3" t="b">
        <v>0</v>
      </c>
      <c r="K314" s="3" t="b">
        <v>0</v>
      </c>
      <c r="L314" s="3" t="b">
        <v>1</v>
      </c>
      <c r="M314" s="3" t="b">
        <v>0</v>
      </c>
      <c r="N314" s="3" t="b">
        <f t="shared" si="12"/>
        <v>0</v>
      </c>
      <c r="O314" s="3" t="b">
        <f t="shared" si="13"/>
        <v>0</v>
      </c>
      <c r="P314" s="3" t="b">
        <f t="shared" si="14"/>
        <v>1</v>
      </c>
      <c r="Q314" s="3" t="b">
        <f t="shared" si="15"/>
        <v>0</v>
      </c>
      <c r="R314" s="3" t="b">
        <f t="shared" si="16"/>
        <v>0</v>
      </c>
      <c r="S314" s="3" t="b">
        <f t="shared" si="17"/>
        <v>0</v>
      </c>
      <c r="U314" s="3" t="s">
        <v>772</v>
      </c>
      <c r="V314" s="3" t="b">
        <v>1</v>
      </c>
      <c r="W314" s="3" t="b">
        <v>1</v>
      </c>
      <c r="X314" s="3" t="b">
        <v>1</v>
      </c>
      <c r="Y314" s="3" t="b">
        <v>1</v>
      </c>
      <c r="Z314" s="3" t="b">
        <v>1</v>
      </c>
      <c r="AA314" s="3"/>
      <c r="AB314" s="3"/>
      <c r="AC314" s="3"/>
      <c r="AD314" s="3"/>
      <c r="AE314" s="3"/>
      <c r="AF314" s="3" t="s">
        <v>773</v>
      </c>
      <c r="AG314" s="3" t="b">
        <v>1</v>
      </c>
      <c r="AH314" s="3" t="b">
        <v>1</v>
      </c>
      <c r="AI314" s="3" t="b">
        <v>1</v>
      </c>
      <c r="AJ314" s="3" t="b">
        <v>1</v>
      </c>
      <c r="AK314" s="3" t="b">
        <v>1</v>
      </c>
      <c r="AL314" s="3"/>
      <c r="AM314" s="3"/>
      <c r="AN314" s="3"/>
      <c r="AO314" s="3"/>
      <c r="AP314" s="3"/>
      <c r="AQ314" s="3" t="s">
        <v>774</v>
      </c>
      <c r="AR314" s="3" t="b">
        <v>1</v>
      </c>
      <c r="AS314" s="3" t="b">
        <v>1</v>
      </c>
      <c r="AT314" s="3" t="b">
        <v>1</v>
      </c>
      <c r="AU314" s="3" t="b">
        <v>0</v>
      </c>
      <c r="AV314" s="3" t="b">
        <v>1</v>
      </c>
      <c r="AW314" s="3" t="b">
        <f t="shared" si="18"/>
        <v>0</v>
      </c>
      <c r="AX314" s="3" t="b">
        <f t="shared" si="19"/>
        <v>0</v>
      </c>
      <c r="AY314" s="3" t="b">
        <f t="shared" si="20"/>
        <v>0</v>
      </c>
      <c r="AZ314" s="3" t="b">
        <f t="shared" si="21"/>
        <v>1</v>
      </c>
      <c r="BA314" s="3" t="b">
        <f t="shared" si="22"/>
        <v>0</v>
      </c>
      <c r="BB314" s="3" t="b">
        <f t="shared" si="23"/>
        <v>0</v>
      </c>
      <c r="BC314" s="3"/>
      <c r="BD314" s="3" t="s">
        <v>775</v>
      </c>
      <c r="BE314" s="3" t="b">
        <v>1</v>
      </c>
      <c r="BF314" s="3" t="b">
        <v>0</v>
      </c>
      <c r="BG314" s="3" t="b">
        <v>0</v>
      </c>
      <c r="BH314" s="3" t="b">
        <v>0</v>
      </c>
      <c r="BI314" s="3" t="b">
        <v>0</v>
      </c>
      <c r="BJ314" s="3"/>
      <c r="BK314" s="3"/>
      <c r="BL314" s="3"/>
      <c r="BM314" s="3"/>
      <c r="BN314" s="3"/>
      <c r="BO314" s="3" t="s">
        <v>774</v>
      </c>
      <c r="BP314" s="3" t="b">
        <v>1</v>
      </c>
      <c r="BQ314" s="3" t="b">
        <v>1</v>
      </c>
      <c r="BR314" s="3" t="b">
        <v>1</v>
      </c>
      <c r="BS314" s="3" t="b">
        <v>0</v>
      </c>
      <c r="BT314" s="3" t="b">
        <v>1</v>
      </c>
      <c r="BU314" s="3"/>
      <c r="BV314" s="3"/>
      <c r="BW314" s="3"/>
      <c r="BX314" s="3"/>
    </row>
    <row r="315" spans="1:76" x14ac:dyDescent="0.35">
      <c r="A315" s="3"/>
      <c r="B315" s="5" t="s">
        <v>776</v>
      </c>
      <c r="C315" s="5" t="s">
        <v>777</v>
      </c>
      <c r="D315" s="5" t="s">
        <v>778</v>
      </c>
      <c r="E315" s="3"/>
      <c r="F315" s="3"/>
      <c r="G315" s="3"/>
      <c r="H315" s="3"/>
      <c r="I315" s="3"/>
      <c r="J315" s="3"/>
      <c r="K315" s="3"/>
      <c r="L315" s="3"/>
      <c r="M315" s="3"/>
      <c r="N315" s="3">
        <f t="shared" si="12"/>
        <v>0</v>
      </c>
      <c r="O315" s="3">
        <f t="shared" si="13"/>
        <v>0</v>
      </c>
      <c r="P315" s="3">
        <f t="shared" si="14"/>
        <v>0</v>
      </c>
      <c r="Q315" s="3">
        <f t="shared" si="15"/>
        <v>0</v>
      </c>
      <c r="R315" s="3">
        <f t="shared" si="16"/>
        <v>0</v>
      </c>
      <c r="S315" s="3">
        <f t="shared" si="17"/>
        <v>0</v>
      </c>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f t="shared" si="18"/>
        <v>0</v>
      </c>
      <c r="AX315" s="3">
        <f t="shared" si="19"/>
        <v>0</v>
      </c>
      <c r="AY315" s="3">
        <f t="shared" si="20"/>
        <v>0</v>
      </c>
      <c r="AZ315" s="3">
        <f t="shared" si="21"/>
        <v>0</v>
      </c>
      <c r="BA315" s="3">
        <f t="shared" si="22"/>
        <v>0</v>
      </c>
      <c r="BB315" s="3">
        <f t="shared" si="23"/>
        <v>0</v>
      </c>
      <c r="BC315" s="3"/>
      <c r="BD315" s="3"/>
      <c r="BE315" s="3"/>
      <c r="BF315" s="3"/>
      <c r="BG315" s="3"/>
      <c r="BH315" s="3"/>
      <c r="BI315" s="3"/>
      <c r="BJ315" s="3"/>
      <c r="BK315" s="3"/>
      <c r="BL315" s="3"/>
      <c r="BM315" s="3"/>
      <c r="BN315" s="3"/>
      <c r="BO315" s="3"/>
      <c r="BP315" s="3"/>
      <c r="BQ315" s="3"/>
      <c r="BR315" s="3"/>
      <c r="BS315" s="3"/>
      <c r="BT315" s="3"/>
      <c r="BU315" s="3"/>
      <c r="BV315" s="3"/>
      <c r="BW315" s="3"/>
      <c r="BX315" s="3"/>
    </row>
    <row r="316" spans="1:76" x14ac:dyDescent="0.35">
      <c r="A316" s="3"/>
      <c r="B316" s="3"/>
      <c r="C316" s="5" t="s">
        <v>779</v>
      </c>
      <c r="D316" s="5"/>
      <c r="E316" s="3"/>
      <c r="F316" s="3"/>
      <c r="G316" s="3"/>
      <c r="H316" s="3"/>
      <c r="I316" s="3"/>
      <c r="J316" s="3"/>
      <c r="K316" s="3"/>
      <c r="L316" s="3"/>
      <c r="M316" s="3"/>
      <c r="N316" s="3">
        <f t="shared" si="12"/>
        <v>0</v>
      </c>
      <c r="O316" s="3">
        <f t="shared" si="13"/>
        <v>0</v>
      </c>
      <c r="P316" s="3">
        <f t="shared" si="14"/>
        <v>0</v>
      </c>
      <c r="Q316" s="3">
        <f t="shared" si="15"/>
        <v>0</v>
      </c>
      <c r="R316" s="3">
        <f t="shared" si="16"/>
        <v>0</v>
      </c>
      <c r="S316" s="3">
        <f t="shared" si="17"/>
        <v>0</v>
      </c>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f t="shared" si="18"/>
        <v>0</v>
      </c>
      <c r="AX316" s="3">
        <f t="shared" si="19"/>
        <v>0</v>
      </c>
      <c r="AY316" s="3">
        <f t="shared" si="20"/>
        <v>0</v>
      </c>
      <c r="AZ316" s="3">
        <f t="shared" si="21"/>
        <v>0</v>
      </c>
      <c r="BA316" s="3">
        <f t="shared" si="22"/>
        <v>0</v>
      </c>
      <c r="BB316" s="3">
        <f t="shared" si="23"/>
        <v>0</v>
      </c>
      <c r="BC316" s="3"/>
      <c r="BD316" s="3"/>
      <c r="BE316" s="3"/>
      <c r="BF316" s="3"/>
      <c r="BG316" s="3"/>
      <c r="BH316" s="3"/>
      <c r="BI316" s="3"/>
      <c r="BJ316" s="3"/>
      <c r="BK316" s="3"/>
      <c r="BL316" s="3"/>
      <c r="BM316" s="3"/>
      <c r="BN316" s="3"/>
      <c r="BO316" s="3"/>
      <c r="BP316" s="3"/>
      <c r="BQ316" s="3"/>
      <c r="BR316" s="3"/>
      <c r="BS316" s="3"/>
      <c r="BT316" s="3"/>
      <c r="BU316" s="3"/>
      <c r="BV316" s="3"/>
      <c r="BW316" s="3"/>
      <c r="BX316" s="3"/>
    </row>
    <row r="317" spans="1:76" x14ac:dyDescent="0.35">
      <c r="A317" s="3"/>
      <c r="B317" s="3"/>
      <c r="C317" s="5" t="s">
        <v>780</v>
      </c>
      <c r="D317" s="5"/>
      <c r="E317" s="3"/>
      <c r="F317" s="3"/>
      <c r="G317" s="3"/>
      <c r="H317" s="3"/>
      <c r="I317" s="3"/>
      <c r="J317" s="3"/>
      <c r="K317" s="3"/>
      <c r="L317" s="3"/>
      <c r="M317" s="3"/>
      <c r="N317" s="3">
        <f t="shared" si="12"/>
        <v>0</v>
      </c>
      <c r="O317" s="3">
        <f t="shared" si="13"/>
        <v>0</v>
      </c>
      <c r="P317" s="3">
        <f t="shared" si="14"/>
        <v>0</v>
      </c>
      <c r="Q317" s="3">
        <f t="shared" si="15"/>
        <v>0</v>
      </c>
      <c r="R317" s="3">
        <f t="shared" si="16"/>
        <v>0</v>
      </c>
      <c r="S317" s="3">
        <f t="shared" si="17"/>
        <v>0</v>
      </c>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f t="shared" si="18"/>
        <v>0</v>
      </c>
      <c r="AX317" s="3">
        <f t="shared" si="19"/>
        <v>0</v>
      </c>
      <c r="AY317" s="3">
        <f t="shared" si="20"/>
        <v>0</v>
      </c>
      <c r="AZ317" s="3">
        <f t="shared" si="21"/>
        <v>0</v>
      </c>
      <c r="BA317" s="3">
        <f t="shared" si="22"/>
        <v>0</v>
      </c>
      <c r="BB317" s="3">
        <f t="shared" si="23"/>
        <v>0</v>
      </c>
      <c r="BC317" s="3"/>
      <c r="BD317" s="3"/>
      <c r="BE317" s="3"/>
      <c r="BF317" s="3"/>
      <c r="BG317" s="3"/>
      <c r="BH317" s="3"/>
      <c r="BI317" s="3"/>
      <c r="BJ317" s="3"/>
      <c r="BK317" s="3"/>
      <c r="BL317" s="3"/>
      <c r="BM317" s="3"/>
      <c r="BN317" s="3"/>
      <c r="BO317" s="3"/>
      <c r="BP317" s="3"/>
      <c r="BQ317" s="3"/>
      <c r="BR317" s="3"/>
      <c r="BS317" s="3"/>
      <c r="BT317" s="3"/>
      <c r="BU317" s="3"/>
      <c r="BV317" s="3"/>
      <c r="BW317" s="3"/>
      <c r="BX317" s="3"/>
    </row>
    <row r="318" spans="1:76" x14ac:dyDescent="0.35">
      <c r="A318" s="3"/>
      <c r="B318" s="3"/>
      <c r="C318" s="3"/>
      <c r="D318" s="3"/>
      <c r="E318" s="3"/>
      <c r="F318" s="3"/>
      <c r="G318" s="3"/>
      <c r="H318" s="3"/>
      <c r="I318" s="3"/>
      <c r="J318" s="3"/>
      <c r="K318" s="3"/>
      <c r="L318" s="3"/>
      <c r="M318" s="3"/>
      <c r="N318" s="3">
        <f t="shared" si="12"/>
        <v>0</v>
      </c>
      <c r="O318" s="3">
        <f t="shared" si="13"/>
        <v>0</v>
      </c>
      <c r="P318" s="3">
        <f t="shared" si="14"/>
        <v>0</v>
      </c>
      <c r="Q318" s="3">
        <f t="shared" si="15"/>
        <v>0</v>
      </c>
      <c r="R318" s="3">
        <f t="shared" si="16"/>
        <v>0</v>
      </c>
      <c r="S318" s="3">
        <f t="shared" si="17"/>
        <v>0</v>
      </c>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f t="shared" si="18"/>
        <v>0</v>
      </c>
      <c r="AX318" s="3">
        <f t="shared" si="19"/>
        <v>0</v>
      </c>
      <c r="AY318" s="3">
        <f t="shared" si="20"/>
        <v>0</v>
      </c>
      <c r="AZ318" s="3">
        <f t="shared" si="21"/>
        <v>0</v>
      </c>
      <c r="BA318" s="3">
        <f t="shared" si="22"/>
        <v>0</v>
      </c>
      <c r="BB318" s="3">
        <f t="shared" si="23"/>
        <v>0</v>
      </c>
      <c r="BC318" s="3"/>
      <c r="BD318" s="3"/>
      <c r="BE318" s="3"/>
      <c r="BF318" s="3"/>
      <c r="BG318" s="3"/>
      <c r="BH318" s="3"/>
      <c r="BI318" s="3"/>
      <c r="BJ318" s="3"/>
      <c r="BK318" s="3"/>
      <c r="BL318" s="3"/>
      <c r="BM318" s="3"/>
      <c r="BN318" s="3"/>
      <c r="BO318" s="3"/>
      <c r="BP318" s="3"/>
      <c r="BQ318" s="3"/>
      <c r="BR318" s="3"/>
      <c r="BS318" s="3"/>
      <c r="BT318" s="3"/>
      <c r="BU318" s="3"/>
      <c r="BV318" s="3"/>
      <c r="BW318" s="3"/>
      <c r="BX318" s="3"/>
    </row>
    <row r="319" spans="1:76" x14ac:dyDescent="0.35">
      <c r="A319" s="3" t="s">
        <v>781</v>
      </c>
      <c r="B319" s="3" t="s">
        <v>782</v>
      </c>
      <c r="C319" s="3" t="s">
        <v>25</v>
      </c>
      <c r="D319" s="3"/>
      <c r="E319" s="3"/>
      <c r="F319" s="3"/>
      <c r="G319" s="3" t="s">
        <v>3739</v>
      </c>
      <c r="H319" s="3" t="s">
        <v>28</v>
      </c>
      <c r="I319" s="3" t="b">
        <v>1</v>
      </c>
      <c r="J319" s="3" t="b">
        <v>1</v>
      </c>
      <c r="K319" s="3" t="b">
        <v>1</v>
      </c>
      <c r="L319" s="3" t="b">
        <v>1</v>
      </c>
      <c r="M319" s="3" t="b">
        <v>1</v>
      </c>
      <c r="N319" s="3" t="b">
        <f t="shared" si="12"/>
        <v>1</v>
      </c>
      <c r="O319" s="3" t="b">
        <f t="shared" si="13"/>
        <v>0</v>
      </c>
      <c r="P319" s="3" t="b">
        <f t="shared" si="14"/>
        <v>0</v>
      </c>
      <c r="Q319" s="3" t="b">
        <f t="shared" si="15"/>
        <v>0</v>
      </c>
      <c r="R319" s="3" t="b">
        <f t="shared" si="16"/>
        <v>0</v>
      </c>
      <c r="S319" s="3" t="b">
        <f t="shared" si="17"/>
        <v>0</v>
      </c>
      <c r="U319" s="3" t="s">
        <v>28</v>
      </c>
      <c r="V319" s="3" t="b">
        <v>1</v>
      </c>
      <c r="W319" s="3" t="b">
        <v>1</v>
      </c>
      <c r="X319" s="3" t="b">
        <v>1</v>
      </c>
      <c r="Y319" s="3" t="b">
        <v>1</v>
      </c>
      <c r="Z319" s="3" t="b">
        <v>1</v>
      </c>
      <c r="AA319" s="3"/>
      <c r="AB319" s="3"/>
      <c r="AC319" s="3"/>
      <c r="AD319" s="3"/>
      <c r="AE319" s="3"/>
      <c r="AF319" s="3" t="s">
        <v>28</v>
      </c>
      <c r="AG319" s="3" t="b">
        <v>1</v>
      </c>
      <c r="AH319" s="3" t="b">
        <v>1</v>
      </c>
      <c r="AI319" s="3" t="b">
        <v>1</v>
      </c>
      <c r="AJ319" s="3" t="b">
        <v>1</v>
      </c>
      <c r="AK319" s="3" t="b">
        <v>1</v>
      </c>
      <c r="AL319" s="3"/>
      <c r="AM319" s="3"/>
      <c r="AN319" s="3"/>
      <c r="AO319" s="3"/>
      <c r="AP319" s="3"/>
      <c r="AQ319" s="3" t="s">
        <v>28</v>
      </c>
      <c r="AR319" s="3" t="b">
        <v>1</v>
      </c>
      <c r="AS319" s="3" t="b">
        <v>1</v>
      </c>
      <c r="AT319" s="3" t="b">
        <v>1</v>
      </c>
      <c r="AU319" s="3" t="b">
        <v>1</v>
      </c>
      <c r="AV319" s="3" t="b">
        <v>1</v>
      </c>
      <c r="AW319" s="3" t="b">
        <f t="shared" si="18"/>
        <v>1</v>
      </c>
      <c r="AX319" s="3" t="b">
        <f t="shared" si="19"/>
        <v>0</v>
      </c>
      <c r="AY319" s="3" t="b">
        <f t="shared" si="20"/>
        <v>0</v>
      </c>
      <c r="AZ319" s="3" t="b">
        <f t="shared" si="21"/>
        <v>0</v>
      </c>
      <c r="BA319" s="3" t="b">
        <f t="shared" si="22"/>
        <v>0</v>
      </c>
      <c r="BB319" s="3" t="b">
        <f t="shared" si="23"/>
        <v>0</v>
      </c>
      <c r="BC319" s="3"/>
      <c r="BD319" s="3" t="s">
        <v>28</v>
      </c>
      <c r="BE319" s="3" t="b">
        <v>1</v>
      </c>
      <c r="BF319" s="3" t="b">
        <v>1</v>
      </c>
      <c r="BG319" s="3" t="b">
        <v>1</v>
      </c>
      <c r="BH319" s="3" t="b">
        <v>1</v>
      </c>
      <c r="BI319" s="3" t="b">
        <v>1</v>
      </c>
      <c r="BJ319" s="3"/>
      <c r="BK319" s="3"/>
      <c r="BL319" s="3"/>
      <c r="BM319" s="3"/>
      <c r="BN319" s="3"/>
      <c r="BO319" s="3" t="s">
        <v>28</v>
      </c>
      <c r="BP319" s="3" t="b">
        <v>1</v>
      </c>
      <c r="BQ319" s="3" t="b">
        <v>1</v>
      </c>
      <c r="BR319" s="3" t="b">
        <v>1</v>
      </c>
      <c r="BS319" s="3" t="b">
        <v>1</v>
      </c>
      <c r="BT319" s="3" t="b">
        <v>1</v>
      </c>
      <c r="BU319" s="3"/>
      <c r="BV319" s="3"/>
      <c r="BW319" s="3"/>
      <c r="BX319" s="3"/>
    </row>
    <row r="320" spans="1:76" x14ac:dyDescent="0.35">
      <c r="A320" s="3"/>
      <c r="B320" s="3"/>
      <c r="C320" s="3" t="s">
        <v>29</v>
      </c>
      <c r="D320" s="3"/>
      <c r="E320" s="3"/>
      <c r="F320" s="3"/>
      <c r="G320" s="3" t="s">
        <v>3740</v>
      </c>
      <c r="H320" s="3" t="s">
        <v>31</v>
      </c>
      <c r="I320" s="3" t="b">
        <v>1</v>
      </c>
      <c r="J320" s="3" t="b">
        <v>1</v>
      </c>
      <c r="K320" s="3" t="b">
        <v>1</v>
      </c>
      <c r="L320" s="3" t="b">
        <v>1</v>
      </c>
      <c r="M320" s="3" t="b">
        <v>1</v>
      </c>
      <c r="N320" s="3" t="b">
        <f t="shared" si="12"/>
        <v>1</v>
      </c>
      <c r="O320" s="3" t="b">
        <f t="shared" si="13"/>
        <v>0</v>
      </c>
      <c r="P320" s="3" t="b">
        <f t="shared" si="14"/>
        <v>0</v>
      </c>
      <c r="Q320" s="3" t="b">
        <f t="shared" si="15"/>
        <v>0</v>
      </c>
      <c r="R320" s="3" t="b">
        <f t="shared" si="16"/>
        <v>0</v>
      </c>
      <c r="S320" s="3" t="b">
        <f t="shared" si="17"/>
        <v>0</v>
      </c>
      <c r="U320" s="3" t="s">
        <v>31</v>
      </c>
      <c r="V320" s="3" t="b">
        <v>1</v>
      </c>
      <c r="W320" s="3" t="b">
        <v>1</v>
      </c>
      <c r="X320" s="3" t="b">
        <v>1</v>
      </c>
      <c r="Y320" s="3" t="b">
        <v>1</v>
      </c>
      <c r="Z320" s="3" t="b">
        <v>1</v>
      </c>
      <c r="AA320" s="3"/>
      <c r="AB320" s="3"/>
      <c r="AC320" s="3"/>
      <c r="AD320" s="3"/>
      <c r="AE320" s="3"/>
      <c r="AF320" s="3" t="s">
        <v>31</v>
      </c>
      <c r="AG320" s="3" t="b">
        <v>1</v>
      </c>
      <c r="AH320" s="3" t="b">
        <v>1</v>
      </c>
      <c r="AI320" s="3" t="b">
        <v>1</v>
      </c>
      <c r="AJ320" s="3" t="b">
        <v>1</v>
      </c>
      <c r="AK320" s="3" t="b">
        <v>1</v>
      </c>
      <c r="AL320" s="3"/>
      <c r="AM320" s="3"/>
      <c r="AN320" s="3"/>
      <c r="AO320" s="3"/>
      <c r="AP320" s="3"/>
      <c r="AQ320" s="3" t="s">
        <v>31</v>
      </c>
      <c r="AR320" s="3" t="b">
        <v>1</v>
      </c>
      <c r="AS320" s="3" t="b">
        <v>1</v>
      </c>
      <c r="AT320" s="3" t="b">
        <v>1</v>
      </c>
      <c r="AU320" s="3" t="b">
        <v>1</v>
      </c>
      <c r="AV320" s="3" t="b">
        <v>1</v>
      </c>
      <c r="AW320" s="3" t="b">
        <f t="shared" si="18"/>
        <v>1</v>
      </c>
      <c r="AX320" s="3" t="b">
        <f t="shared" si="19"/>
        <v>0</v>
      </c>
      <c r="AY320" s="3" t="b">
        <f t="shared" si="20"/>
        <v>0</v>
      </c>
      <c r="AZ320" s="3" t="b">
        <f t="shared" si="21"/>
        <v>0</v>
      </c>
      <c r="BA320" s="3" t="b">
        <f t="shared" si="22"/>
        <v>0</v>
      </c>
      <c r="BB320" s="3" t="b">
        <f t="shared" si="23"/>
        <v>0</v>
      </c>
      <c r="BC320" s="3"/>
      <c r="BD320" s="3" t="s">
        <v>31</v>
      </c>
      <c r="BE320" s="3" t="b">
        <v>1</v>
      </c>
      <c r="BF320" s="3" t="b">
        <v>1</v>
      </c>
      <c r="BG320" s="3" t="b">
        <v>1</v>
      </c>
      <c r="BH320" s="3" t="b">
        <v>1</v>
      </c>
      <c r="BI320" s="3" t="b">
        <v>1</v>
      </c>
      <c r="BJ320" s="3"/>
      <c r="BK320" s="3"/>
      <c r="BL320" s="3"/>
      <c r="BM320" s="3"/>
      <c r="BN320" s="3"/>
      <c r="BO320" s="3" t="s">
        <v>31</v>
      </c>
      <c r="BP320" s="3" t="b">
        <v>1</v>
      </c>
      <c r="BQ320" s="3" t="b">
        <v>1</v>
      </c>
      <c r="BR320" s="3" t="b">
        <v>1</v>
      </c>
      <c r="BS320" s="3" t="b">
        <v>1</v>
      </c>
      <c r="BT320" s="3" t="b">
        <v>1</v>
      </c>
      <c r="BU320" s="3"/>
      <c r="BV320" s="3"/>
      <c r="BW320" s="3"/>
      <c r="BX320" s="3"/>
    </row>
    <row r="321" spans="1:76" x14ac:dyDescent="0.35">
      <c r="A321" s="3"/>
      <c r="B321" s="3" t="s">
        <v>785</v>
      </c>
      <c r="C321" s="3" t="s">
        <v>50</v>
      </c>
      <c r="D321" s="3" t="s">
        <v>51</v>
      </c>
      <c r="E321" s="3" t="s">
        <v>52</v>
      </c>
      <c r="F321" s="3"/>
      <c r="G321" s="3" t="s">
        <v>3741</v>
      </c>
      <c r="H321" s="3" t="s">
        <v>55</v>
      </c>
      <c r="I321" s="3" t="b">
        <v>1</v>
      </c>
      <c r="J321" s="3" t="b">
        <v>1</v>
      </c>
      <c r="K321" s="3" t="b">
        <v>1</v>
      </c>
      <c r="L321" s="3" t="b">
        <v>1</v>
      </c>
      <c r="M321" s="3" t="b">
        <v>1</v>
      </c>
      <c r="N321" s="3" t="b">
        <f t="shared" si="12"/>
        <v>1</v>
      </c>
      <c r="O321" s="3" t="b">
        <f t="shared" si="13"/>
        <v>0</v>
      </c>
      <c r="P321" s="3" t="b">
        <f t="shared" si="14"/>
        <v>0</v>
      </c>
      <c r="Q321" s="3" t="b">
        <f t="shared" si="15"/>
        <v>0</v>
      </c>
      <c r="R321" s="3" t="b">
        <f t="shared" si="16"/>
        <v>0</v>
      </c>
      <c r="S321" s="3" t="b">
        <f t="shared" si="17"/>
        <v>0</v>
      </c>
      <c r="U321" s="3" t="s">
        <v>55</v>
      </c>
      <c r="V321" s="3" t="b">
        <v>1</v>
      </c>
      <c r="W321" s="3" t="b">
        <v>1</v>
      </c>
      <c r="X321" s="3" t="b">
        <v>1</v>
      </c>
      <c r="Y321" s="3" t="b">
        <v>1</v>
      </c>
      <c r="Z321" s="3" t="b">
        <v>1</v>
      </c>
      <c r="AA321" s="3"/>
      <c r="AB321" s="3"/>
      <c r="AC321" s="3"/>
      <c r="AD321" s="3"/>
      <c r="AE321" s="3"/>
      <c r="AF321" s="3"/>
      <c r="AG321" s="3" t="b">
        <v>1</v>
      </c>
      <c r="AH321" s="3" t="b">
        <v>0</v>
      </c>
      <c r="AI321" s="3" t="b">
        <v>0</v>
      </c>
      <c r="AJ321" s="3" t="b">
        <v>0</v>
      </c>
      <c r="AK321" s="3" t="b">
        <v>0</v>
      </c>
      <c r="AL321" s="3"/>
      <c r="AM321" s="3"/>
      <c r="AN321" s="3"/>
      <c r="AO321" s="3"/>
      <c r="AP321" s="3"/>
      <c r="AQ321" s="3" t="s">
        <v>55</v>
      </c>
      <c r="AR321" s="3" t="b">
        <v>1</v>
      </c>
      <c r="AS321" s="3" t="b">
        <v>1</v>
      </c>
      <c r="AT321" s="3" t="b">
        <v>1</v>
      </c>
      <c r="AU321" s="3" t="b">
        <v>1</v>
      </c>
      <c r="AV321" s="3" t="b">
        <v>1</v>
      </c>
      <c r="AW321" s="3" t="b">
        <f t="shared" si="18"/>
        <v>1</v>
      </c>
      <c r="AX321" s="3" t="b">
        <f t="shared" si="19"/>
        <v>0</v>
      </c>
      <c r="AY321" s="3" t="b">
        <f t="shared" si="20"/>
        <v>0</v>
      </c>
      <c r="AZ321" s="3" t="b">
        <f t="shared" si="21"/>
        <v>0</v>
      </c>
      <c r="BA321" s="3" t="b">
        <f t="shared" si="22"/>
        <v>0</v>
      </c>
      <c r="BB321" s="3" t="b">
        <f t="shared" si="23"/>
        <v>0</v>
      </c>
      <c r="BC321" s="3"/>
      <c r="BD321" s="3" t="s">
        <v>55</v>
      </c>
      <c r="BE321" s="3" t="b">
        <v>1</v>
      </c>
      <c r="BF321" s="3" t="b">
        <v>1</v>
      </c>
      <c r="BG321" s="3" t="b">
        <v>1</v>
      </c>
      <c r="BH321" s="3" t="b">
        <v>1</v>
      </c>
      <c r="BI321" s="3" t="b">
        <v>1</v>
      </c>
      <c r="BJ321" s="3"/>
      <c r="BK321" s="3"/>
      <c r="BL321" s="3"/>
      <c r="BM321" s="3"/>
      <c r="BN321" s="3"/>
      <c r="BO321" s="3" t="s">
        <v>55</v>
      </c>
      <c r="BP321" s="3" t="b">
        <v>1</v>
      </c>
      <c r="BQ321" s="3" t="b">
        <v>1</v>
      </c>
      <c r="BR321" s="3" t="b">
        <v>1</v>
      </c>
      <c r="BS321" s="3" t="b">
        <v>1</v>
      </c>
      <c r="BT321" s="3" t="b">
        <v>1</v>
      </c>
      <c r="BU321" s="3"/>
      <c r="BV321" s="3"/>
      <c r="BW321" s="3"/>
      <c r="BX321" s="3"/>
    </row>
    <row r="322" spans="1:76" x14ac:dyDescent="0.35">
      <c r="A322" s="3"/>
      <c r="B322" s="3"/>
      <c r="C322" s="3" t="s">
        <v>57</v>
      </c>
      <c r="D322" s="3"/>
      <c r="E322" s="3"/>
      <c r="F322" s="3"/>
      <c r="G322" s="3" t="s">
        <v>3742</v>
      </c>
      <c r="H322" s="3"/>
      <c r="I322" s="3" t="b">
        <v>1</v>
      </c>
      <c r="J322" s="3" t="b">
        <v>0</v>
      </c>
      <c r="K322" s="3" t="b">
        <v>0</v>
      </c>
      <c r="L322" s="3" t="b">
        <v>0</v>
      </c>
      <c r="M322" s="3" t="b">
        <v>0</v>
      </c>
      <c r="N322" s="3" t="b">
        <f t="shared" si="12"/>
        <v>0</v>
      </c>
      <c r="O322" s="3" t="b">
        <f t="shared" si="13"/>
        <v>0</v>
      </c>
      <c r="P322" s="3" t="b">
        <f t="shared" si="14"/>
        <v>1</v>
      </c>
      <c r="Q322" s="3" t="b">
        <f t="shared" si="15"/>
        <v>0</v>
      </c>
      <c r="R322" s="3" t="b">
        <f t="shared" si="16"/>
        <v>0</v>
      </c>
      <c r="S322" s="3" t="b">
        <f t="shared" si="17"/>
        <v>0</v>
      </c>
      <c r="U322" s="3" t="s">
        <v>59</v>
      </c>
      <c r="V322" s="3" t="b">
        <v>1</v>
      </c>
      <c r="W322" s="3" t="b">
        <v>1</v>
      </c>
      <c r="X322" s="3" t="b">
        <v>1</v>
      </c>
      <c r="Y322" s="3" t="b">
        <v>1</v>
      </c>
      <c r="Z322" s="3" t="b">
        <v>1</v>
      </c>
      <c r="AA322" s="3"/>
      <c r="AB322" s="3"/>
      <c r="AC322" s="3"/>
      <c r="AD322" s="3"/>
      <c r="AE322" s="3"/>
      <c r="AF322" s="3" t="s">
        <v>59</v>
      </c>
      <c r="AG322" s="3" t="b">
        <v>1</v>
      </c>
      <c r="AH322" s="3" t="b">
        <v>1</v>
      </c>
      <c r="AI322" s="3" t="b">
        <v>1</v>
      </c>
      <c r="AJ322" s="3" t="b">
        <v>1</v>
      </c>
      <c r="AK322" s="3" t="b">
        <v>1</v>
      </c>
      <c r="AL322" s="3"/>
      <c r="AM322" s="3"/>
      <c r="AN322" s="3"/>
      <c r="AO322" s="3"/>
      <c r="AP322" s="3"/>
      <c r="AQ322" s="3" t="s">
        <v>59</v>
      </c>
      <c r="AR322" s="3" t="b">
        <v>1</v>
      </c>
      <c r="AS322" s="3" t="b">
        <v>1</v>
      </c>
      <c r="AT322" s="3" t="b">
        <v>1</v>
      </c>
      <c r="AU322" s="3" t="b">
        <v>1</v>
      </c>
      <c r="AV322" s="3" t="b">
        <v>1</v>
      </c>
      <c r="AW322" s="3" t="b">
        <f t="shared" si="18"/>
        <v>1</v>
      </c>
      <c r="AX322" s="3" t="b">
        <f t="shared" si="19"/>
        <v>0</v>
      </c>
      <c r="AY322" s="3" t="b">
        <f t="shared" si="20"/>
        <v>0</v>
      </c>
      <c r="AZ322" s="3" t="b">
        <f t="shared" si="21"/>
        <v>0</v>
      </c>
      <c r="BA322" s="3" t="b">
        <f t="shared" si="22"/>
        <v>0</v>
      </c>
      <c r="BB322" s="3" t="b">
        <f t="shared" si="23"/>
        <v>0</v>
      </c>
      <c r="BC322" s="3"/>
      <c r="BD322" s="3" t="s">
        <v>59</v>
      </c>
      <c r="BE322" s="3" t="b">
        <v>1</v>
      </c>
      <c r="BF322" s="3" t="b">
        <v>1</v>
      </c>
      <c r="BG322" s="3" t="b">
        <v>1</v>
      </c>
      <c r="BH322" s="3" t="b">
        <v>1</v>
      </c>
      <c r="BI322" s="3" t="b">
        <v>1</v>
      </c>
      <c r="BJ322" s="3"/>
      <c r="BK322" s="3"/>
      <c r="BL322" s="3"/>
      <c r="BM322" s="3"/>
      <c r="BN322" s="3"/>
      <c r="BO322" s="3" t="s">
        <v>59</v>
      </c>
      <c r="BP322" s="3" t="b">
        <v>1</v>
      </c>
      <c r="BQ322" s="3" t="b">
        <v>1</v>
      </c>
      <c r="BR322" s="3" t="b">
        <v>1</v>
      </c>
      <c r="BS322" s="3" t="b">
        <v>1</v>
      </c>
      <c r="BT322" s="3" t="b">
        <v>1</v>
      </c>
      <c r="BU322" s="3"/>
      <c r="BV322" s="3"/>
      <c r="BW322" s="3"/>
      <c r="BX322" s="3"/>
    </row>
    <row r="323" spans="1:76" x14ac:dyDescent="0.35">
      <c r="A323" s="3"/>
      <c r="B323" s="3" t="s">
        <v>787</v>
      </c>
      <c r="C323" s="3" t="s">
        <v>700</v>
      </c>
      <c r="D323" s="3" t="s">
        <v>701</v>
      </c>
      <c r="E323" s="3" t="s">
        <v>702</v>
      </c>
      <c r="F323" s="3"/>
      <c r="G323" s="3" t="s">
        <v>3743</v>
      </c>
      <c r="H323" s="3" t="s">
        <v>789</v>
      </c>
      <c r="I323" s="3" t="b">
        <v>1</v>
      </c>
      <c r="J323" s="3" t="b">
        <v>1</v>
      </c>
      <c r="K323" s="3" t="b">
        <v>1</v>
      </c>
      <c r="L323" s="3" t="b">
        <v>1</v>
      </c>
      <c r="M323" s="3" t="b">
        <v>1</v>
      </c>
      <c r="N323" s="3" t="b">
        <f t="shared" si="12"/>
        <v>1</v>
      </c>
      <c r="O323" s="3" t="b">
        <f t="shared" si="13"/>
        <v>0</v>
      </c>
      <c r="P323" s="3" t="b">
        <f t="shared" si="14"/>
        <v>0</v>
      </c>
      <c r="Q323" s="3" t="b">
        <f t="shared" si="15"/>
        <v>0</v>
      </c>
      <c r="R323" s="3" t="b">
        <f t="shared" si="16"/>
        <v>0</v>
      </c>
      <c r="S323" s="3" t="b">
        <f t="shared" si="17"/>
        <v>0</v>
      </c>
      <c r="U323" s="3" t="s">
        <v>705</v>
      </c>
      <c r="V323" s="3" t="b">
        <v>1</v>
      </c>
      <c r="W323" s="3" t="b">
        <v>1</v>
      </c>
      <c r="X323" s="3" t="b">
        <v>1</v>
      </c>
      <c r="Y323" s="3" t="b">
        <v>1</v>
      </c>
      <c r="Z323" s="3" t="b">
        <v>1</v>
      </c>
      <c r="AA323" s="3"/>
      <c r="AB323" s="3"/>
      <c r="AC323" s="3"/>
      <c r="AD323" s="3"/>
      <c r="AE323" s="3"/>
      <c r="AF323" s="3" t="s">
        <v>705</v>
      </c>
      <c r="AG323" s="3" t="b">
        <v>1</v>
      </c>
      <c r="AH323" s="3" t="b">
        <v>1</v>
      </c>
      <c r="AI323" s="3" t="b">
        <v>1</v>
      </c>
      <c r="AJ323" s="3" t="b">
        <v>1</v>
      </c>
      <c r="AK323" s="3" t="b">
        <v>1</v>
      </c>
      <c r="AL323" s="3"/>
      <c r="AM323" s="3"/>
      <c r="AN323" s="3"/>
      <c r="AO323" s="3"/>
      <c r="AP323" s="3"/>
      <c r="AQ323" s="3" t="s">
        <v>705</v>
      </c>
      <c r="AR323" s="3" t="b">
        <v>1</v>
      </c>
      <c r="AS323" s="3" t="b">
        <v>1</v>
      </c>
      <c r="AT323" s="3" t="b">
        <v>1</v>
      </c>
      <c r="AU323" s="3" t="b">
        <v>1</v>
      </c>
      <c r="AV323" s="3" t="b">
        <v>1</v>
      </c>
      <c r="AW323" s="3" t="b">
        <f t="shared" si="18"/>
        <v>1</v>
      </c>
      <c r="AX323" s="3" t="b">
        <f t="shared" si="19"/>
        <v>0</v>
      </c>
      <c r="AY323" s="3" t="b">
        <f t="shared" si="20"/>
        <v>0</v>
      </c>
      <c r="AZ323" s="3" t="b">
        <f t="shared" si="21"/>
        <v>0</v>
      </c>
      <c r="BA323" s="3" t="b">
        <f t="shared" si="22"/>
        <v>0</v>
      </c>
      <c r="BB323" s="3" t="b">
        <f t="shared" si="23"/>
        <v>0</v>
      </c>
      <c r="BC323" s="3"/>
      <c r="BD323" s="3" t="s">
        <v>705</v>
      </c>
      <c r="BE323" s="3" t="b">
        <v>1</v>
      </c>
      <c r="BF323" s="3" t="b">
        <v>1</v>
      </c>
      <c r="BG323" s="3" t="b">
        <v>1</v>
      </c>
      <c r="BH323" s="3" t="b">
        <v>1</v>
      </c>
      <c r="BI323" s="3" t="b">
        <v>1</v>
      </c>
      <c r="BJ323" s="3"/>
      <c r="BK323" s="3"/>
      <c r="BL323" s="3"/>
      <c r="BM323" s="3"/>
      <c r="BN323" s="3"/>
      <c r="BO323" s="3" t="s">
        <v>705</v>
      </c>
      <c r="BP323" s="3" t="b">
        <v>1</v>
      </c>
      <c r="BQ323" s="3" t="b">
        <v>1</v>
      </c>
      <c r="BR323" s="3" t="b">
        <v>1</v>
      </c>
      <c r="BS323" s="3" t="b">
        <v>1</v>
      </c>
      <c r="BT323" s="3" t="b">
        <v>1</v>
      </c>
      <c r="BU323" s="3"/>
      <c r="BV323" s="3"/>
      <c r="BW323" s="3"/>
      <c r="BX323" s="3"/>
    </row>
    <row r="324" spans="1:76" x14ac:dyDescent="0.35">
      <c r="A324" s="3"/>
      <c r="B324" s="3"/>
      <c r="C324" s="3" t="s">
        <v>706</v>
      </c>
      <c r="D324" s="3"/>
      <c r="E324" s="3"/>
      <c r="F324" s="3"/>
      <c r="G324" s="3" t="s">
        <v>3744</v>
      </c>
      <c r="H324" s="3" t="s">
        <v>709</v>
      </c>
      <c r="I324" s="3" t="b">
        <v>1</v>
      </c>
      <c r="J324" s="3" t="b">
        <v>1</v>
      </c>
      <c r="K324" s="3" t="b">
        <v>1</v>
      </c>
      <c r="L324" s="3" t="b">
        <v>1</v>
      </c>
      <c r="M324" s="3" t="b">
        <v>1</v>
      </c>
      <c r="N324" s="3" t="b">
        <f t="shared" si="12"/>
        <v>1</v>
      </c>
      <c r="O324" s="3" t="b">
        <f t="shared" si="13"/>
        <v>0</v>
      </c>
      <c r="P324" s="3" t="b">
        <f t="shared" si="14"/>
        <v>0</v>
      </c>
      <c r="Q324" s="3" t="b">
        <f t="shared" si="15"/>
        <v>0</v>
      </c>
      <c r="R324" s="3" t="b">
        <f t="shared" si="16"/>
        <v>0</v>
      </c>
      <c r="S324" s="3" t="b">
        <f t="shared" si="17"/>
        <v>0</v>
      </c>
      <c r="U324" s="3"/>
      <c r="V324" s="3" t="b">
        <v>1</v>
      </c>
      <c r="W324" s="3" t="b">
        <v>0</v>
      </c>
      <c r="X324" s="3" t="b">
        <v>0</v>
      </c>
      <c r="Y324" s="3" t="b">
        <v>0</v>
      </c>
      <c r="Z324" s="3" t="b">
        <v>0</v>
      </c>
      <c r="AA324" s="3"/>
      <c r="AB324" s="3"/>
      <c r="AC324" s="3"/>
      <c r="AD324" s="3"/>
      <c r="AE324" s="3"/>
      <c r="AF324" s="3" t="s">
        <v>709</v>
      </c>
      <c r="AG324" s="3" t="b">
        <v>1</v>
      </c>
      <c r="AH324" s="3" t="b">
        <v>1</v>
      </c>
      <c r="AI324" s="3" t="b">
        <v>1</v>
      </c>
      <c r="AJ324" s="3" t="b">
        <v>1</v>
      </c>
      <c r="AK324" s="3" t="b">
        <v>1</v>
      </c>
      <c r="AL324" s="3"/>
      <c r="AM324" s="3"/>
      <c r="AN324" s="3"/>
      <c r="AO324" s="3"/>
      <c r="AP324" s="3"/>
      <c r="AQ324" s="3" t="s">
        <v>791</v>
      </c>
      <c r="AR324" s="3" t="b">
        <v>1</v>
      </c>
      <c r="AS324" s="3" t="b">
        <v>0</v>
      </c>
      <c r="AT324" s="3" t="b">
        <v>0</v>
      </c>
      <c r="AU324" s="3" t="b">
        <v>0</v>
      </c>
      <c r="AV324" s="3" t="b">
        <v>0</v>
      </c>
      <c r="AW324" s="3" t="b">
        <f t="shared" si="18"/>
        <v>0</v>
      </c>
      <c r="AX324" s="3" t="b">
        <f t="shared" si="19"/>
        <v>0</v>
      </c>
      <c r="AY324" s="3" t="b">
        <f t="shared" si="20"/>
        <v>1</v>
      </c>
      <c r="AZ324" s="3" t="b">
        <f t="shared" si="21"/>
        <v>0</v>
      </c>
      <c r="BA324" s="3" t="b">
        <f t="shared" si="22"/>
        <v>0</v>
      </c>
      <c r="BB324" s="3" t="b">
        <f t="shared" si="23"/>
        <v>0</v>
      </c>
      <c r="BC324" s="3"/>
      <c r="BD324" s="3" t="s">
        <v>792</v>
      </c>
      <c r="BE324" s="3" t="b">
        <v>1</v>
      </c>
      <c r="BF324" s="3" t="b">
        <v>1</v>
      </c>
      <c r="BG324" s="3" t="b">
        <v>1</v>
      </c>
      <c r="BH324" s="3" t="b">
        <v>0</v>
      </c>
      <c r="BI324" s="3" t="b">
        <v>1</v>
      </c>
      <c r="BJ324" s="3"/>
      <c r="BK324" s="3"/>
      <c r="BL324" s="3"/>
      <c r="BM324" s="3"/>
      <c r="BN324" s="3"/>
      <c r="BO324" s="3" t="s">
        <v>710</v>
      </c>
      <c r="BP324" s="3" t="b">
        <v>1</v>
      </c>
      <c r="BQ324" s="3" t="b">
        <v>0</v>
      </c>
      <c r="BR324" s="3" t="b">
        <v>0</v>
      </c>
      <c r="BS324" s="3" t="b">
        <v>0</v>
      </c>
      <c r="BT324" s="3" t="b">
        <v>0</v>
      </c>
      <c r="BU324" s="3"/>
      <c r="BV324" s="3"/>
      <c r="BW324" s="3"/>
      <c r="BX324" s="3"/>
    </row>
    <row r="325" spans="1:76" x14ac:dyDescent="0.35">
      <c r="A325" s="3"/>
      <c r="B325" s="3"/>
      <c r="C325" s="3" t="s">
        <v>711</v>
      </c>
      <c r="D325" s="3"/>
      <c r="E325" s="3"/>
      <c r="F325" s="3"/>
      <c r="G325" s="3" t="s">
        <v>3745</v>
      </c>
      <c r="H325" s="3" t="s">
        <v>794</v>
      </c>
      <c r="I325" s="3" t="b">
        <v>1</v>
      </c>
      <c r="J325" s="3" t="b">
        <v>1</v>
      </c>
      <c r="K325" s="3" t="b">
        <v>1</v>
      </c>
      <c r="L325" s="3" t="b">
        <v>1</v>
      </c>
      <c r="M325" s="3" t="b">
        <v>1</v>
      </c>
      <c r="N325" s="3" t="b">
        <f t="shared" si="12"/>
        <v>1</v>
      </c>
      <c r="O325" s="3" t="b">
        <f t="shared" si="13"/>
        <v>0</v>
      </c>
      <c r="P325" s="3" t="b">
        <f t="shared" si="14"/>
        <v>0</v>
      </c>
      <c r="Q325" s="3" t="b">
        <f t="shared" si="15"/>
        <v>0</v>
      </c>
      <c r="R325" s="3" t="b">
        <f t="shared" si="16"/>
        <v>0</v>
      </c>
      <c r="S325" s="3" t="b">
        <f t="shared" si="17"/>
        <v>0</v>
      </c>
      <c r="U325" s="3" t="s">
        <v>716</v>
      </c>
      <c r="V325" s="3" t="b">
        <v>1</v>
      </c>
      <c r="W325" s="3" t="b">
        <v>1</v>
      </c>
      <c r="X325" s="3" t="b">
        <v>1</v>
      </c>
      <c r="Y325" s="3" t="b">
        <v>1</v>
      </c>
      <c r="Z325" s="3" t="b">
        <v>1</v>
      </c>
      <c r="AA325" s="3"/>
      <c r="AB325" s="3"/>
      <c r="AC325" s="3"/>
      <c r="AD325" s="3"/>
      <c r="AE325" s="3"/>
      <c r="AF325" s="3" t="s">
        <v>716</v>
      </c>
      <c r="AG325" s="3" t="b">
        <v>1</v>
      </c>
      <c r="AH325" s="3" t="b">
        <v>1</v>
      </c>
      <c r="AI325" s="3" t="b">
        <v>1</v>
      </c>
      <c r="AJ325" s="3" t="b">
        <v>1</v>
      </c>
      <c r="AK325" s="3" t="b">
        <v>1</v>
      </c>
      <c r="AL325" s="3"/>
      <c r="AM325" s="3"/>
      <c r="AN325" s="3"/>
      <c r="AO325" s="3"/>
      <c r="AP325" s="3"/>
      <c r="AQ325" s="3" t="s">
        <v>795</v>
      </c>
      <c r="AR325" s="3" t="b">
        <v>1</v>
      </c>
      <c r="AS325" s="3" t="b">
        <v>1</v>
      </c>
      <c r="AT325" s="3" t="b">
        <v>1</v>
      </c>
      <c r="AU325" s="3" t="b">
        <v>1</v>
      </c>
      <c r="AV325" s="3" t="b">
        <v>1</v>
      </c>
      <c r="AW325" s="3" t="b">
        <f t="shared" si="18"/>
        <v>1</v>
      </c>
      <c r="AX325" s="3" t="b">
        <f t="shared" si="19"/>
        <v>0</v>
      </c>
      <c r="AY325" s="3" t="b">
        <f t="shared" si="20"/>
        <v>0</v>
      </c>
      <c r="AZ325" s="3" t="b">
        <f t="shared" si="21"/>
        <v>0</v>
      </c>
      <c r="BA325" s="3" t="b">
        <f t="shared" si="22"/>
        <v>0</v>
      </c>
      <c r="BB325" s="3" t="b">
        <f t="shared" si="23"/>
        <v>0</v>
      </c>
      <c r="BC325" s="3"/>
      <c r="BD325" s="3" t="s">
        <v>796</v>
      </c>
      <c r="BE325" s="3" t="b">
        <v>1</v>
      </c>
      <c r="BF325" s="3" t="b">
        <v>1</v>
      </c>
      <c r="BG325" s="3" t="b">
        <v>1</v>
      </c>
      <c r="BH325" s="3" t="b">
        <v>1</v>
      </c>
      <c r="BI325" s="3" t="b">
        <v>1</v>
      </c>
      <c r="BJ325" s="3"/>
      <c r="BK325" s="3"/>
      <c r="BL325" s="3"/>
      <c r="BM325" s="3"/>
      <c r="BN325" s="3"/>
      <c r="BO325" s="3" t="s">
        <v>797</v>
      </c>
      <c r="BP325" s="3" t="b">
        <v>1</v>
      </c>
      <c r="BQ325" s="3" t="b">
        <v>1</v>
      </c>
      <c r="BR325" s="3" t="b">
        <v>1</v>
      </c>
      <c r="BS325" s="3" t="b">
        <v>0</v>
      </c>
      <c r="BT325" s="3" t="b">
        <v>1</v>
      </c>
      <c r="BU325" s="3"/>
      <c r="BV325" s="3"/>
      <c r="BW325" s="3"/>
      <c r="BX325" s="3"/>
    </row>
    <row r="326" spans="1:76" x14ac:dyDescent="0.35">
      <c r="A326" s="3"/>
      <c r="B326" s="3" t="s">
        <v>753</v>
      </c>
      <c r="C326" s="3" t="s">
        <v>75</v>
      </c>
      <c r="D326" s="3" t="s">
        <v>76</v>
      </c>
      <c r="E326" s="3" t="s">
        <v>77</v>
      </c>
      <c r="F326" s="3"/>
      <c r="G326" s="3" t="s">
        <v>3746</v>
      </c>
      <c r="H326" s="3" t="s">
        <v>80</v>
      </c>
      <c r="I326" s="3" t="b">
        <v>1</v>
      </c>
      <c r="J326" s="3" t="b">
        <v>1</v>
      </c>
      <c r="K326" s="3" t="b">
        <v>1</v>
      </c>
      <c r="L326" s="3" t="b">
        <v>1</v>
      </c>
      <c r="M326" s="3" t="b">
        <v>1</v>
      </c>
      <c r="N326" s="3" t="b">
        <f t="shared" si="12"/>
        <v>1</v>
      </c>
      <c r="O326" s="3" t="b">
        <f t="shared" si="13"/>
        <v>0</v>
      </c>
      <c r="P326" s="3" t="b">
        <f t="shared" si="14"/>
        <v>0</v>
      </c>
      <c r="Q326" s="3" t="b">
        <f t="shared" si="15"/>
        <v>0</v>
      </c>
      <c r="R326" s="3" t="b">
        <f t="shared" si="16"/>
        <v>0</v>
      </c>
      <c r="S326" s="3" t="b">
        <f t="shared" si="17"/>
        <v>0</v>
      </c>
      <c r="U326" s="3" t="s">
        <v>79</v>
      </c>
      <c r="V326" s="3" t="b">
        <v>1</v>
      </c>
      <c r="W326" s="3" t="b">
        <v>1</v>
      </c>
      <c r="X326" s="3" t="b">
        <v>1</v>
      </c>
      <c r="Y326" s="3" t="b">
        <v>1</v>
      </c>
      <c r="Z326" s="3" t="b">
        <v>1</v>
      </c>
      <c r="AA326" s="3"/>
      <c r="AB326" s="3"/>
      <c r="AC326" s="3"/>
      <c r="AD326" s="3"/>
      <c r="AE326" s="3"/>
      <c r="AF326" s="3" t="s">
        <v>799</v>
      </c>
      <c r="AG326" s="3" t="b">
        <v>1</v>
      </c>
      <c r="AH326" s="3" t="b">
        <v>1</v>
      </c>
      <c r="AI326" s="3" t="b">
        <v>1</v>
      </c>
      <c r="AJ326" s="3" t="b">
        <v>1</v>
      </c>
      <c r="AK326" s="3" t="b">
        <v>1</v>
      </c>
      <c r="AL326" s="3"/>
      <c r="AM326" s="3"/>
      <c r="AN326" s="3"/>
      <c r="AO326" s="3"/>
      <c r="AP326" s="3"/>
      <c r="AQ326" s="3" t="s">
        <v>800</v>
      </c>
      <c r="AR326" s="3" t="b">
        <v>1</v>
      </c>
      <c r="AS326" s="3" t="b">
        <v>1</v>
      </c>
      <c r="AT326" s="3" t="b">
        <v>1</v>
      </c>
      <c r="AU326" s="3" t="b">
        <v>1</v>
      </c>
      <c r="AV326" s="3" t="b">
        <v>1</v>
      </c>
      <c r="AW326" s="3" t="b">
        <f t="shared" si="18"/>
        <v>1</v>
      </c>
      <c r="AX326" s="3" t="b">
        <f t="shared" si="19"/>
        <v>0</v>
      </c>
      <c r="AY326" s="3" t="b">
        <f t="shared" si="20"/>
        <v>0</v>
      </c>
      <c r="AZ326" s="3" t="b">
        <f t="shared" si="21"/>
        <v>0</v>
      </c>
      <c r="BA326" s="3" t="b">
        <f t="shared" si="22"/>
        <v>0</v>
      </c>
      <c r="BB326" s="3" t="b">
        <f t="shared" si="23"/>
        <v>0</v>
      </c>
      <c r="BC326" s="3"/>
      <c r="BD326" s="3" t="s">
        <v>801</v>
      </c>
      <c r="BE326" s="3" t="b">
        <v>1</v>
      </c>
      <c r="BF326" s="3" t="b">
        <v>1</v>
      </c>
      <c r="BG326" s="3" t="b">
        <v>1</v>
      </c>
      <c r="BH326" s="3" t="b">
        <v>1</v>
      </c>
      <c r="BI326" s="3" t="b">
        <v>1</v>
      </c>
      <c r="BJ326" s="3"/>
      <c r="BK326" s="3"/>
      <c r="BL326" s="3"/>
      <c r="BM326" s="3"/>
      <c r="BN326" s="3"/>
      <c r="BO326" s="3" t="s">
        <v>801</v>
      </c>
      <c r="BP326" s="3" t="b">
        <v>1</v>
      </c>
      <c r="BQ326" s="3" t="b">
        <v>1</v>
      </c>
      <c r="BR326" s="3" t="b">
        <v>1</v>
      </c>
      <c r="BS326" s="3" t="b">
        <v>1</v>
      </c>
      <c r="BT326" s="3" t="b">
        <v>1</v>
      </c>
      <c r="BU326" s="3"/>
      <c r="BV326" s="3"/>
      <c r="BW326" s="3"/>
      <c r="BX326" s="3"/>
    </row>
    <row r="327" spans="1:76" x14ac:dyDescent="0.35">
      <c r="A327" s="3"/>
      <c r="B327" s="3"/>
      <c r="C327" s="3" t="s">
        <v>318</v>
      </c>
      <c r="D327" s="3"/>
      <c r="E327" s="3"/>
      <c r="F327" s="3"/>
      <c r="G327" s="3" t="s">
        <v>3747</v>
      </c>
      <c r="H327" s="3" t="s">
        <v>321</v>
      </c>
      <c r="I327" s="3" t="b">
        <v>1</v>
      </c>
      <c r="J327" s="3" t="b">
        <v>0</v>
      </c>
      <c r="K327" s="3" t="b">
        <v>0</v>
      </c>
      <c r="L327" s="3" t="b">
        <v>1</v>
      </c>
      <c r="M327" s="3" t="b">
        <v>0</v>
      </c>
      <c r="N327" s="3" t="b">
        <f t="shared" si="12"/>
        <v>0</v>
      </c>
      <c r="O327" s="3" t="b">
        <f t="shared" si="13"/>
        <v>0</v>
      </c>
      <c r="P327" s="3" t="b">
        <f t="shared" si="14"/>
        <v>1</v>
      </c>
      <c r="Q327" s="3" t="b">
        <f t="shared" si="15"/>
        <v>0</v>
      </c>
      <c r="R327" s="3" t="b">
        <f t="shared" si="16"/>
        <v>0</v>
      </c>
      <c r="S327" s="3" t="b">
        <f t="shared" si="17"/>
        <v>0</v>
      </c>
      <c r="U327" s="3" t="s">
        <v>321</v>
      </c>
      <c r="V327" s="3" t="b">
        <v>1</v>
      </c>
      <c r="W327" s="3" t="b">
        <v>0</v>
      </c>
      <c r="X327" s="3" t="b">
        <v>0</v>
      </c>
      <c r="Y327" s="3" t="b">
        <v>1</v>
      </c>
      <c r="Z327" s="3" t="b">
        <v>0</v>
      </c>
      <c r="AA327" s="3"/>
      <c r="AB327" s="3"/>
      <c r="AC327" s="3"/>
      <c r="AD327" s="3"/>
      <c r="AE327" s="3"/>
      <c r="AF327" s="3" t="s">
        <v>321</v>
      </c>
      <c r="AG327" s="3" t="b">
        <v>1</v>
      </c>
      <c r="AH327" s="3" t="b">
        <v>0</v>
      </c>
      <c r="AI327" s="3" t="b">
        <v>0</v>
      </c>
      <c r="AJ327" s="3" t="b">
        <v>1</v>
      </c>
      <c r="AK327" s="3" t="b">
        <v>0</v>
      </c>
      <c r="AL327" s="3"/>
      <c r="AM327" s="3"/>
      <c r="AN327" s="3"/>
      <c r="AO327" s="3"/>
      <c r="AP327" s="3"/>
      <c r="AQ327" s="3" t="s">
        <v>484</v>
      </c>
      <c r="AR327" s="3" t="b">
        <v>1</v>
      </c>
      <c r="AS327" s="3" t="b">
        <v>0</v>
      </c>
      <c r="AT327" s="3" t="b">
        <v>0</v>
      </c>
      <c r="AU327" s="3" t="b">
        <v>0</v>
      </c>
      <c r="AV327" s="3" t="b">
        <v>0</v>
      </c>
      <c r="AW327" s="3" t="b">
        <f t="shared" si="18"/>
        <v>0</v>
      </c>
      <c r="AX327" s="3" t="b">
        <f t="shared" si="19"/>
        <v>0</v>
      </c>
      <c r="AY327" s="3" t="b">
        <f t="shared" si="20"/>
        <v>1</v>
      </c>
      <c r="AZ327" s="3" t="b">
        <f t="shared" si="21"/>
        <v>0</v>
      </c>
      <c r="BA327" s="3" t="b">
        <f t="shared" si="22"/>
        <v>0</v>
      </c>
      <c r="BB327" s="3" t="b">
        <f t="shared" si="23"/>
        <v>0</v>
      </c>
      <c r="BC327" s="3"/>
      <c r="BD327" s="3" t="s">
        <v>484</v>
      </c>
      <c r="BE327" s="3" t="b">
        <v>1</v>
      </c>
      <c r="BF327" s="3" t="b">
        <v>0</v>
      </c>
      <c r="BG327" s="3" t="b">
        <v>0</v>
      </c>
      <c r="BH327" s="3" t="b">
        <v>0</v>
      </c>
      <c r="BI327" s="3" t="b">
        <v>0</v>
      </c>
      <c r="BJ327" s="3"/>
      <c r="BK327" s="3"/>
      <c r="BL327" s="3"/>
      <c r="BM327" s="3"/>
      <c r="BN327" s="3"/>
      <c r="BO327" s="3" t="s">
        <v>484</v>
      </c>
      <c r="BP327" s="3" t="b">
        <v>1</v>
      </c>
      <c r="BQ327" s="3" t="b">
        <v>0</v>
      </c>
      <c r="BR327" s="3" t="b">
        <v>0</v>
      </c>
      <c r="BS327" s="3" t="b">
        <v>0</v>
      </c>
      <c r="BT327" s="3" t="b">
        <v>0</v>
      </c>
      <c r="BU327" s="3"/>
      <c r="BV327" s="3"/>
      <c r="BW327" s="3"/>
      <c r="BX327" s="3"/>
    </row>
    <row r="328" spans="1:76" x14ac:dyDescent="0.35">
      <c r="A328" s="3"/>
      <c r="B328" s="3"/>
      <c r="C328" s="3" t="s">
        <v>89</v>
      </c>
      <c r="D328" s="3"/>
      <c r="E328" s="3"/>
      <c r="F328" s="3"/>
      <c r="G328" s="3" t="s">
        <v>3748</v>
      </c>
      <c r="H328" s="3" t="s">
        <v>92</v>
      </c>
      <c r="I328" s="3" t="b">
        <v>1</v>
      </c>
      <c r="J328" s="3" t="b">
        <v>1</v>
      </c>
      <c r="K328" s="3" t="b">
        <v>1</v>
      </c>
      <c r="L328" s="3" t="b">
        <v>1</v>
      </c>
      <c r="M328" s="3" t="b">
        <v>1</v>
      </c>
      <c r="N328" s="3" t="b">
        <f t="shared" si="12"/>
        <v>1</v>
      </c>
      <c r="O328" s="3" t="b">
        <f t="shared" si="13"/>
        <v>0</v>
      </c>
      <c r="P328" s="3" t="b">
        <f t="shared" si="14"/>
        <v>0</v>
      </c>
      <c r="Q328" s="3" t="b">
        <f t="shared" si="15"/>
        <v>0</v>
      </c>
      <c r="R328" s="3" t="b">
        <f t="shared" si="16"/>
        <v>0</v>
      </c>
      <c r="S328" s="3" t="b">
        <f t="shared" si="17"/>
        <v>0</v>
      </c>
      <c r="U328" s="3" t="s">
        <v>804</v>
      </c>
      <c r="V328" s="3" t="b">
        <v>1</v>
      </c>
      <c r="W328" s="3" t="b">
        <v>0</v>
      </c>
      <c r="X328" s="3" t="b">
        <v>0</v>
      </c>
      <c r="Y328" s="3" t="b">
        <v>1</v>
      </c>
      <c r="Z328" s="3" t="b">
        <v>0</v>
      </c>
      <c r="AA328" s="3"/>
      <c r="AB328" s="3"/>
      <c r="AC328" s="3"/>
      <c r="AD328" s="3"/>
      <c r="AE328" s="3"/>
      <c r="AF328" s="3" t="s">
        <v>748</v>
      </c>
      <c r="AG328" s="3" t="b">
        <v>1</v>
      </c>
      <c r="AH328" s="3" t="b">
        <v>1</v>
      </c>
      <c r="AI328" s="3" t="b">
        <v>1</v>
      </c>
      <c r="AJ328" s="3" t="b">
        <v>1</v>
      </c>
      <c r="AK328" s="3" t="b">
        <v>1</v>
      </c>
      <c r="AL328" s="3"/>
      <c r="AM328" s="3"/>
      <c r="AN328" s="3"/>
      <c r="AO328" s="3"/>
      <c r="AP328" s="3"/>
      <c r="AQ328" s="3" t="s">
        <v>326</v>
      </c>
      <c r="AR328" s="3" t="b">
        <v>1</v>
      </c>
      <c r="AS328" s="3" t="b">
        <v>0</v>
      </c>
      <c r="AT328" s="3" t="b">
        <v>0</v>
      </c>
      <c r="AU328" s="3" t="b">
        <v>1</v>
      </c>
      <c r="AV328" s="3" t="b">
        <v>0</v>
      </c>
      <c r="AW328" s="3" t="b">
        <f t="shared" si="18"/>
        <v>0</v>
      </c>
      <c r="AX328" s="3" t="b">
        <f t="shared" si="19"/>
        <v>0</v>
      </c>
      <c r="AY328" s="3" t="b">
        <f t="shared" si="20"/>
        <v>1</v>
      </c>
      <c r="AZ328" s="3" t="b">
        <f t="shared" si="21"/>
        <v>0</v>
      </c>
      <c r="BA328" s="3" t="b">
        <f t="shared" si="22"/>
        <v>0</v>
      </c>
      <c r="BB328" s="3" t="b">
        <f t="shared" si="23"/>
        <v>0</v>
      </c>
      <c r="BC328" s="3"/>
      <c r="BD328" s="3" t="s">
        <v>749</v>
      </c>
      <c r="BE328" s="3" t="b">
        <v>1</v>
      </c>
      <c r="BF328" s="3" t="b">
        <v>1</v>
      </c>
      <c r="BG328" s="3" t="b">
        <v>1</v>
      </c>
      <c r="BH328" s="3" t="b">
        <v>0</v>
      </c>
      <c r="BI328" s="3" t="b">
        <v>1</v>
      </c>
      <c r="BJ328" s="3"/>
      <c r="BK328" s="3"/>
      <c r="BL328" s="3"/>
      <c r="BM328" s="3"/>
      <c r="BN328" s="3"/>
      <c r="BO328" s="3" t="s">
        <v>749</v>
      </c>
      <c r="BP328" s="3" t="b">
        <v>1</v>
      </c>
      <c r="BQ328" s="3" t="b">
        <v>1</v>
      </c>
      <c r="BR328" s="3" t="b">
        <v>1</v>
      </c>
      <c r="BS328" s="3" t="b">
        <v>0</v>
      </c>
      <c r="BT328" s="3" t="b">
        <v>1</v>
      </c>
      <c r="BU328" s="3"/>
      <c r="BV328" s="3"/>
      <c r="BW328" s="3"/>
      <c r="BX328" s="3"/>
    </row>
    <row r="329" spans="1:76" x14ac:dyDescent="0.35">
      <c r="A329" s="3"/>
      <c r="B329" s="3"/>
      <c r="C329" s="3" t="s">
        <v>97</v>
      </c>
      <c r="D329" s="3"/>
      <c r="E329" s="3"/>
      <c r="F329" s="3"/>
      <c r="G329" s="3" t="s">
        <v>3749</v>
      </c>
      <c r="H329" s="3" t="s">
        <v>806</v>
      </c>
      <c r="I329" s="3" t="b">
        <v>1</v>
      </c>
      <c r="J329" s="3" t="b">
        <v>0</v>
      </c>
      <c r="K329" s="3" t="b">
        <v>0</v>
      </c>
      <c r="L329" s="3" t="b">
        <v>1</v>
      </c>
      <c r="M329" s="3" t="b">
        <v>0</v>
      </c>
      <c r="N329" s="3" t="b">
        <f t="shared" si="12"/>
        <v>0</v>
      </c>
      <c r="O329" s="3" t="b">
        <f t="shared" si="13"/>
        <v>0</v>
      </c>
      <c r="P329" s="3" t="b">
        <f t="shared" si="14"/>
        <v>1</v>
      </c>
      <c r="Q329" s="3" t="b">
        <f t="shared" si="15"/>
        <v>0</v>
      </c>
      <c r="R329" s="3" t="b">
        <f t="shared" si="16"/>
        <v>0</v>
      </c>
      <c r="S329" s="3" t="b">
        <f t="shared" si="17"/>
        <v>0</v>
      </c>
      <c r="U329" s="3" t="s">
        <v>807</v>
      </c>
      <c r="V329" s="3" t="b">
        <v>1</v>
      </c>
      <c r="W329" s="3" t="b">
        <v>1</v>
      </c>
      <c r="X329" s="3" t="b">
        <v>1</v>
      </c>
      <c r="Y329" s="3" t="b">
        <v>1</v>
      </c>
      <c r="Z329" s="3" t="b">
        <v>1</v>
      </c>
      <c r="AA329" s="3"/>
      <c r="AB329" s="3"/>
      <c r="AC329" s="3"/>
      <c r="AD329" s="3"/>
      <c r="AE329" s="3"/>
      <c r="AF329" s="3" t="s">
        <v>808</v>
      </c>
      <c r="AG329" s="3" t="b">
        <v>1</v>
      </c>
      <c r="AH329" s="3" t="b">
        <v>1</v>
      </c>
      <c r="AI329" s="3" t="b">
        <v>1</v>
      </c>
      <c r="AJ329" s="3" t="b">
        <v>1</v>
      </c>
      <c r="AK329" s="3" t="b">
        <v>1</v>
      </c>
      <c r="AL329" s="3"/>
      <c r="AM329" s="3"/>
      <c r="AN329" s="3"/>
      <c r="AO329" s="3"/>
      <c r="AP329" s="3"/>
      <c r="AQ329" s="3" t="s">
        <v>809</v>
      </c>
      <c r="AR329" s="3" t="b">
        <v>1</v>
      </c>
      <c r="AS329" s="3" t="b">
        <v>1</v>
      </c>
      <c r="AT329" s="3" t="b">
        <v>1</v>
      </c>
      <c r="AU329" s="3" t="b">
        <v>0</v>
      </c>
      <c r="AV329" s="3" t="b">
        <v>1</v>
      </c>
      <c r="AW329" s="3" t="b">
        <f t="shared" si="18"/>
        <v>0</v>
      </c>
      <c r="AX329" s="3" t="b">
        <f t="shared" si="19"/>
        <v>0</v>
      </c>
      <c r="AY329" s="3" t="b">
        <f t="shared" si="20"/>
        <v>0</v>
      </c>
      <c r="AZ329" s="3" t="b">
        <f t="shared" si="21"/>
        <v>1</v>
      </c>
      <c r="BA329" s="3" t="b">
        <f t="shared" si="22"/>
        <v>0</v>
      </c>
      <c r="BB329" s="3" t="b">
        <f t="shared" si="23"/>
        <v>0</v>
      </c>
      <c r="BC329" s="3"/>
      <c r="BD329" s="3" t="s">
        <v>810</v>
      </c>
      <c r="BE329" s="3" t="b">
        <v>1</v>
      </c>
      <c r="BF329" s="3" t="b">
        <v>1</v>
      </c>
      <c r="BG329" s="3" t="b">
        <v>1</v>
      </c>
      <c r="BH329" s="3" t="b">
        <v>0</v>
      </c>
      <c r="BI329" s="3" t="b">
        <v>1</v>
      </c>
      <c r="BJ329" s="3"/>
      <c r="BK329" s="3"/>
      <c r="BL329" s="3"/>
      <c r="BM329" s="3"/>
      <c r="BN329" s="3"/>
      <c r="BO329" s="3" t="s">
        <v>811</v>
      </c>
      <c r="BP329" s="3" t="b">
        <v>1</v>
      </c>
      <c r="BQ329" s="3" t="b">
        <v>1</v>
      </c>
      <c r="BR329" s="3" t="b">
        <v>1</v>
      </c>
      <c r="BS329" s="3" t="b">
        <v>0</v>
      </c>
      <c r="BT329" s="3" t="b">
        <v>1</v>
      </c>
      <c r="BU329" s="3"/>
      <c r="BV329" s="3"/>
      <c r="BW329" s="3"/>
      <c r="BX329" s="3"/>
    </row>
    <row r="330" spans="1:76" x14ac:dyDescent="0.35">
      <c r="A330" s="3"/>
      <c r="B330" s="3" t="s">
        <v>812</v>
      </c>
      <c r="C330" s="3" t="s">
        <v>813</v>
      </c>
      <c r="D330" s="3" t="s">
        <v>814</v>
      </c>
      <c r="E330" s="3" t="s">
        <v>815</v>
      </c>
      <c r="F330" s="3"/>
      <c r="G330" s="3" t="s">
        <v>3750</v>
      </c>
      <c r="H330" s="3" t="s">
        <v>817</v>
      </c>
      <c r="I330" s="3" t="b">
        <v>1</v>
      </c>
      <c r="J330" s="3" t="b">
        <v>1</v>
      </c>
      <c r="K330" s="3" t="b">
        <v>1</v>
      </c>
      <c r="L330" s="3" t="b">
        <v>1</v>
      </c>
      <c r="M330" s="3" t="b">
        <v>1</v>
      </c>
      <c r="N330" s="3" t="b">
        <f t="shared" si="12"/>
        <v>1</v>
      </c>
      <c r="O330" s="3" t="b">
        <f t="shared" si="13"/>
        <v>0</v>
      </c>
      <c r="P330" s="3" t="b">
        <f t="shared" si="14"/>
        <v>0</v>
      </c>
      <c r="Q330" s="3" t="b">
        <f t="shared" si="15"/>
        <v>0</v>
      </c>
      <c r="R330" s="3" t="b">
        <f t="shared" si="16"/>
        <v>0</v>
      </c>
      <c r="S330" s="3" t="b">
        <f t="shared" si="17"/>
        <v>0</v>
      </c>
      <c r="U330" s="3" t="s">
        <v>817</v>
      </c>
      <c r="V330" s="3" t="b">
        <v>1</v>
      </c>
      <c r="W330" s="3" t="b">
        <v>1</v>
      </c>
      <c r="X330" s="3" t="b">
        <v>1</v>
      </c>
      <c r="Y330" s="3" t="b">
        <v>1</v>
      </c>
      <c r="Z330" s="3" t="b">
        <v>1</v>
      </c>
      <c r="AA330" s="3"/>
      <c r="AB330" s="3"/>
      <c r="AC330" s="3"/>
      <c r="AD330" s="3"/>
      <c r="AE330" s="3"/>
      <c r="AF330" s="3" t="s">
        <v>817</v>
      </c>
      <c r="AG330" s="3" t="b">
        <v>1</v>
      </c>
      <c r="AH330" s="3" t="b">
        <v>1</v>
      </c>
      <c r="AI330" s="3" t="b">
        <v>1</v>
      </c>
      <c r="AJ330" s="3" t="b">
        <v>1</v>
      </c>
      <c r="AK330" s="3" t="b">
        <v>1</v>
      </c>
      <c r="AL330" s="3"/>
      <c r="AM330" s="3"/>
      <c r="AN330" s="3"/>
      <c r="AO330" s="3"/>
      <c r="AP330" s="3"/>
      <c r="AQ330" s="3" t="s">
        <v>818</v>
      </c>
      <c r="AR330" s="3" t="b">
        <v>1</v>
      </c>
      <c r="AS330" s="3" t="b">
        <v>1</v>
      </c>
      <c r="AT330" s="3" t="b">
        <v>1</v>
      </c>
      <c r="AU330" s="3" t="b">
        <v>1</v>
      </c>
      <c r="AV330" s="3" t="b">
        <v>1</v>
      </c>
      <c r="AW330" s="3" t="b">
        <f t="shared" si="18"/>
        <v>1</v>
      </c>
      <c r="AX330" s="3" t="b">
        <f t="shared" si="19"/>
        <v>0</v>
      </c>
      <c r="AY330" s="3" t="b">
        <f t="shared" si="20"/>
        <v>0</v>
      </c>
      <c r="AZ330" s="3" t="b">
        <f t="shared" si="21"/>
        <v>0</v>
      </c>
      <c r="BA330" s="3" t="b">
        <f t="shared" si="22"/>
        <v>0</v>
      </c>
      <c r="BB330" s="3" t="b">
        <f t="shared" si="23"/>
        <v>0</v>
      </c>
      <c r="BC330" s="3"/>
      <c r="BD330" s="3" t="s">
        <v>818</v>
      </c>
      <c r="BE330" s="3" t="b">
        <v>1</v>
      </c>
      <c r="BF330" s="3" t="b">
        <v>1</v>
      </c>
      <c r="BG330" s="3" t="b">
        <v>1</v>
      </c>
      <c r="BH330" s="3" t="b">
        <v>1</v>
      </c>
      <c r="BI330" s="3" t="b">
        <v>1</v>
      </c>
      <c r="BJ330" s="3"/>
      <c r="BK330" s="3"/>
      <c r="BL330" s="3"/>
      <c r="BM330" s="3"/>
      <c r="BN330" s="3"/>
      <c r="BO330" s="3" t="s">
        <v>818</v>
      </c>
      <c r="BP330" s="3" t="b">
        <v>1</v>
      </c>
      <c r="BQ330" s="3" t="b">
        <v>1</v>
      </c>
      <c r="BR330" s="3" t="b">
        <v>1</v>
      </c>
      <c r="BS330" s="3" t="b">
        <v>1</v>
      </c>
      <c r="BT330" s="3" t="b">
        <v>1</v>
      </c>
      <c r="BU330" s="3"/>
      <c r="BV330" s="3"/>
      <c r="BW330" s="3"/>
      <c r="BX330" s="3"/>
    </row>
    <row r="331" spans="1:76" x14ac:dyDescent="0.35">
      <c r="A331" s="3"/>
      <c r="B331" s="3"/>
      <c r="C331" s="3" t="s">
        <v>819</v>
      </c>
      <c r="D331" s="3" t="s">
        <v>76</v>
      </c>
      <c r="E331" s="3" t="s">
        <v>77</v>
      </c>
      <c r="F331" s="3"/>
      <c r="G331" s="3" t="s">
        <v>3751</v>
      </c>
      <c r="H331" s="3" t="s">
        <v>821</v>
      </c>
      <c r="I331" s="3" t="b">
        <v>1</v>
      </c>
      <c r="J331" s="3" t="b">
        <v>1</v>
      </c>
      <c r="K331" s="3" t="b">
        <v>1</v>
      </c>
      <c r="L331" s="3" t="b">
        <v>1</v>
      </c>
      <c r="M331" s="3" t="b">
        <v>1</v>
      </c>
      <c r="N331" s="3" t="b">
        <f t="shared" si="12"/>
        <v>1</v>
      </c>
      <c r="O331" s="3" t="b">
        <f t="shared" si="13"/>
        <v>0</v>
      </c>
      <c r="P331" s="3" t="b">
        <f t="shared" si="14"/>
        <v>0</v>
      </c>
      <c r="Q331" s="3" t="b">
        <f t="shared" si="15"/>
        <v>0</v>
      </c>
      <c r="R331" s="3" t="b">
        <f t="shared" si="16"/>
        <v>0</v>
      </c>
      <c r="S331" s="3" t="b">
        <f t="shared" si="17"/>
        <v>0</v>
      </c>
      <c r="U331" s="3" t="s">
        <v>821</v>
      </c>
      <c r="V331" s="3" t="b">
        <v>1</v>
      </c>
      <c r="W331" s="3" t="b">
        <v>1</v>
      </c>
      <c r="X331" s="3" t="b">
        <v>1</v>
      </c>
      <c r="Y331" s="3" t="b">
        <v>1</v>
      </c>
      <c r="Z331" s="3" t="b">
        <v>1</v>
      </c>
      <c r="AA331" s="3"/>
      <c r="AB331" s="3"/>
      <c r="AC331" s="3"/>
      <c r="AD331" s="3"/>
      <c r="AE331" s="3"/>
      <c r="AF331" s="3" t="s">
        <v>821</v>
      </c>
      <c r="AG331" s="3" t="b">
        <v>1</v>
      </c>
      <c r="AH331" s="3" t="b">
        <v>1</v>
      </c>
      <c r="AI331" s="3" t="b">
        <v>1</v>
      </c>
      <c r="AJ331" s="3" t="b">
        <v>1</v>
      </c>
      <c r="AK331" s="3" t="b">
        <v>1</v>
      </c>
      <c r="AL331" s="3"/>
      <c r="AM331" s="3"/>
      <c r="AN331" s="3"/>
      <c r="AO331" s="3"/>
      <c r="AP331" s="3"/>
      <c r="AQ331" s="3" t="s">
        <v>822</v>
      </c>
      <c r="AR331" s="3" t="b">
        <v>1</v>
      </c>
      <c r="AS331" s="3" t="b">
        <v>1</v>
      </c>
      <c r="AT331" s="3" t="b">
        <v>1</v>
      </c>
      <c r="AU331" s="3" t="b">
        <v>1</v>
      </c>
      <c r="AV331" s="3" t="b">
        <v>1</v>
      </c>
      <c r="AW331" s="3" t="b">
        <f t="shared" si="18"/>
        <v>1</v>
      </c>
      <c r="AX331" s="3" t="b">
        <f t="shared" si="19"/>
        <v>0</v>
      </c>
      <c r="AY331" s="3" t="b">
        <f t="shared" si="20"/>
        <v>0</v>
      </c>
      <c r="AZ331" s="3" t="b">
        <f t="shared" si="21"/>
        <v>0</v>
      </c>
      <c r="BA331" s="3" t="b">
        <f t="shared" si="22"/>
        <v>0</v>
      </c>
      <c r="BB331" s="3" t="b">
        <f t="shared" si="23"/>
        <v>0</v>
      </c>
      <c r="BC331" s="3"/>
      <c r="BD331" s="3" t="s">
        <v>822</v>
      </c>
      <c r="BE331" s="3" t="b">
        <v>1</v>
      </c>
      <c r="BF331" s="3" t="b">
        <v>1</v>
      </c>
      <c r="BG331" s="3" t="b">
        <v>1</v>
      </c>
      <c r="BH331" s="3" t="b">
        <v>1</v>
      </c>
      <c r="BI331" s="3" t="b">
        <v>1</v>
      </c>
      <c r="BJ331" s="3"/>
      <c r="BK331" s="3"/>
      <c r="BL331" s="3"/>
      <c r="BM331" s="3"/>
      <c r="BN331" s="3"/>
      <c r="BO331" s="3" t="s">
        <v>823</v>
      </c>
      <c r="BP331" s="3" t="b">
        <v>1</v>
      </c>
      <c r="BQ331" s="3" t="b">
        <v>1</v>
      </c>
      <c r="BR331" s="3" t="b">
        <v>1</v>
      </c>
      <c r="BS331" s="3" t="b">
        <v>1</v>
      </c>
      <c r="BT331" s="3" t="b">
        <v>1</v>
      </c>
      <c r="BU331" s="3"/>
      <c r="BV331" s="3"/>
      <c r="BW331" s="3"/>
      <c r="BX331" s="3"/>
    </row>
    <row r="332" spans="1:76" x14ac:dyDescent="0.35">
      <c r="A332" s="3"/>
      <c r="B332" s="3"/>
      <c r="C332" s="3" t="s">
        <v>824</v>
      </c>
      <c r="D332" s="3"/>
      <c r="E332" s="3"/>
      <c r="F332" s="3"/>
      <c r="G332" s="3" t="s">
        <v>3752</v>
      </c>
      <c r="H332" s="3" t="s">
        <v>826</v>
      </c>
      <c r="I332" s="3" t="b">
        <v>1</v>
      </c>
      <c r="J332" s="3" t="b">
        <v>1</v>
      </c>
      <c r="K332" s="3" t="b">
        <v>1</v>
      </c>
      <c r="L332" s="3" t="b">
        <v>1</v>
      </c>
      <c r="M332" s="3" t="b">
        <v>1</v>
      </c>
      <c r="N332" s="3" t="b">
        <f t="shared" si="12"/>
        <v>1</v>
      </c>
      <c r="O332" s="3" t="b">
        <f t="shared" si="13"/>
        <v>0</v>
      </c>
      <c r="P332" s="3" t="b">
        <f t="shared" si="14"/>
        <v>0</v>
      </c>
      <c r="Q332" s="3" t="b">
        <f t="shared" si="15"/>
        <v>0</v>
      </c>
      <c r="R332" s="3" t="b">
        <f t="shared" si="16"/>
        <v>0</v>
      </c>
      <c r="S332" s="3" t="b">
        <f t="shared" si="17"/>
        <v>0</v>
      </c>
      <c r="U332" s="3" t="s">
        <v>827</v>
      </c>
      <c r="V332" s="3" t="b">
        <v>1</v>
      </c>
      <c r="W332" s="3" t="b">
        <v>0</v>
      </c>
      <c r="X332" s="3" t="b">
        <v>0</v>
      </c>
      <c r="Y332" s="3" t="b">
        <v>1</v>
      </c>
      <c r="Z332" s="3" t="b">
        <v>0</v>
      </c>
      <c r="AA332" s="3"/>
      <c r="AB332" s="3"/>
      <c r="AC332" s="3"/>
      <c r="AD332" s="3"/>
      <c r="AE332" s="3"/>
      <c r="AF332" s="3"/>
      <c r="AG332" s="3" t="b">
        <v>1</v>
      </c>
      <c r="AH332" s="3" t="b">
        <v>0</v>
      </c>
      <c r="AI332" s="3" t="b">
        <v>0</v>
      </c>
      <c r="AJ332" s="3" t="b">
        <v>0</v>
      </c>
      <c r="AK332" s="3" t="b">
        <v>0</v>
      </c>
      <c r="AL332" s="3"/>
      <c r="AM332" s="3"/>
      <c r="AN332" s="3"/>
      <c r="AO332" s="3"/>
      <c r="AP332" s="3"/>
      <c r="AQ332" s="3" t="s">
        <v>828</v>
      </c>
      <c r="AR332" s="3" t="b">
        <v>1</v>
      </c>
      <c r="AS332" s="3" t="b">
        <v>1</v>
      </c>
      <c r="AT332" s="3" t="b">
        <v>1</v>
      </c>
      <c r="AU332" s="3" t="b">
        <v>1</v>
      </c>
      <c r="AV332" s="3" t="b">
        <v>1</v>
      </c>
      <c r="AW332" s="3" t="b">
        <f t="shared" si="18"/>
        <v>1</v>
      </c>
      <c r="AX332" s="3" t="b">
        <f t="shared" si="19"/>
        <v>0</v>
      </c>
      <c r="AY332" s="3" t="b">
        <f t="shared" si="20"/>
        <v>0</v>
      </c>
      <c r="AZ332" s="3" t="b">
        <f t="shared" si="21"/>
        <v>0</v>
      </c>
      <c r="BA332" s="3" t="b">
        <f t="shared" si="22"/>
        <v>0</v>
      </c>
      <c r="BB332" s="3" t="b">
        <f t="shared" si="23"/>
        <v>0</v>
      </c>
      <c r="BC332" s="3"/>
      <c r="BD332" s="3" t="s">
        <v>828</v>
      </c>
      <c r="BE332" s="3" t="b">
        <v>1</v>
      </c>
      <c r="BF332" s="3" t="b">
        <v>1</v>
      </c>
      <c r="BG332" s="3" t="b">
        <v>1</v>
      </c>
      <c r="BH332" s="3" t="b">
        <v>1</v>
      </c>
      <c r="BI332" s="3" t="b">
        <v>1</v>
      </c>
      <c r="BJ332" s="3"/>
      <c r="BK332" s="3"/>
      <c r="BL332" s="3"/>
      <c r="BM332" s="3"/>
      <c r="BN332" s="3"/>
      <c r="BO332" s="3" t="s">
        <v>829</v>
      </c>
      <c r="BP332" s="3" t="b">
        <v>1</v>
      </c>
      <c r="BQ332" s="3" t="b">
        <v>1</v>
      </c>
      <c r="BR332" s="3" t="b">
        <v>1</v>
      </c>
      <c r="BS332" s="3" t="b">
        <v>1</v>
      </c>
      <c r="BT332" s="3" t="b">
        <v>1</v>
      </c>
      <c r="BU332" s="3"/>
      <c r="BV332" s="3"/>
      <c r="BW332" s="3"/>
      <c r="BX332" s="3"/>
    </row>
    <row r="333" spans="1:76" x14ac:dyDescent="0.35">
      <c r="A333" s="3"/>
      <c r="B333" s="3"/>
      <c r="C333" s="3" t="s">
        <v>830</v>
      </c>
      <c r="D333" s="3"/>
      <c r="E333" s="3"/>
      <c r="F333" s="3"/>
      <c r="G333" s="3" t="s">
        <v>3753</v>
      </c>
      <c r="H333" s="3"/>
      <c r="I333" s="3" t="b">
        <v>1</v>
      </c>
      <c r="J333" s="3" t="b">
        <v>0</v>
      </c>
      <c r="K333" s="3" t="b">
        <v>0</v>
      </c>
      <c r="L333" s="3" t="b">
        <v>0</v>
      </c>
      <c r="M333" s="3" t="b">
        <v>0</v>
      </c>
      <c r="N333" s="3" t="b">
        <f t="shared" si="12"/>
        <v>0</v>
      </c>
      <c r="O333" s="3" t="b">
        <f t="shared" si="13"/>
        <v>0</v>
      </c>
      <c r="P333" s="3" t="b">
        <f t="shared" si="14"/>
        <v>1</v>
      </c>
      <c r="Q333" s="3" t="b">
        <f t="shared" si="15"/>
        <v>0</v>
      </c>
      <c r="R333" s="3" t="b">
        <f t="shared" si="16"/>
        <v>0</v>
      </c>
      <c r="S333" s="3" t="b">
        <f t="shared" si="17"/>
        <v>0</v>
      </c>
      <c r="U333" s="3" t="s">
        <v>832</v>
      </c>
      <c r="V333" s="3" t="b">
        <v>1</v>
      </c>
      <c r="W333" s="3" t="b">
        <v>0</v>
      </c>
      <c r="X333" s="3" t="b">
        <v>0</v>
      </c>
      <c r="Y333" s="3" t="b">
        <v>1</v>
      </c>
      <c r="Z333" s="3" t="b">
        <v>0</v>
      </c>
      <c r="AA333" s="3"/>
      <c r="AB333" s="3"/>
      <c r="AC333" s="3"/>
      <c r="AD333" s="3"/>
      <c r="AE333" s="3"/>
      <c r="AF333" s="3" t="s">
        <v>833</v>
      </c>
      <c r="AG333" s="3" t="b">
        <v>1</v>
      </c>
      <c r="AH333" s="3" t="b">
        <v>1</v>
      </c>
      <c r="AI333" s="3" t="b">
        <v>1</v>
      </c>
      <c r="AJ333" s="3" t="b">
        <v>1</v>
      </c>
      <c r="AK333" s="3" t="b">
        <v>1</v>
      </c>
      <c r="AL333" s="3"/>
      <c r="AM333" s="3"/>
      <c r="AN333" s="3"/>
      <c r="AO333" s="3"/>
      <c r="AP333" s="3"/>
      <c r="AQ333" s="3" t="s">
        <v>834</v>
      </c>
      <c r="AR333" s="3" t="b">
        <v>1</v>
      </c>
      <c r="AS333" s="3" t="b">
        <v>0</v>
      </c>
      <c r="AT333" s="3" t="b">
        <v>0</v>
      </c>
      <c r="AU333" s="3" t="b">
        <v>0</v>
      </c>
      <c r="AV333" s="3" t="b">
        <v>0</v>
      </c>
      <c r="AW333" s="3" t="b">
        <f t="shared" si="18"/>
        <v>0</v>
      </c>
      <c r="AX333" s="3" t="b">
        <f t="shared" si="19"/>
        <v>0</v>
      </c>
      <c r="AY333" s="3" t="b">
        <f t="shared" si="20"/>
        <v>1</v>
      </c>
      <c r="AZ333" s="3" t="b">
        <f t="shared" si="21"/>
        <v>0</v>
      </c>
      <c r="BA333" s="3" t="b">
        <f t="shared" si="22"/>
        <v>0</v>
      </c>
      <c r="BB333" s="3" t="b">
        <f t="shared" si="23"/>
        <v>0</v>
      </c>
      <c r="BC333" s="3"/>
      <c r="BD333" s="3" t="s">
        <v>835</v>
      </c>
      <c r="BE333" s="3" t="b">
        <v>1</v>
      </c>
      <c r="BF333" s="3" t="b">
        <v>1</v>
      </c>
      <c r="BG333" s="3" t="b">
        <v>1</v>
      </c>
      <c r="BH333" s="3" t="b">
        <v>0</v>
      </c>
      <c r="BI333" s="3" t="b">
        <v>1</v>
      </c>
      <c r="BJ333" s="3"/>
      <c r="BK333" s="3"/>
      <c r="BL333" s="3"/>
      <c r="BM333" s="3"/>
      <c r="BN333" s="3"/>
      <c r="BO333" s="3" t="s">
        <v>836</v>
      </c>
      <c r="BP333" s="3" t="b">
        <v>1</v>
      </c>
      <c r="BQ333" s="3" t="b">
        <v>1</v>
      </c>
      <c r="BR333" s="3" t="b">
        <v>1</v>
      </c>
      <c r="BS333" s="3" t="b">
        <v>0</v>
      </c>
      <c r="BT333" s="3" t="b">
        <v>1</v>
      </c>
      <c r="BU333" s="3"/>
      <c r="BV333" s="3"/>
      <c r="BW333" s="3"/>
      <c r="BX333" s="3"/>
    </row>
    <row r="334" spans="1:76" x14ac:dyDescent="0.35">
      <c r="A334" s="3"/>
      <c r="B334" s="3" t="s">
        <v>837</v>
      </c>
      <c r="C334" s="3" t="s">
        <v>838</v>
      </c>
      <c r="D334" s="5"/>
      <c r="E334" s="3"/>
      <c r="F334" s="3"/>
      <c r="G334" s="3" t="s">
        <v>3754</v>
      </c>
      <c r="H334" s="3" t="s">
        <v>840</v>
      </c>
      <c r="I334" s="3" t="b">
        <v>1</v>
      </c>
      <c r="J334" s="3" t="b">
        <v>1</v>
      </c>
      <c r="K334" s="3" t="b">
        <v>1</v>
      </c>
      <c r="L334" s="3" t="b">
        <v>1</v>
      </c>
      <c r="M334" s="3" t="b">
        <v>1</v>
      </c>
      <c r="N334" s="3" t="b">
        <f t="shared" si="12"/>
        <v>1</v>
      </c>
      <c r="O334" s="3" t="b">
        <f t="shared" si="13"/>
        <v>0</v>
      </c>
      <c r="P334" s="3" t="b">
        <f t="shared" si="14"/>
        <v>0</v>
      </c>
      <c r="Q334" s="3" t="b">
        <f t="shared" si="15"/>
        <v>0</v>
      </c>
      <c r="R334" s="3" t="b">
        <f t="shared" si="16"/>
        <v>0</v>
      </c>
      <c r="S334" s="3" t="b">
        <f t="shared" si="17"/>
        <v>0</v>
      </c>
      <c r="U334" s="3" t="s">
        <v>840</v>
      </c>
      <c r="V334" s="3" t="b">
        <v>1</v>
      </c>
      <c r="W334" s="3" t="b">
        <v>1</v>
      </c>
      <c r="X334" s="3" t="b">
        <v>1</v>
      </c>
      <c r="Y334" s="3" t="b">
        <v>1</v>
      </c>
      <c r="Z334" s="3" t="b">
        <v>1</v>
      </c>
      <c r="AA334" s="3"/>
      <c r="AB334" s="3"/>
      <c r="AC334" s="3"/>
      <c r="AD334" s="3"/>
      <c r="AE334" s="3"/>
      <c r="AF334" s="3" t="s">
        <v>841</v>
      </c>
      <c r="AG334" s="3" t="b">
        <v>1</v>
      </c>
      <c r="AH334" s="3" t="b">
        <v>1</v>
      </c>
      <c r="AI334" s="3" t="b">
        <v>1</v>
      </c>
      <c r="AJ334" s="3" t="b">
        <v>0</v>
      </c>
      <c r="AK334" s="3" t="b">
        <v>1</v>
      </c>
      <c r="AL334" s="3"/>
      <c r="AM334" s="3"/>
      <c r="AN334" s="3"/>
      <c r="AO334" s="3"/>
      <c r="AP334" s="3"/>
      <c r="AQ334" s="3" t="s">
        <v>842</v>
      </c>
      <c r="AR334" s="3" t="b">
        <v>1</v>
      </c>
      <c r="AS334" s="3" t="b">
        <v>1</v>
      </c>
      <c r="AT334" s="3" t="b">
        <v>1</v>
      </c>
      <c r="AU334" s="3" t="b">
        <v>1</v>
      </c>
      <c r="AV334" s="3" t="b">
        <v>1</v>
      </c>
      <c r="AW334" s="3" t="b">
        <f t="shared" si="18"/>
        <v>1</v>
      </c>
      <c r="AX334" s="3" t="b">
        <f t="shared" si="19"/>
        <v>0</v>
      </c>
      <c r="AY334" s="3" t="b">
        <f t="shared" si="20"/>
        <v>0</v>
      </c>
      <c r="AZ334" s="3" t="b">
        <f t="shared" si="21"/>
        <v>0</v>
      </c>
      <c r="BA334" s="3" t="b">
        <f t="shared" si="22"/>
        <v>0</v>
      </c>
      <c r="BB334" s="3" t="b">
        <f t="shared" si="23"/>
        <v>0</v>
      </c>
      <c r="BC334" s="3"/>
      <c r="BD334" s="3" t="s">
        <v>842</v>
      </c>
      <c r="BE334" s="3" t="b">
        <v>1</v>
      </c>
      <c r="BF334" s="3" t="b">
        <v>1</v>
      </c>
      <c r="BG334" s="3" t="b">
        <v>1</v>
      </c>
      <c r="BH334" s="3" t="b">
        <v>1</v>
      </c>
      <c r="BI334" s="3" t="b">
        <v>1</v>
      </c>
      <c r="BJ334" s="3"/>
      <c r="BK334" s="3"/>
      <c r="BL334" s="3"/>
      <c r="BM334" s="3"/>
      <c r="BN334" s="3"/>
      <c r="BO334" s="3" t="s">
        <v>842</v>
      </c>
      <c r="BP334" s="3" t="b">
        <v>1</v>
      </c>
      <c r="BQ334" s="3" t="b">
        <v>1</v>
      </c>
      <c r="BR334" s="3" t="b">
        <v>1</v>
      </c>
      <c r="BS334" s="3" t="b">
        <v>1</v>
      </c>
      <c r="BT334" s="3" t="b">
        <v>1</v>
      </c>
      <c r="BU334" s="3"/>
      <c r="BV334" s="3"/>
      <c r="BW334" s="3"/>
      <c r="BX334" s="3"/>
    </row>
    <row r="335" spans="1:76" x14ac:dyDescent="0.35">
      <c r="A335" s="3"/>
      <c r="B335" s="3"/>
      <c r="C335" s="3" t="s">
        <v>843</v>
      </c>
      <c r="D335" s="5"/>
      <c r="E335" s="3"/>
      <c r="F335" s="3"/>
      <c r="G335" s="3" t="s">
        <v>3755</v>
      </c>
      <c r="H335" s="3" t="s">
        <v>845</v>
      </c>
      <c r="I335" s="3" t="b">
        <v>1</v>
      </c>
      <c r="J335" s="3" t="b">
        <v>1</v>
      </c>
      <c r="K335" s="3" t="b">
        <v>1</v>
      </c>
      <c r="L335" s="3" t="b">
        <v>1</v>
      </c>
      <c r="M335" s="3" t="b">
        <v>1</v>
      </c>
      <c r="N335" s="3" t="b">
        <f t="shared" si="12"/>
        <v>1</v>
      </c>
      <c r="O335" s="3" t="b">
        <f t="shared" si="13"/>
        <v>0</v>
      </c>
      <c r="P335" s="3" t="b">
        <f t="shared" si="14"/>
        <v>0</v>
      </c>
      <c r="Q335" s="3" t="b">
        <f t="shared" si="15"/>
        <v>0</v>
      </c>
      <c r="R335" s="3" t="b">
        <f t="shared" si="16"/>
        <v>0</v>
      </c>
      <c r="S335" s="3" t="b">
        <f t="shared" si="17"/>
        <v>0</v>
      </c>
      <c r="U335" s="3" t="s">
        <v>845</v>
      </c>
      <c r="V335" s="3" t="b">
        <v>1</v>
      </c>
      <c r="W335" s="3" t="b">
        <v>1</v>
      </c>
      <c r="X335" s="3" t="b">
        <v>1</v>
      </c>
      <c r="Y335" s="3" t="b">
        <v>1</v>
      </c>
      <c r="Z335" s="3" t="b">
        <v>1</v>
      </c>
      <c r="AA335" s="3"/>
      <c r="AB335" s="3"/>
      <c r="AC335" s="3"/>
      <c r="AD335" s="3"/>
      <c r="AE335" s="3"/>
      <c r="AF335" s="3" t="s">
        <v>845</v>
      </c>
      <c r="AG335" s="3" t="b">
        <v>1</v>
      </c>
      <c r="AH335" s="3" t="b">
        <v>1</v>
      </c>
      <c r="AI335" s="3" t="b">
        <v>1</v>
      </c>
      <c r="AJ335" s="3" t="b">
        <v>1</v>
      </c>
      <c r="AK335" s="3" t="b">
        <v>1</v>
      </c>
      <c r="AL335" s="3"/>
      <c r="AM335" s="3"/>
      <c r="AN335" s="3"/>
      <c r="AO335" s="3"/>
      <c r="AP335" s="3"/>
      <c r="AQ335" s="3" t="s">
        <v>846</v>
      </c>
      <c r="AR335" s="3" t="b">
        <v>1</v>
      </c>
      <c r="AS335" s="3" t="b">
        <v>0</v>
      </c>
      <c r="AT335" s="3" t="b">
        <v>0</v>
      </c>
      <c r="AU335" s="3" t="b">
        <v>1</v>
      </c>
      <c r="AV335" s="3" t="b">
        <v>0</v>
      </c>
      <c r="AW335" s="3" t="b">
        <f t="shared" si="18"/>
        <v>0</v>
      </c>
      <c r="AX335" s="3" t="b">
        <f t="shared" si="19"/>
        <v>0</v>
      </c>
      <c r="AY335" s="3" t="b">
        <f t="shared" si="20"/>
        <v>1</v>
      </c>
      <c r="AZ335" s="3" t="b">
        <f t="shared" si="21"/>
        <v>0</v>
      </c>
      <c r="BA335" s="3" t="b">
        <f t="shared" si="22"/>
        <v>0</v>
      </c>
      <c r="BB335" s="3" t="b">
        <f t="shared" si="23"/>
        <v>0</v>
      </c>
      <c r="BC335" s="3"/>
      <c r="BD335" s="3" t="s">
        <v>847</v>
      </c>
      <c r="BE335" s="3" t="b">
        <v>1</v>
      </c>
      <c r="BF335" s="3" t="b">
        <v>0</v>
      </c>
      <c r="BG335" s="3" t="b">
        <v>0</v>
      </c>
      <c r="BH335" s="3" t="b">
        <v>1</v>
      </c>
      <c r="BI335" s="3" t="b">
        <v>0</v>
      </c>
      <c r="BJ335" s="3"/>
      <c r="BK335" s="3"/>
      <c r="BL335" s="3"/>
      <c r="BM335" s="3"/>
      <c r="BN335" s="3"/>
      <c r="BO335" s="3" t="s">
        <v>848</v>
      </c>
      <c r="BP335" s="3" t="b">
        <v>1</v>
      </c>
      <c r="BQ335" s="3" t="b">
        <v>0</v>
      </c>
      <c r="BR335" s="3" t="b">
        <v>0</v>
      </c>
      <c r="BS335" s="3" t="b">
        <v>1</v>
      </c>
      <c r="BT335" s="3" t="b">
        <v>0</v>
      </c>
      <c r="BU335" s="3"/>
      <c r="BV335" s="3"/>
      <c r="BW335" s="3"/>
      <c r="BX335" s="3"/>
    </row>
    <row r="336" spans="1:76" x14ac:dyDescent="0.35">
      <c r="A336" s="3"/>
      <c r="B336" s="3"/>
      <c r="C336" s="3" t="s">
        <v>64</v>
      </c>
      <c r="D336" s="3"/>
      <c r="E336" s="3"/>
      <c r="F336" s="3"/>
      <c r="G336" s="3" t="s">
        <v>3756</v>
      </c>
      <c r="H336" s="3" t="s">
        <v>67</v>
      </c>
      <c r="I336" s="3" t="b">
        <v>1</v>
      </c>
      <c r="J336" s="3" t="b">
        <v>1</v>
      </c>
      <c r="K336" s="3" t="b">
        <v>1</v>
      </c>
      <c r="L336" s="3" t="b">
        <v>1</v>
      </c>
      <c r="M336" s="3" t="b">
        <v>1</v>
      </c>
      <c r="N336" s="3" t="b">
        <f t="shared" si="12"/>
        <v>1</v>
      </c>
      <c r="O336" s="3" t="b">
        <f t="shared" si="13"/>
        <v>0</v>
      </c>
      <c r="P336" s="3" t="b">
        <f t="shared" si="14"/>
        <v>0</v>
      </c>
      <c r="Q336" s="3" t="b">
        <f t="shared" si="15"/>
        <v>0</v>
      </c>
      <c r="R336" s="3" t="b">
        <f t="shared" si="16"/>
        <v>0</v>
      </c>
      <c r="S336" s="3" t="b">
        <f t="shared" si="17"/>
        <v>0</v>
      </c>
      <c r="U336" s="3" t="s">
        <v>67</v>
      </c>
      <c r="V336" s="3" t="b">
        <v>1</v>
      </c>
      <c r="W336" s="3" t="b">
        <v>1</v>
      </c>
      <c r="X336" s="3" t="b">
        <v>1</v>
      </c>
      <c r="Y336" s="3" t="b">
        <v>1</v>
      </c>
      <c r="Z336" s="3" t="b">
        <v>1</v>
      </c>
      <c r="AA336" s="3"/>
      <c r="AB336" s="3"/>
      <c r="AC336" s="3"/>
      <c r="AD336" s="3"/>
      <c r="AE336" s="3"/>
      <c r="AF336" s="3" t="s">
        <v>67</v>
      </c>
      <c r="AG336" s="3" t="b">
        <v>1</v>
      </c>
      <c r="AH336" s="3" t="b">
        <v>1</v>
      </c>
      <c r="AI336" s="3" t="b">
        <v>1</v>
      </c>
      <c r="AJ336" s="3" t="b">
        <v>1</v>
      </c>
      <c r="AK336" s="3" t="b">
        <v>1</v>
      </c>
      <c r="AL336" s="3"/>
      <c r="AM336" s="3"/>
      <c r="AN336" s="3"/>
      <c r="AO336" s="3"/>
      <c r="AP336" s="3"/>
      <c r="AQ336" s="3" t="s">
        <v>66</v>
      </c>
      <c r="AR336" s="3" t="b">
        <v>1</v>
      </c>
      <c r="AS336" s="3" t="b">
        <v>1</v>
      </c>
      <c r="AT336" s="3" t="b">
        <v>1</v>
      </c>
      <c r="AU336" s="3" t="b">
        <v>1</v>
      </c>
      <c r="AV336" s="3" t="b">
        <v>1</v>
      </c>
      <c r="AW336" s="3" t="b">
        <f t="shared" si="18"/>
        <v>1</v>
      </c>
      <c r="AX336" s="3" t="b">
        <f t="shared" si="19"/>
        <v>0</v>
      </c>
      <c r="AY336" s="3" t="b">
        <f t="shared" si="20"/>
        <v>0</v>
      </c>
      <c r="AZ336" s="3" t="b">
        <f t="shared" si="21"/>
        <v>0</v>
      </c>
      <c r="BA336" s="3" t="b">
        <f t="shared" si="22"/>
        <v>0</v>
      </c>
      <c r="BB336" s="3" t="b">
        <f t="shared" si="23"/>
        <v>0</v>
      </c>
      <c r="BC336" s="3"/>
      <c r="BD336" s="3" t="s">
        <v>66</v>
      </c>
      <c r="BE336" s="3" t="b">
        <v>1</v>
      </c>
      <c r="BF336" s="3" t="b">
        <v>1</v>
      </c>
      <c r="BG336" s="3" t="b">
        <v>1</v>
      </c>
      <c r="BH336" s="3" t="b">
        <v>1</v>
      </c>
      <c r="BI336" s="3" t="b">
        <v>1</v>
      </c>
      <c r="BJ336" s="3"/>
      <c r="BK336" s="3"/>
      <c r="BL336" s="3"/>
      <c r="BM336" s="3"/>
      <c r="BN336" s="3"/>
      <c r="BO336" s="3" t="s">
        <v>66</v>
      </c>
      <c r="BP336" s="3" t="b">
        <v>1</v>
      </c>
      <c r="BQ336" s="3" t="b">
        <v>1</v>
      </c>
      <c r="BR336" s="3" t="b">
        <v>1</v>
      </c>
      <c r="BS336" s="3" t="b">
        <v>1</v>
      </c>
      <c r="BT336" s="3" t="b">
        <v>1</v>
      </c>
      <c r="BU336" s="3"/>
      <c r="BV336" s="3"/>
      <c r="BW336" s="3"/>
      <c r="BX336" s="3"/>
    </row>
    <row r="337" spans="1:76" x14ac:dyDescent="0.35">
      <c r="A337" s="3"/>
      <c r="B337" s="3" t="s">
        <v>850</v>
      </c>
      <c r="C337" s="3" t="s">
        <v>851</v>
      </c>
      <c r="D337" s="3" t="s">
        <v>814</v>
      </c>
      <c r="E337" s="3" t="s">
        <v>815</v>
      </c>
      <c r="F337" s="3"/>
      <c r="G337" s="3" t="s">
        <v>3757</v>
      </c>
      <c r="H337" s="3" t="s">
        <v>853</v>
      </c>
      <c r="I337" s="3" t="b">
        <v>1</v>
      </c>
      <c r="J337" s="3" t="b">
        <v>1</v>
      </c>
      <c r="K337" s="3" t="b">
        <v>1</v>
      </c>
      <c r="L337" s="3" t="b">
        <v>1</v>
      </c>
      <c r="M337" s="3" t="b">
        <v>1</v>
      </c>
      <c r="N337" s="3" t="b">
        <f t="shared" si="12"/>
        <v>1</v>
      </c>
      <c r="O337" s="3" t="b">
        <f t="shared" si="13"/>
        <v>0</v>
      </c>
      <c r="P337" s="3" t="b">
        <f t="shared" si="14"/>
        <v>0</v>
      </c>
      <c r="Q337" s="3" t="b">
        <f t="shared" si="15"/>
        <v>0</v>
      </c>
      <c r="R337" s="3" t="b">
        <f t="shared" si="16"/>
        <v>0</v>
      </c>
      <c r="S337" s="3" t="b">
        <f t="shared" si="17"/>
        <v>0</v>
      </c>
      <c r="U337" s="3" t="s">
        <v>853</v>
      </c>
      <c r="V337" s="3" t="b">
        <v>1</v>
      </c>
      <c r="W337" s="3" t="b">
        <v>1</v>
      </c>
      <c r="X337" s="3" t="b">
        <v>1</v>
      </c>
      <c r="Y337" s="3" t="b">
        <v>1</v>
      </c>
      <c r="Z337" s="3" t="b">
        <v>1</v>
      </c>
      <c r="AA337" s="3"/>
      <c r="AB337" s="3"/>
      <c r="AC337" s="3"/>
      <c r="AD337" s="3"/>
      <c r="AE337" s="3"/>
      <c r="AF337" s="3" t="s">
        <v>853</v>
      </c>
      <c r="AG337" s="3" t="b">
        <v>1</v>
      </c>
      <c r="AH337" s="3" t="b">
        <v>1</v>
      </c>
      <c r="AI337" s="3" t="b">
        <v>1</v>
      </c>
      <c r="AJ337" s="3" t="b">
        <v>1</v>
      </c>
      <c r="AK337" s="3" t="b">
        <v>1</v>
      </c>
      <c r="AL337" s="3"/>
      <c r="AM337" s="3"/>
      <c r="AN337" s="3"/>
      <c r="AO337" s="3"/>
      <c r="AP337" s="3"/>
      <c r="AQ337" s="3" t="s">
        <v>854</v>
      </c>
      <c r="AR337" s="3" t="b">
        <v>1</v>
      </c>
      <c r="AS337" s="3" t="b">
        <v>1</v>
      </c>
      <c r="AT337" s="3" t="b">
        <v>1</v>
      </c>
      <c r="AU337" s="3" t="b">
        <v>0</v>
      </c>
      <c r="AV337" s="3" t="b">
        <v>1</v>
      </c>
      <c r="AW337" s="3" t="b">
        <f t="shared" si="18"/>
        <v>0</v>
      </c>
      <c r="AX337" s="3" t="b">
        <f t="shared" si="19"/>
        <v>0</v>
      </c>
      <c r="AY337" s="3" t="b">
        <f t="shared" si="20"/>
        <v>0</v>
      </c>
      <c r="AZ337" s="3" t="b">
        <f t="shared" si="21"/>
        <v>1</v>
      </c>
      <c r="BA337" s="3" t="b">
        <f t="shared" si="22"/>
        <v>0</v>
      </c>
      <c r="BB337" s="3" t="b">
        <f t="shared" si="23"/>
        <v>0</v>
      </c>
      <c r="BC337" s="3"/>
      <c r="BD337" s="3" t="s">
        <v>853</v>
      </c>
      <c r="BE337" s="3" t="b">
        <v>1</v>
      </c>
      <c r="BF337" s="3" t="b">
        <v>1</v>
      </c>
      <c r="BG337" s="3" t="b">
        <v>1</v>
      </c>
      <c r="BH337" s="3" t="b">
        <v>1</v>
      </c>
      <c r="BI337" s="3" t="b">
        <v>1</v>
      </c>
      <c r="BJ337" s="3"/>
      <c r="BK337" s="3"/>
      <c r="BL337" s="3"/>
      <c r="BM337" s="3"/>
      <c r="BN337" s="3"/>
      <c r="BO337" s="3" t="s">
        <v>854</v>
      </c>
      <c r="BP337" s="3" t="b">
        <v>1</v>
      </c>
      <c r="BQ337" s="3" t="b">
        <v>1</v>
      </c>
      <c r="BR337" s="3" t="b">
        <v>1</v>
      </c>
      <c r="BS337" s="3" t="b">
        <v>0</v>
      </c>
      <c r="BT337" s="3" t="b">
        <v>1</v>
      </c>
      <c r="BU337" s="3"/>
      <c r="BV337" s="3"/>
      <c r="BW337" s="3"/>
      <c r="BX337" s="3"/>
    </row>
    <row r="338" spans="1:76" x14ac:dyDescent="0.35">
      <c r="A338" s="3"/>
      <c r="B338" s="3"/>
      <c r="C338" s="3" t="s">
        <v>855</v>
      </c>
      <c r="D338" s="3"/>
      <c r="E338" s="3"/>
      <c r="F338" s="3"/>
      <c r="G338" s="3" t="s">
        <v>3758</v>
      </c>
      <c r="H338" s="3" t="s">
        <v>857</v>
      </c>
      <c r="I338" s="3" t="b">
        <v>1</v>
      </c>
      <c r="J338" s="3" t="b">
        <v>1</v>
      </c>
      <c r="K338" s="3" t="b">
        <v>1</v>
      </c>
      <c r="L338" s="3" t="b">
        <v>1</v>
      </c>
      <c r="M338" s="3" t="b">
        <v>1</v>
      </c>
      <c r="N338" s="3" t="b">
        <f t="shared" si="12"/>
        <v>1</v>
      </c>
      <c r="O338" s="3" t="b">
        <f t="shared" si="13"/>
        <v>0</v>
      </c>
      <c r="P338" s="3" t="b">
        <f t="shared" si="14"/>
        <v>0</v>
      </c>
      <c r="Q338" s="3" t="b">
        <f t="shared" si="15"/>
        <v>0</v>
      </c>
      <c r="R338" s="3" t="b">
        <f t="shared" si="16"/>
        <v>0</v>
      </c>
      <c r="S338" s="3" t="b">
        <f t="shared" si="17"/>
        <v>0</v>
      </c>
      <c r="U338" s="3" t="s">
        <v>857</v>
      </c>
      <c r="V338" s="3" t="b">
        <v>1</v>
      </c>
      <c r="W338" s="3" t="b">
        <v>1</v>
      </c>
      <c r="X338" s="3" t="b">
        <v>1</v>
      </c>
      <c r="Y338" s="3" t="b">
        <v>1</v>
      </c>
      <c r="Z338" s="3" t="b">
        <v>1</v>
      </c>
      <c r="AA338" s="3"/>
      <c r="AB338" s="3"/>
      <c r="AC338" s="3"/>
      <c r="AD338" s="3"/>
      <c r="AE338" s="3"/>
      <c r="AF338" s="3" t="s">
        <v>857</v>
      </c>
      <c r="AG338" s="3" t="b">
        <v>1</v>
      </c>
      <c r="AH338" s="3" t="b">
        <v>1</v>
      </c>
      <c r="AI338" s="3" t="b">
        <v>1</v>
      </c>
      <c r="AJ338" s="3" t="b">
        <v>1</v>
      </c>
      <c r="AK338" s="3" t="b">
        <v>1</v>
      </c>
      <c r="AL338" s="3"/>
      <c r="AM338" s="3"/>
      <c r="AN338" s="3"/>
      <c r="AO338" s="3"/>
      <c r="AP338" s="3"/>
      <c r="AQ338" s="3" t="s">
        <v>858</v>
      </c>
      <c r="AR338" s="3" t="b">
        <v>1</v>
      </c>
      <c r="AS338" s="3" t="b">
        <v>1</v>
      </c>
      <c r="AT338" s="3" t="b">
        <v>1</v>
      </c>
      <c r="AU338" s="3" t="b">
        <v>1</v>
      </c>
      <c r="AV338" s="3" t="b">
        <v>1</v>
      </c>
      <c r="AW338" s="3" t="b">
        <f t="shared" si="18"/>
        <v>1</v>
      </c>
      <c r="AX338" s="3" t="b">
        <f t="shared" si="19"/>
        <v>0</v>
      </c>
      <c r="AY338" s="3" t="b">
        <f t="shared" si="20"/>
        <v>0</v>
      </c>
      <c r="AZ338" s="3" t="b">
        <f t="shared" si="21"/>
        <v>0</v>
      </c>
      <c r="BA338" s="3" t="b">
        <f t="shared" si="22"/>
        <v>0</v>
      </c>
      <c r="BB338" s="3" t="b">
        <f t="shared" si="23"/>
        <v>0</v>
      </c>
      <c r="BC338" s="3"/>
      <c r="BD338" s="3" t="s">
        <v>858</v>
      </c>
      <c r="BE338" s="3" t="b">
        <v>1</v>
      </c>
      <c r="BF338" s="3" t="b">
        <v>1</v>
      </c>
      <c r="BG338" s="3" t="b">
        <v>1</v>
      </c>
      <c r="BH338" s="3" t="b">
        <v>1</v>
      </c>
      <c r="BI338" s="3" t="b">
        <v>1</v>
      </c>
      <c r="BJ338" s="3"/>
      <c r="BK338" s="3"/>
      <c r="BL338" s="3"/>
      <c r="BM338" s="3"/>
      <c r="BN338" s="3"/>
      <c r="BO338" s="3" t="s">
        <v>858</v>
      </c>
      <c r="BP338" s="3" t="b">
        <v>1</v>
      </c>
      <c r="BQ338" s="3" t="b">
        <v>1</v>
      </c>
      <c r="BR338" s="3" t="b">
        <v>1</v>
      </c>
      <c r="BS338" s="3" t="b">
        <v>1</v>
      </c>
      <c r="BT338" s="3" t="b">
        <v>1</v>
      </c>
      <c r="BU338" s="3"/>
      <c r="BV338" s="3"/>
      <c r="BW338" s="3"/>
      <c r="BX338" s="3"/>
    </row>
    <row r="339" spans="1:76" x14ac:dyDescent="0.35">
      <c r="A339" s="3"/>
      <c r="B339" s="3" t="s">
        <v>859</v>
      </c>
      <c r="C339" s="3"/>
      <c r="D339" s="3" t="s">
        <v>76</v>
      </c>
      <c r="E339" s="3"/>
      <c r="F339" s="3"/>
      <c r="G339" s="3"/>
      <c r="H339" s="3"/>
      <c r="I339" s="3"/>
      <c r="J339" s="3"/>
      <c r="K339" s="3"/>
      <c r="L339" s="3"/>
      <c r="M339" s="3"/>
      <c r="N339" s="3">
        <f t="shared" si="12"/>
        <v>0</v>
      </c>
      <c r="O339" s="3">
        <f t="shared" si="13"/>
        <v>0</v>
      </c>
      <c r="P339" s="3">
        <f t="shared" si="14"/>
        <v>0</v>
      </c>
      <c r="Q339" s="3">
        <f t="shared" si="15"/>
        <v>0</v>
      </c>
      <c r="R339" s="3">
        <f t="shared" si="16"/>
        <v>0</v>
      </c>
      <c r="S339" s="3">
        <f t="shared" si="17"/>
        <v>0</v>
      </c>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f t="shared" si="18"/>
        <v>0</v>
      </c>
      <c r="AX339" s="3">
        <f t="shared" si="19"/>
        <v>0</v>
      </c>
      <c r="AY339" s="3">
        <f t="shared" si="20"/>
        <v>0</v>
      </c>
      <c r="AZ339" s="3">
        <f t="shared" si="21"/>
        <v>0</v>
      </c>
      <c r="BA339" s="3">
        <f t="shared" si="22"/>
        <v>0</v>
      </c>
      <c r="BB339" s="3">
        <f t="shared" si="23"/>
        <v>0</v>
      </c>
      <c r="BC339" s="3"/>
      <c r="BD339" s="3"/>
      <c r="BE339" s="3"/>
      <c r="BF339" s="3"/>
      <c r="BG339" s="3"/>
      <c r="BH339" s="3"/>
      <c r="BI339" s="3"/>
      <c r="BJ339" s="3"/>
      <c r="BK339" s="3"/>
      <c r="BL339" s="3"/>
      <c r="BM339" s="3"/>
      <c r="BN339" s="3"/>
      <c r="BO339" s="3"/>
      <c r="BP339" s="3"/>
      <c r="BQ339" s="3"/>
      <c r="BR339" s="3"/>
      <c r="BS339" s="3"/>
      <c r="BT339" s="3"/>
      <c r="BU339" s="3"/>
      <c r="BV339" s="3"/>
      <c r="BW339" s="3"/>
      <c r="BX339" s="3"/>
    </row>
    <row r="340" spans="1:76" x14ac:dyDescent="0.35">
      <c r="A340" s="3"/>
      <c r="B340" s="5" t="s">
        <v>761</v>
      </c>
      <c r="C340" s="5" t="s">
        <v>131</v>
      </c>
      <c r="D340" s="3"/>
      <c r="E340" s="3"/>
      <c r="F340" s="3"/>
      <c r="G340" s="3"/>
      <c r="H340" s="3"/>
      <c r="I340" s="3"/>
      <c r="J340" s="3"/>
      <c r="K340" s="3"/>
      <c r="L340" s="3"/>
      <c r="M340" s="3"/>
      <c r="N340" s="3">
        <f t="shared" si="12"/>
        <v>0</v>
      </c>
      <c r="O340" s="3">
        <f t="shared" si="13"/>
        <v>0</v>
      </c>
      <c r="P340" s="3">
        <f t="shared" si="14"/>
        <v>0</v>
      </c>
      <c r="Q340" s="3">
        <f t="shared" si="15"/>
        <v>0</v>
      </c>
      <c r="R340" s="3">
        <f t="shared" si="16"/>
        <v>0</v>
      </c>
      <c r="S340" s="3">
        <f t="shared" si="17"/>
        <v>0</v>
      </c>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f t="shared" si="18"/>
        <v>0</v>
      </c>
      <c r="AX340" s="3">
        <f t="shared" si="19"/>
        <v>0</v>
      </c>
      <c r="AY340" s="3">
        <f t="shared" si="20"/>
        <v>0</v>
      </c>
      <c r="AZ340" s="3">
        <f t="shared" si="21"/>
        <v>0</v>
      </c>
      <c r="BA340" s="3">
        <f t="shared" si="22"/>
        <v>0</v>
      </c>
      <c r="BB340" s="3">
        <f t="shared" si="23"/>
        <v>0</v>
      </c>
      <c r="BC340" s="3"/>
      <c r="BD340" s="3"/>
      <c r="BE340" s="3"/>
      <c r="BF340" s="3"/>
      <c r="BG340" s="3"/>
      <c r="BH340" s="3"/>
      <c r="BI340" s="3"/>
      <c r="BJ340" s="3"/>
      <c r="BK340" s="3"/>
      <c r="BL340" s="3"/>
      <c r="BM340" s="3"/>
      <c r="BN340" s="3"/>
      <c r="BO340" s="3"/>
      <c r="BP340" s="3"/>
      <c r="BQ340" s="3"/>
      <c r="BR340" s="3"/>
      <c r="BS340" s="3"/>
      <c r="BT340" s="3"/>
      <c r="BU340" s="3"/>
      <c r="BV340" s="3"/>
      <c r="BW340" s="3"/>
      <c r="BX340" s="3"/>
    </row>
    <row r="341" spans="1:76" x14ac:dyDescent="0.35">
      <c r="A341" s="3"/>
      <c r="B341" s="3" t="s">
        <v>776</v>
      </c>
      <c r="C341" s="3" t="s">
        <v>142</v>
      </c>
      <c r="D341" s="3" t="s">
        <v>174</v>
      </c>
      <c r="E341" s="3" t="s">
        <v>175</v>
      </c>
      <c r="F341" s="3"/>
      <c r="G341" s="3" t="s">
        <v>3759</v>
      </c>
      <c r="H341" s="3" t="s">
        <v>146</v>
      </c>
      <c r="I341" s="3" t="b">
        <v>1</v>
      </c>
      <c r="J341" s="3" t="b">
        <v>1</v>
      </c>
      <c r="K341" s="3" t="b">
        <v>1</v>
      </c>
      <c r="L341" s="3" t="b">
        <v>1</v>
      </c>
      <c r="M341" s="3" t="b">
        <v>1</v>
      </c>
      <c r="N341" s="3" t="b">
        <f t="shared" si="12"/>
        <v>1</v>
      </c>
      <c r="O341" s="3" t="b">
        <f t="shared" si="13"/>
        <v>0</v>
      </c>
      <c r="P341" s="3" t="b">
        <f t="shared" si="14"/>
        <v>0</v>
      </c>
      <c r="Q341" s="3" t="b">
        <f t="shared" si="15"/>
        <v>0</v>
      </c>
      <c r="R341" s="3" t="b">
        <f t="shared" si="16"/>
        <v>0</v>
      </c>
      <c r="S341" s="3" t="b">
        <f t="shared" si="17"/>
        <v>0</v>
      </c>
      <c r="U341" s="3" t="s">
        <v>146</v>
      </c>
      <c r="V341" s="3" t="b">
        <v>1</v>
      </c>
      <c r="W341" s="3" t="b">
        <v>1</v>
      </c>
      <c r="X341" s="3" t="b">
        <v>1</v>
      </c>
      <c r="Y341" s="3" t="b">
        <v>1</v>
      </c>
      <c r="Z341" s="3" t="b">
        <v>1</v>
      </c>
      <c r="AA341" s="3"/>
      <c r="AB341" s="3"/>
      <c r="AC341" s="3"/>
      <c r="AD341" s="3"/>
      <c r="AE341" s="3"/>
      <c r="AF341" s="3" t="s">
        <v>861</v>
      </c>
      <c r="AG341" s="3" t="b">
        <v>1</v>
      </c>
      <c r="AH341" s="3" t="b">
        <v>1</v>
      </c>
      <c r="AI341" s="3" t="b">
        <v>1</v>
      </c>
      <c r="AJ341" s="3" t="b">
        <v>1</v>
      </c>
      <c r="AK341" s="3" t="b">
        <v>1</v>
      </c>
      <c r="AL341" s="3"/>
      <c r="AM341" s="3"/>
      <c r="AN341" s="3"/>
      <c r="AO341" s="3"/>
      <c r="AP341" s="3"/>
      <c r="AQ341" s="3" t="s">
        <v>147</v>
      </c>
      <c r="AR341" s="3" t="b">
        <v>1</v>
      </c>
      <c r="AS341" s="3" t="b">
        <v>1</v>
      </c>
      <c r="AT341" s="3" t="b">
        <v>1</v>
      </c>
      <c r="AU341" s="3" t="b">
        <v>0</v>
      </c>
      <c r="AV341" s="3" t="b">
        <v>1</v>
      </c>
      <c r="AW341" s="3" t="b">
        <f t="shared" si="18"/>
        <v>0</v>
      </c>
      <c r="AX341" s="3" t="b">
        <f t="shared" si="19"/>
        <v>0</v>
      </c>
      <c r="AY341" s="3" t="b">
        <f t="shared" si="20"/>
        <v>0</v>
      </c>
      <c r="AZ341" s="3" t="b">
        <f t="shared" si="21"/>
        <v>1</v>
      </c>
      <c r="BA341" s="3" t="b">
        <f t="shared" si="22"/>
        <v>0</v>
      </c>
      <c r="BB341" s="3" t="b">
        <f t="shared" si="23"/>
        <v>0</v>
      </c>
      <c r="BC341" s="3"/>
      <c r="BD341" s="3" t="s">
        <v>147</v>
      </c>
      <c r="BE341" s="3" t="b">
        <v>1</v>
      </c>
      <c r="BF341" s="3" t="b">
        <v>1</v>
      </c>
      <c r="BG341" s="3" t="b">
        <v>1</v>
      </c>
      <c r="BH341" s="3" t="b">
        <v>0</v>
      </c>
      <c r="BI341" s="3" t="b">
        <v>1</v>
      </c>
      <c r="BJ341" s="3"/>
      <c r="BK341" s="3"/>
      <c r="BL341" s="3"/>
      <c r="BM341" s="3"/>
      <c r="BN341" s="3"/>
      <c r="BO341" s="3" t="s">
        <v>147</v>
      </c>
      <c r="BP341" s="3" t="b">
        <v>1</v>
      </c>
      <c r="BQ341" s="3" t="b">
        <v>1</v>
      </c>
      <c r="BR341" s="3" t="b">
        <v>1</v>
      </c>
      <c r="BS341" s="3" t="b">
        <v>0</v>
      </c>
      <c r="BT341" s="3" t="b">
        <v>1</v>
      </c>
      <c r="BU341" s="3"/>
      <c r="BV341" s="3"/>
      <c r="BW341" s="3"/>
      <c r="BX341" s="3"/>
    </row>
    <row r="342" spans="1:76" x14ac:dyDescent="0.35">
      <c r="A342" s="3"/>
      <c r="B342" s="3"/>
      <c r="C342" s="3" t="s">
        <v>148</v>
      </c>
      <c r="D342" s="3"/>
      <c r="E342" s="5"/>
      <c r="F342" s="3"/>
      <c r="G342" s="3" t="s">
        <v>3760</v>
      </c>
      <c r="H342" s="3" t="s">
        <v>427</v>
      </c>
      <c r="I342" s="3" t="b">
        <v>1</v>
      </c>
      <c r="J342" s="3" t="b">
        <v>1</v>
      </c>
      <c r="K342" s="3" t="b">
        <v>1</v>
      </c>
      <c r="L342" s="3" t="b">
        <v>1</v>
      </c>
      <c r="M342" s="3" t="b">
        <v>1</v>
      </c>
      <c r="N342" s="3" t="b">
        <f t="shared" si="12"/>
        <v>1</v>
      </c>
      <c r="O342" s="3" t="b">
        <f t="shared" si="13"/>
        <v>0</v>
      </c>
      <c r="P342" s="3" t="b">
        <f t="shared" si="14"/>
        <v>0</v>
      </c>
      <c r="Q342" s="3" t="b">
        <f t="shared" si="15"/>
        <v>0</v>
      </c>
      <c r="R342" s="3" t="b">
        <f t="shared" si="16"/>
        <v>0</v>
      </c>
      <c r="S342" s="3" t="b">
        <f t="shared" si="17"/>
        <v>0</v>
      </c>
      <c r="U342" s="3"/>
      <c r="V342" s="3" t="b">
        <v>1</v>
      </c>
      <c r="W342" s="3" t="b">
        <v>0</v>
      </c>
      <c r="X342" s="3" t="b">
        <v>0</v>
      </c>
      <c r="Y342" s="3" t="b">
        <v>0</v>
      </c>
      <c r="Z342" s="3" t="b">
        <v>0</v>
      </c>
      <c r="AA342" s="3"/>
      <c r="AB342" s="3"/>
      <c r="AC342" s="3"/>
      <c r="AD342" s="3"/>
      <c r="AE342" s="3"/>
      <c r="AF342" s="3" t="s">
        <v>863</v>
      </c>
      <c r="AG342" s="3" t="b">
        <v>1</v>
      </c>
      <c r="AH342" s="3" t="b">
        <v>0</v>
      </c>
      <c r="AI342" s="3" t="b">
        <v>0</v>
      </c>
      <c r="AJ342" s="3" t="b">
        <v>1</v>
      </c>
      <c r="AK342" s="3" t="b">
        <v>0</v>
      </c>
      <c r="AL342" s="3"/>
      <c r="AM342" s="3"/>
      <c r="AN342" s="3"/>
      <c r="AO342" s="3"/>
      <c r="AP342" s="3"/>
      <c r="AQ342" s="3" t="s">
        <v>864</v>
      </c>
      <c r="AR342" s="3" t="b">
        <v>1</v>
      </c>
      <c r="AS342" s="3" t="b">
        <v>1</v>
      </c>
      <c r="AT342" s="3" t="b">
        <v>1</v>
      </c>
      <c r="AU342" s="3" t="b">
        <v>1</v>
      </c>
      <c r="AV342" s="3" t="b">
        <v>1</v>
      </c>
      <c r="AW342" s="3" t="b">
        <f t="shared" si="18"/>
        <v>1</v>
      </c>
      <c r="AX342" s="3" t="b">
        <f t="shared" si="19"/>
        <v>0</v>
      </c>
      <c r="AY342" s="3" t="b">
        <f t="shared" si="20"/>
        <v>0</v>
      </c>
      <c r="AZ342" s="3" t="b">
        <f t="shared" si="21"/>
        <v>0</v>
      </c>
      <c r="BA342" s="3" t="b">
        <f t="shared" si="22"/>
        <v>0</v>
      </c>
      <c r="BB342" s="3" t="b">
        <f t="shared" si="23"/>
        <v>0</v>
      </c>
      <c r="BC342" s="3"/>
      <c r="BD342" s="3" t="s">
        <v>865</v>
      </c>
      <c r="BE342" s="3" t="b">
        <v>1</v>
      </c>
      <c r="BF342" s="3" t="b">
        <v>1</v>
      </c>
      <c r="BG342" s="3" t="b">
        <v>1</v>
      </c>
      <c r="BH342" s="3" t="b">
        <v>0</v>
      </c>
      <c r="BI342" s="3" t="b">
        <v>1</v>
      </c>
      <c r="BJ342" s="3"/>
      <c r="BK342" s="3"/>
      <c r="BL342" s="3"/>
      <c r="BM342" s="3"/>
      <c r="BN342" s="3"/>
      <c r="BO342" s="3" t="s">
        <v>865</v>
      </c>
      <c r="BP342" s="3" t="b">
        <v>1</v>
      </c>
      <c r="BQ342" s="3" t="b">
        <v>1</v>
      </c>
      <c r="BR342" s="3" t="b">
        <v>1</v>
      </c>
      <c r="BS342" s="3" t="b">
        <v>0</v>
      </c>
      <c r="BT342" s="3" t="b">
        <v>1</v>
      </c>
      <c r="BU342" s="3"/>
      <c r="BV342" s="3"/>
      <c r="BW342" s="3"/>
      <c r="BX342" s="3"/>
    </row>
    <row r="343" spans="1:76" x14ac:dyDescent="0.35">
      <c r="A343" s="3"/>
      <c r="B343" s="3"/>
      <c r="C343" s="3" t="s">
        <v>182</v>
      </c>
      <c r="D343" s="3"/>
      <c r="E343" s="5"/>
      <c r="F343" s="3"/>
      <c r="G343" s="3" t="s">
        <v>3761</v>
      </c>
      <c r="H343" s="3"/>
      <c r="I343" s="3" t="b">
        <v>1</v>
      </c>
      <c r="J343" s="3" t="b">
        <v>0</v>
      </c>
      <c r="K343" s="3" t="b">
        <v>0</v>
      </c>
      <c r="L343" s="3" t="b">
        <v>0</v>
      </c>
      <c r="M343" s="3" t="b">
        <v>0</v>
      </c>
      <c r="N343" s="3" t="b">
        <f t="shared" si="12"/>
        <v>0</v>
      </c>
      <c r="O343" s="3" t="b">
        <f t="shared" si="13"/>
        <v>0</v>
      </c>
      <c r="P343" s="3" t="b">
        <f t="shared" si="14"/>
        <v>1</v>
      </c>
      <c r="Q343" s="3" t="b">
        <f t="shared" si="15"/>
        <v>0</v>
      </c>
      <c r="R343" s="3" t="b">
        <f t="shared" si="16"/>
        <v>0</v>
      </c>
      <c r="S343" s="3" t="b">
        <f t="shared" si="17"/>
        <v>0</v>
      </c>
      <c r="U343" s="3" t="s">
        <v>867</v>
      </c>
      <c r="V343" s="3" t="b">
        <v>1</v>
      </c>
      <c r="W343" s="3" t="b">
        <v>1</v>
      </c>
      <c r="X343" s="3" t="b">
        <v>1</v>
      </c>
      <c r="Y343" s="3" t="b">
        <v>1</v>
      </c>
      <c r="Z343" s="3" t="b">
        <v>1</v>
      </c>
      <c r="AA343" s="3"/>
      <c r="AB343" s="3"/>
      <c r="AC343" s="3"/>
      <c r="AD343" s="3"/>
      <c r="AE343" s="3"/>
      <c r="AF343" s="3" t="s">
        <v>868</v>
      </c>
      <c r="AG343" s="3" t="b">
        <v>1</v>
      </c>
      <c r="AH343" s="3" t="b">
        <v>1</v>
      </c>
      <c r="AI343" s="3" t="b">
        <v>1</v>
      </c>
      <c r="AJ343" s="3" t="b">
        <v>1</v>
      </c>
      <c r="AK343" s="3" t="b">
        <v>1</v>
      </c>
      <c r="AL343" s="3"/>
      <c r="AM343" s="3"/>
      <c r="AN343" s="3"/>
      <c r="AO343" s="3"/>
      <c r="AP343" s="3"/>
      <c r="AQ343" s="3" t="s">
        <v>869</v>
      </c>
      <c r="AR343" s="3" t="b">
        <v>1</v>
      </c>
      <c r="AS343" s="3" t="b">
        <v>1</v>
      </c>
      <c r="AT343" s="3" t="b">
        <v>1</v>
      </c>
      <c r="AU343" s="3" t="b">
        <v>1</v>
      </c>
      <c r="AV343" s="3" t="b">
        <v>1</v>
      </c>
      <c r="AW343" s="3" t="b">
        <f t="shared" si="18"/>
        <v>1</v>
      </c>
      <c r="AX343" s="3" t="b">
        <f t="shared" si="19"/>
        <v>0</v>
      </c>
      <c r="AY343" s="3" t="b">
        <f t="shared" si="20"/>
        <v>0</v>
      </c>
      <c r="AZ343" s="3" t="b">
        <f t="shared" si="21"/>
        <v>0</v>
      </c>
      <c r="BA343" s="3" t="b">
        <f t="shared" si="22"/>
        <v>0</v>
      </c>
      <c r="BB343" s="3" t="b">
        <f t="shared" si="23"/>
        <v>0</v>
      </c>
      <c r="BC343" s="3"/>
      <c r="BD343" s="3" t="s">
        <v>869</v>
      </c>
      <c r="BE343" s="3" t="b">
        <v>1</v>
      </c>
      <c r="BF343" s="3" t="b">
        <v>1</v>
      </c>
      <c r="BG343" s="3" t="b">
        <v>1</v>
      </c>
      <c r="BH343" s="3" t="b">
        <v>1</v>
      </c>
      <c r="BI343" s="3" t="b">
        <v>1</v>
      </c>
      <c r="BJ343" s="3"/>
      <c r="BK343" s="3"/>
      <c r="BL343" s="3"/>
      <c r="BM343" s="3"/>
      <c r="BN343" s="3"/>
      <c r="BO343" s="3" t="s">
        <v>869</v>
      </c>
      <c r="BP343" s="3" t="b">
        <v>1</v>
      </c>
      <c r="BQ343" s="3" t="b">
        <v>1</v>
      </c>
      <c r="BR343" s="3" t="b">
        <v>1</v>
      </c>
      <c r="BS343" s="3" t="b">
        <v>1</v>
      </c>
      <c r="BT343" s="3" t="b">
        <v>1</v>
      </c>
      <c r="BU343" s="3"/>
      <c r="BV343" s="3"/>
      <c r="BW343" s="3"/>
      <c r="BX343" s="3"/>
    </row>
    <row r="344" spans="1:76" x14ac:dyDescent="0.35">
      <c r="A344" s="3"/>
      <c r="B344" s="3" t="s">
        <v>870</v>
      </c>
      <c r="C344" s="3" t="s">
        <v>871</v>
      </c>
      <c r="D344" s="3" t="s">
        <v>814</v>
      </c>
      <c r="E344" s="3" t="s">
        <v>815</v>
      </c>
      <c r="F344" s="3"/>
      <c r="G344" s="3" t="s">
        <v>3762</v>
      </c>
      <c r="H344" s="3" t="s">
        <v>872</v>
      </c>
      <c r="I344" s="3" t="b">
        <v>1</v>
      </c>
      <c r="J344" s="3" t="b">
        <v>1</v>
      </c>
      <c r="K344" s="3" t="b">
        <v>1</v>
      </c>
      <c r="L344" s="3" t="b">
        <v>1</v>
      </c>
      <c r="M344" s="3" t="b">
        <v>0</v>
      </c>
      <c r="N344" s="3" t="b">
        <f t="shared" si="12"/>
        <v>0</v>
      </c>
      <c r="O344" s="3" t="b">
        <f t="shared" si="13"/>
        <v>1</v>
      </c>
      <c r="P344" s="3" t="b">
        <f t="shared" si="14"/>
        <v>0</v>
      </c>
      <c r="Q344" s="3" t="b">
        <f t="shared" si="15"/>
        <v>0</v>
      </c>
      <c r="R344" s="3" t="b">
        <f t="shared" si="16"/>
        <v>1</v>
      </c>
      <c r="S344" s="3" t="b">
        <f t="shared" si="17"/>
        <v>0</v>
      </c>
      <c r="U344" s="3" t="s">
        <v>873</v>
      </c>
      <c r="V344" s="3" t="b">
        <v>1</v>
      </c>
      <c r="W344" s="3" t="b">
        <v>1</v>
      </c>
      <c r="X344" s="3" t="b">
        <v>1</v>
      </c>
      <c r="Y344" s="3" t="b">
        <v>0</v>
      </c>
      <c r="Z344" s="3" t="b">
        <v>0</v>
      </c>
      <c r="AA344" s="3"/>
      <c r="AB344" s="3"/>
      <c r="AC344" s="3"/>
      <c r="AD344" s="3"/>
      <c r="AE344" s="3"/>
      <c r="AF344" s="3" t="s">
        <v>874</v>
      </c>
      <c r="AG344" s="3" t="b">
        <v>1</v>
      </c>
      <c r="AH344" s="3" t="b">
        <v>1</v>
      </c>
      <c r="AI344" s="3" t="b">
        <v>1</v>
      </c>
      <c r="AJ344" s="3" t="b">
        <v>0</v>
      </c>
      <c r="AK344" s="3" t="b">
        <v>0</v>
      </c>
      <c r="AL344" s="3"/>
      <c r="AM344" s="3"/>
      <c r="AN344" s="3"/>
      <c r="AO344" s="3"/>
      <c r="AP344" s="3"/>
      <c r="AQ344" s="3" t="s">
        <v>875</v>
      </c>
      <c r="AR344" s="3" t="b">
        <v>1</v>
      </c>
      <c r="AS344" s="3" t="b">
        <v>1</v>
      </c>
      <c r="AT344" s="3" t="b">
        <v>1</v>
      </c>
      <c r="AU344" s="3" t="b">
        <v>0</v>
      </c>
      <c r="AV344" s="3" t="b">
        <v>0</v>
      </c>
      <c r="AW344" s="3" t="b">
        <f t="shared" si="18"/>
        <v>0</v>
      </c>
      <c r="AX344" s="3" t="b">
        <f t="shared" si="19"/>
        <v>0</v>
      </c>
      <c r="AY344" s="3" t="b">
        <f t="shared" si="20"/>
        <v>1</v>
      </c>
      <c r="AZ344" s="3" t="b">
        <f t="shared" si="21"/>
        <v>0</v>
      </c>
      <c r="BA344" s="3" t="b">
        <f t="shared" si="22"/>
        <v>1</v>
      </c>
      <c r="BB344" s="3" t="b">
        <f t="shared" si="23"/>
        <v>0</v>
      </c>
      <c r="BC344" s="3"/>
      <c r="BD344" s="3" t="s">
        <v>875</v>
      </c>
      <c r="BE344" s="3" t="b">
        <v>1</v>
      </c>
      <c r="BF344" s="3" t="b">
        <v>1</v>
      </c>
      <c r="BG344" s="3" t="b">
        <v>1</v>
      </c>
      <c r="BH344" s="3" t="b">
        <v>0</v>
      </c>
      <c r="BI344" s="3" t="b">
        <v>0</v>
      </c>
      <c r="BJ344" s="3"/>
      <c r="BK344" s="3"/>
      <c r="BL344" s="3"/>
      <c r="BM344" s="3"/>
      <c r="BN344" s="3"/>
      <c r="BO344" s="3" t="s">
        <v>875</v>
      </c>
      <c r="BP344" s="3" t="b">
        <v>1</v>
      </c>
      <c r="BQ344" s="3" t="b">
        <v>1</v>
      </c>
      <c r="BR344" s="3" t="b">
        <v>1</v>
      </c>
      <c r="BS344" s="3" t="b">
        <v>0</v>
      </c>
      <c r="BT344" s="3" t="b">
        <v>0</v>
      </c>
      <c r="BU344" s="3"/>
      <c r="BV344" s="3"/>
      <c r="BW344" s="3"/>
      <c r="BX344" s="3"/>
    </row>
    <row r="345" spans="1:76" x14ac:dyDescent="0.35">
      <c r="A345" s="3"/>
      <c r="B345" s="3"/>
      <c r="C345" s="3" t="s">
        <v>876</v>
      </c>
      <c r="D345" s="3" t="s">
        <v>76</v>
      </c>
      <c r="E345" s="3" t="s">
        <v>175</v>
      </c>
      <c r="F345" s="3"/>
      <c r="G345" s="3" t="s">
        <v>3763</v>
      </c>
      <c r="H345" s="3" t="s">
        <v>878</v>
      </c>
      <c r="I345" s="3" t="b">
        <v>1</v>
      </c>
      <c r="J345" s="3" t="b">
        <v>1</v>
      </c>
      <c r="K345" s="3" t="b">
        <v>1</v>
      </c>
      <c r="L345" s="3" t="b">
        <v>1</v>
      </c>
      <c r="M345" s="3" t="b">
        <v>1</v>
      </c>
      <c r="N345" s="3" t="b">
        <f t="shared" si="12"/>
        <v>1</v>
      </c>
      <c r="O345" s="3" t="b">
        <f t="shared" si="13"/>
        <v>0</v>
      </c>
      <c r="P345" s="3" t="b">
        <f t="shared" si="14"/>
        <v>0</v>
      </c>
      <c r="Q345" s="3" t="b">
        <f t="shared" si="15"/>
        <v>0</v>
      </c>
      <c r="R345" s="3" t="b">
        <f t="shared" si="16"/>
        <v>0</v>
      </c>
      <c r="S345" s="3" t="b">
        <f t="shared" si="17"/>
        <v>0</v>
      </c>
      <c r="U345" s="3" t="s">
        <v>879</v>
      </c>
      <c r="V345" s="3" t="b">
        <v>1</v>
      </c>
      <c r="W345" s="3" t="b">
        <v>1</v>
      </c>
      <c r="X345" s="3" t="b">
        <v>1</v>
      </c>
      <c r="Y345" s="3" t="b">
        <v>1</v>
      </c>
      <c r="Z345" s="3" t="b">
        <v>1</v>
      </c>
      <c r="AA345" s="3"/>
      <c r="AB345" s="3"/>
      <c r="AC345" s="3"/>
      <c r="AD345" s="3"/>
      <c r="AE345" s="3"/>
      <c r="AF345" s="3" t="s">
        <v>880</v>
      </c>
      <c r="AG345" s="3" t="b">
        <v>1</v>
      </c>
      <c r="AH345" s="3" t="b">
        <v>1</v>
      </c>
      <c r="AI345" s="3" t="b">
        <v>1</v>
      </c>
      <c r="AJ345" s="3" t="b">
        <v>1</v>
      </c>
      <c r="AK345" s="3" t="b">
        <v>1</v>
      </c>
      <c r="AL345" s="3"/>
      <c r="AM345" s="3"/>
      <c r="AN345" s="3"/>
      <c r="AO345" s="3"/>
      <c r="AP345" s="3"/>
      <c r="AQ345" s="3" t="s">
        <v>881</v>
      </c>
      <c r="AR345" s="3" t="b">
        <v>1</v>
      </c>
      <c r="AS345" s="3" t="b">
        <v>1</v>
      </c>
      <c r="AT345" s="3" t="b">
        <v>1</v>
      </c>
      <c r="AU345" s="3" t="b">
        <v>1</v>
      </c>
      <c r="AV345" s="3" t="b">
        <v>1</v>
      </c>
      <c r="AW345" s="3" t="b">
        <f t="shared" si="18"/>
        <v>1</v>
      </c>
      <c r="AX345" s="3" t="b">
        <f t="shared" si="19"/>
        <v>0</v>
      </c>
      <c r="AY345" s="3" t="b">
        <f t="shared" si="20"/>
        <v>0</v>
      </c>
      <c r="AZ345" s="3" t="b">
        <f t="shared" si="21"/>
        <v>0</v>
      </c>
      <c r="BA345" s="3" t="b">
        <f t="shared" si="22"/>
        <v>0</v>
      </c>
      <c r="BB345" s="3" t="b">
        <f t="shared" si="23"/>
        <v>0</v>
      </c>
      <c r="BC345" s="3"/>
      <c r="BD345" s="3" t="s">
        <v>882</v>
      </c>
      <c r="BE345" s="3" t="b">
        <v>1</v>
      </c>
      <c r="BF345" s="3" t="b">
        <v>1</v>
      </c>
      <c r="BG345" s="3" t="b">
        <v>1</v>
      </c>
      <c r="BH345" s="3" t="b">
        <v>1</v>
      </c>
      <c r="BI345" s="3" t="b">
        <v>1</v>
      </c>
      <c r="BJ345" s="3"/>
      <c r="BK345" s="3"/>
      <c r="BL345" s="3"/>
      <c r="BM345" s="3"/>
      <c r="BN345" s="3"/>
      <c r="BO345" s="3" t="s">
        <v>882</v>
      </c>
      <c r="BP345" s="3" t="b">
        <v>1</v>
      </c>
      <c r="BQ345" s="3" t="b">
        <v>1</v>
      </c>
      <c r="BR345" s="3" t="b">
        <v>1</v>
      </c>
      <c r="BS345" s="3" t="b">
        <v>1</v>
      </c>
      <c r="BT345" s="3" t="b">
        <v>1</v>
      </c>
      <c r="BU345" s="3"/>
      <c r="BV345" s="3"/>
      <c r="BW345" s="3"/>
      <c r="BX345" s="3"/>
    </row>
    <row r="346" spans="1:76" x14ac:dyDescent="0.35">
      <c r="A346" s="3"/>
      <c r="B346" s="3"/>
      <c r="C346" s="3" t="s">
        <v>883</v>
      </c>
      <c r="D346" s="3"/>
      <c r="E346" s="3"/>
      <c r="F346" s="3"/>
      <c r="G346" s="3" t="s">
        <v>3764</v>
      </c>
      <c r="H346" s="3" t="s">
        <v>885</v>
      </c>
      <c r="I346" s="3" t="b">
        <v>1</v>
      </c>
      <c r="J346" s="3" t="b">
        <v>0</v>
      </c>
      <c r="K346" s="3" t="b">
        <v>0</v>
      </c>
      <c r="L346" s="3" t="b">
        <v>1</v>
      </c>
      <c r="M346" s="3" t="b">
        <v>0</v>
      </c>
      <c r="N346" s="3" t="b">
        <f t="shared" si="12"/>
        <v>0</v>
      </c>
      <c r="O346" s="3" t="b">
        <f t="shared" si="13"/>
        <v>0</v>
      </c>
      <c r="P346" s="3" t="b">
        <f t="shared" si="14"/>
        <v>1</v>
      </c>
      <c r="Q346" s="3" t="b">
        <f t="shared" si="15"/>
        <v>0</v>
      </c>
      <c r="R346" s="3" t="b">
        <f t="shared" si="16"/>
        <v>0</v>
      </c>
      <c r="S346" s="3" t="b">
        <f t="shared" si="17"/>
        <v>0</v>
      </c>
      <c r="U346" s="3" t="s">
        <v>886</v>
      </c>
      <c r="V346" s="3" t="b">
        <v>1</v>
      </c>
      <c r="W346" s="3" t="b">
        <v>1</v>
      </c>
      <c r="X346" s="3" t="b">
        <v>1</v>
      </c>
      <c r="Y346" s="3" t="b">
        <v>1</v>
      </c>
      <c r="Z346" s="3" t="b">
        <v>1</v>
      </c>
      <c r="AA346" s="3"/>
      <c r="AB346" s="3"/>
      <c r="AC346" s="3"/>
      <c r="AD346" s="3"/>
      <c r="AE346" s="3"/>
      <c r="AF346" s="3" t="s">
        <v>887</v>
      </c>
      <c r="AG346" s="3" t="b">
        <v>1</v>
      </c>
      <c r="AH346" s="3" t="b">
        <v>1</v>
      </c>
      <c r="AI346" s="3" t="b">
        <v>1</v>
      </c>
      <c r="AJ346" s="3" t="b">
        <v>1</v>
      </c>
      <c r="AK346" s="3" t="b">
        <v>1</v>
      </c>
      <c r="AL346" s="3"/>
      <c r="AM346" s="3"/>
      <c r="AN346" s="3"/>
      <c r="AO346" s="3"/>
      <c r="AP346" s="3"/>
      <c r="AQ346" s="3" t="s">
        <v>888</v>
      </c>
      <c r="AR346" s="3" t="b">
        <v>1</v>
      </c>
      <c r="AS346" s="3" t="b">
        <v>0</v>
      </c>
      <c r="AT346" s="3" t="b">
        <v>0</v>
      </c>
      <c r="AU346" s="3" t="b">
        <v>1</v>
      </c>
      <c r="AV346" s="3" t="b">
        <v>0</v>
      </c>
      <c r="AW346" s="3" t="b">
        <f t="shared" si="18"/>
        <v>0</v>
      </c>
      <c r="AX346" s="3" t="b">
        <f t="shared" si="19"/>
        <v>0</v>
      </c>
      <c r="AY346" s="3" t="b">
        <f t="shared" si="20"/>
        <v>1</v>
      </c>
      <c r="AZ346" s="3" t="b">
        <f t="shared" si="21"/>
        <v>0</v>
      </c>
      <c r="BA346" s="3" t="b">
        <f t="shared" si="22"/>
        <v>0</v>
      </c>
      <c r="BB346" s="3" t="b">
        <f t="shared" si="23"/>
        <v>0</v>
      </c>
      <c r="BC346" s="3"/>
      <c r="BD346" s="3" t="s">
        <v>888</v>
      </c>
      <c r="BE346" s="3" t="b">
        <v>1</v>
      </c>
      <c r="BF346" s="3" t="b">
        <v>0</v>
      </c>
      <c r="BG346" s="3" t="b">
        <v>0</v>
      </c>
      <c r="BH346" s="3" t="b">
        <v>1</v>
      </c>
      <c r="BI346" s="3" t="b">
        <v>0</v>
      </c>
      <c r="BJ346" s="3"/>
      <c r="BK346" s="3"/>
      <c r="BL346" s="3"/>
      <c r="BM346" s="3"/>
      <c r="BN346" s="3"/>
      <c r="BO346" s="3" t="s">
        <v>888</v>
      </c>
      <c r="BP346" s="3" t="b">
        <v>1</v>
      </c>
      <c r="BQ346" s="3" t="b">
        <v>0</v>
      </c>
      <c r="BR346" s="3" t="b">
        <v>0</v>
      </c>
      <c r="BS346" s="3" t="b">
        <v>1</v>
      </c>
      <c r="BT346" s="3" t="b">
        <v>0</v>
      </c>
      <c r="BU346" s="3"/>
      <c r="BV346" s="3"/>
      <c r="BW346" s="3"/>
      <c r="BX346" s="3"/>
    </row>
    <row r="347" spans="1:76" x14ac:dyDescent="0.35">
      <c r="A347" s="3"/>
      <c r="B347" s="3"/>
      <c r="C347" s="3"/>
      <c r="D347" s="3"/>
      <c r="E347" s="3"/>
      <c r="F347" s="3"/>
      <c r="G347" s="3"/>
      <c r="H347" s="3"/>
      <c r="I347" s="3"/>
      <c r="J347" s="3"/>
      <c r="K347" s="3"/>
      <c r="L347" s="3"/>
      <c r="M347" s="3"/>
      <c r="N347" s="3">
        <f t="shared" si="12"/>
        <v>0</v>
      </c>
      <c r="O347" s="3">
        <f t="shared" si="13"/>
        <v>0</v>
      </c>
      <c r="P347" s="3">
        <f t="shared" si="14"/>
        <v>0</v>
      </c>
      <c r="Q347" s="3">
        <f t="shared" si="15"/>
        <v>0</v>
      </c>
      <c r="R347" s="3">
        <f t="shared" si="16"/>
        <v>0</v>
      </c>
      <c r="S347" s="3">
        <f t="shared" si="17"/>
        <v>0</v>
      </c>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f t="shared" si="18"/>
        <v>0</v>
      </c>
      <c r="AX347" s="3">
        <f t="shared" si="19"/>
        <v>0</v>
      </c>
      <c r="AY347" s="3">
        <f t="shared" si="20"/>
        <v>0</v>
      </c>
      <c r="AZ347" s="3">
        <f t="shared" si="21"/>
        <v>0</v>
      </c>
      <c r="BA347" s="3">
        <f t="shared" si="22"/>
        <v>0</v>
      </c>
      <c r="BB347" s="3">
        <f t="shared" si="23"/>
        <v>0</v>
      </c>
      <c r="BC347" s="3"/>
      <c r="BD347" s="3"/>
      <c r="BE347" s="3"/>
      <c r="BF347" s="3"/>
      <c r="BG347" s="3"/>
      <c r="BH347" s="3"/>
      <c r="BI347" s="3"/>
      <c r="BJ347" s="3"/>
      <c r="BK347" s="3"/>
      <c r="BL347" s="3"/>
      <c r="BM347" s="3"/>
      <c r="BN347" s="3"/>
      <c r="BO347" s="3"/>
      <c r="BP347" s="3"/>
      <c r="BQ347" s="3"/>
      <c r="BR347" s="3"/>
      <c r="BS347" s="3"/>
      <c r="BT347" s="3"/>
      <c r="BU347" s="3"/>
      <c r="BV347" s="3"/>
      <c r="BW347" s="3"/>
      <c r="BX347" s="3"/>
    </row>
    <row r="348" spans="1:76" x14ac:dyDescent="0.35">
      <c r="A348" s="3" t="s">
        <v>889</v>
      </c>
      <c r="B348" s="3" t="s">
        <v>890</v>
      </c>
      <c r="C348" s="3" t="s">
        <v>25</v>
      </c>
      <c r="D348" s="3"/>
      <c r="E348" s="3"/>
      <c r="F348" s="3"/>
      <c r="G348" s="3" t="s">
        <v>3765</v>
      </c>
      <c r="H348" s="3" t="s">
        <v>28</v>
      </c>
      <c r="I348" s="3" t="b">
        <v>1</v>
      </c>
      <c r="J348" s="3" t="b">
        <v>1</v>
      </c>
      <c r="K348" s="3" t="b">
        <v>1</v>
      </c>
      <c r="L348" s="3" t="b">
        <v>1</v>
      </c>
      <c r="M348" s="3" t="b">
        <v>1</v>
      </c>
      <c r="N348" s="3" t="b">
        <f t="shared" si="12"/>
        <v>1</v>
      </c>
      <c r="O348" s="3" t="b">
        <f t="shared" si="13"/>
        <v>0</v>
      </c>
      <c r="P348" s="3" t="b">
        <f t="shared" si="14"/>
        <v>0</v>
      </c>
      <c r="Q348" s="3" t="b">
        <f t="shared" si="15"/>
        <v>0</v>
      </c>
      <c r="R348" s="3" t="b">
        <f t="shared" si="16"/>
        <v>0</v>
      </c>
      <c r="S348" s="3" t="b">
        <f t="shared" si="17"/>
        <v>0</v>
      </c>
      <c r="U348" s="3" t="s">
        <v>28</v>
      </c>
      <c r="V348" s="3" t="b">
        <v>1</v>
      </c>
      <c r="W348" s="3" t="b">
        <v>1</v>
      </c>
      <c r="X348" s="3" t="b">
        <v>1</v>
      </c>
      <c r="Y348" s="3" t="b">
        <v>1</v>
      </c>
      <c r="Z348" s="3" t="b">
        <v>1</v>
      </c>
      <c r="AA348" s="3"/>
      <c r="AB348" s="3"/>
      <c r="AC348" s="3"/>
      <c r="AD348" s="3"/>
      <c r="AE348" s="3"/>
      <c r="AF348" s="3" t="s">
        <v>28</v>
      </c>
      <c r="AG348" s="3" t="b">
        <v>1</v>
      </c>
      <c r="AH348" s="3" t="b">
        <v>1</v>
      </c>
      <c r="AI348" s="3" t="b">
        <v>1</v>
      </c>
      <c r="AJ348" s="3" t="b">
        <v>1</v>
      </c>
      <c r="AK348" s="3" t="b">
        <v>1</v>
      </c>
      <c r="AL348" s="3"/>
      <c r="AM348" s="3"/>
      <c r="AN348" s="3"/>
      <c r="AO348" s="3"/>
      <c r="AP348" s="3"/>
      <c r="AQ348" s="3" t="s">
        <v>28</v>
      </c>
      <c r="AR348" s="3" t="b">
        <v>1</v>
      </c>
      <c r="AS348" s="3" t="b">
        <v>1</v>
      </c>
      <c r="AT348" s="3" t="b">
        <v>1</v>
      </c>
      <c r="AU348" s="3" t="b">
        <v>1</v>
      </c>
      <c r="AV348" s="3" t="b">
        <v>1</v>
      </c>
      <c r="AW348" s="3" t="b">
        <f t="shared" si="18"/>
        <v>1</v>
      </c>
      <c r="AX348" s="3" t="b">
        <f t="shared" si="19"/>
        <v>0</v>
      </c>
      <c r="AY348" s="3" t="b">
        <f t="shared" si="20"/>
        <v>0</v>
      </c>
      <c r="AZ348" s="3" t="b">
        <f t="shared" si="21"/>
        <v>0</v>
      </c>
      <c r="BA348" s="3" t="b">
        <f t="shared" si="22"/>
        <v>0</v>
      </c>
      <c r="BB348" s="3" t="b">
        <f t="shared" si="23"/>
        <v>0</v>
      </c>
      <c r="BC348" s="3"/>
      <c r="BD348" s="3" t="s">
        <v>28</v>
      </c>
      <c r="BE348" s="3" t="b">
        <v>1</v>
      </c>
      <c r="BF348" s="3" t="b">
        <v>1</v>
      </c>
      <c r="BG348" s="3" t="b">
        <v>1</v>
      </c>
      <c r="BH348" s="3" t="b">
        <v>1</v>
      </c>
      <c r="BI348" s="3" t="b">
        <v>1</v>
      </c>
      <c r="BJ348" s="3"/>
      <c r="BK348" s="3"/>
      <c r="BL348" s="3"/>
      <c r="BM348" s="3"/>
      <c r="BN348" s="3"/>
      <c r="BO348" s="3" t="s">
        <v>28</v>
      </c>
      <c r="BP348" s="3" t="b">
        <v>1</v>
      </c>
      <c r="BQ348" s="3" t="b">
        <v>1</v>
      </c>
      <c r="BR348" s="3" t="b">
        <v>1</v>
      </c>
      <c r="BS348" s="3" t="b">
        <v>1</v>
      </c>
      <c r="BT348" s="3" t="b">
        <v>1</v>
      </c>
      <c r="BU348" s="3"/>
      <c r="BV348" s="3"/>
      <c r="BW348" s="3"/>
      <c r="BX348" s="3"/>
    </row>
    <row r="349" spans="1:76" x14ac:dyDescent="0.35">
      <c r="A349" s="3"/>
      <c r="B349" s="3"/>
      <c r="C349" s="3" t="s">
        <v>29</v>
      </c>
      <c r="D349" s="3"/>
      <c r="E349" s="3"/>
      <c r="F349" s="3"/>
      <c r="G349" s="3" t="s">
        <v>3766</v>
      </c>
      <c r="H349" s="3" t="s">
        <v>31</v>
      </c>
      <c r="I349" s="3" t="b">
        <v>1</v>
      </c>
      <c r="J349" s="3" t="b">
        <v>1</v>
      </c>
      <c r="K349" s="3" t="b">
        <v>1</v>
      </c>
      <c r="L349" s="3" t="b">
        <v>1</v>
      </c>
      <c r="M349" s="3" t="b">
        <v>1</v>
      </c>
      <c r="N349" s="3" t="b">
        <f t="shared" si="12"/>
        <v>1</v>
      </c>
      <c r="O349" s="3" t="b">
        <f t="shared" si="13"/>
        <v>0</v>
      </c>
      <c r="P349" s="3" t="b">
        <f t="shared" si="14"/>
        <v>0</v>
      </c>
      <c r="Q349" s="3" t="b">
        <f t="shared" si="15"/>
        <v>0</v>
      </c>
      <c r="R349" s="3" t="b">
        <f t="shared" si="16"/>
        <v>0</v>
      </c>
      <c r="S349" s="3" t="b">
        <f t="shared" si="17"/>
        <v>0</v>
      </c>
      <c r="U349" s="3" t="s">
        <v>31</v>
      </c>
      <c r="V349" s="3" t="b">
        <v>1</v>
      </c>
      <c r="W349" s="3" t="b">
        <v>1</v>
      </c>
      <c r="X349" s="3" t="b">
        <v>1</v>
      </c>
      <c r="Y349" s="3" t="b">
        <v>1</v>
      </c>
      <c r="Z349" s="3" t="b">
        <v>1</v>
      </c>
      <c r="AA349" s="3"/>
      <c r="AB349" s="3"/>
      <c r="AC349" s="3"/>
      <c r="AD349" s="3"/>
      <c r="AE349" s="3"/>
      <c r="AF349" s="3" t="s">
        <v>31</v>
      </c>
      <c r="AG349" s="3" t="b">
        <v>1</v>
      </c>
      <c r="AH349" s="3" t="b">
        <v>1</v>
      </c>
      <c r="AI349" s="3" t="b">
        <v>1</v>
      </c>
      <c r="AJ349" s="3" t="b">
        <v>1</v>
      </c>
      <c r="AK349" s="3" t="b">
        <v>1</v>
      </c>
      <c r="AL349" s="3"/>
      <c r="AM349" s="3"/>
      <c r="AN349" s="3"/>
      <c r="AO349" s="3"/>
      <c r="AP349" s="3"/>
      <c r="AQ349" s="3" t="s">
        <v>31</v>
      </c>
      <c r="AR349" s="3" t="b">
        <v>1</v>
      </c>
      <c r="AS349" s="3" t="b">
        <v>1</v>
      </c>
      <c r="AT349" s="3" t="b">
        <v>1</v>
      </c>
      <c r="AU349" s="3" t="b">
        <v>1</v>
      </c>
      <c r="AV349" s="3" t="b">
        <v>1</v>
      </c>
      <c r="AW349" s="3" t="b">
        <f t="shared" si="18"/>
        <v>1</v>
      </c>
      <c r="AX349" s="3" t="b">
        <f t="shared" si="19"/>
        <v>0</v>
      </c>
      <c r="AY349" s="3" t="b">
        <f t="shared" si="20"/>
        <v>0</v>
      </c>
      <c r="AZ349" s="3" t="b">
        <f t="shared" si="21"/>
        <v>0</v>
      </c>
      <c r="BA349" s="3" t="b">
        <f t="shared" si="22"/>
        <v>0</v>
      </c>
      <c r="BB349" s="3" t="b">
        <f t="shared" si="23"/>
        <v>0</v>
      </c>
      <c r="BC349" s="3"/>
      <c r="BD349" s="3" t="s">
        <v>31</v>
      </c>
      <c r="BE349" s="3" t="b">
        <v>1</v>
      </c>
      <c r="BF349" s="3" t="b">
        <v>1</v>
      </c>
      <c r="BG349" s="3" t="b">
        <v>1</v>
      </c>
      <c r="BH349" s="3" t="b">
        <v>1</v>
      </c>
      <c r="BI349" s="3" t="b">
        <v>1</v>
      </c>
      <c r="BJ349" s="3"/>
      <c r="BK349" s="3"/>
      <c r="BL349" s="3"/>
      <c r="BM349" s="3"/>
      <c r="BN349" s="3"/>
      <c r="BO349" s="3" t="s">
        <v>31</v>
      </c>
      <c r="BP349" s="3" t="b">
        <v>1</v>
      </c>
      <c r="BQ349" s="3" t="b">
        <v>1</v>
      </c>
      <c r="BR349" s="3" t="b">
        <v>1</v>
      </c>
      <c r="BS349" s="3" t="b">
        <v>1</v>
      </c>
      <c r="BT349" s="3" t="b">
        <v>1</v>
      </c>
      <c r="BU349" s="3"/>
      <c r="BV349" s="3"/>
      <c r="BW349" s="3"/>
      <c r="BX349" s="3"/>
    </row>
    <row r="350" spans="1:76" x14ac:dyDescent="0.35">
      <c r="A350" s="3"/>
      <c r="B350" s="3" t="s">
        <v>893</v>
      </c>
      <c r="C350" s="3" t="s">
        <v>50</v>
      </c>
      <c r="D350" s="3" t="s">
        <v>51</v>
      </c>
      <c r="E350" s="3" t="s">
        <v>52</v>
      </c>
      <c r="F350" s="3"/>
      <c r="G350" s="3" t="s">
        <v>3767</v>
      </c>
      <c r="H350" s="3" t="s">
        <v>55</v>
      </c>
      <c r="I350" s="3" t="b">
        <v>1</v>
      </c>
      <c r="J350" s="3" t="b">
        <v>1</v>
      </c>
      <c r="K350" s="3" t="b">
        <v>1</v>
      </c>
      <c r="L350" s="3" t="b">
        <v>1</v>
      </c>
      <c r="M350" s="3" t="b">
        <v>1</v>
      </c>
      <c r="N350" s="3" t="b">
        <f t="shared" si="12"/>
        <v>1</v>
      </c>
      <c r="O350" s="3" t="b">
        <f t="shared" si="13"/>
        <v>0</v>
      </c>
      <c r="P350" s="3" t="b">
        <f t="shared" si="14"/>
        <v>0</v>
      </c>
      <c r="Q350" s="3" t="b">
        <f t="shared" si="15"/>
        <v>0</v>
      </c>
      <c r="R350" s="3" t="b">
        <f t="shared" si="16"/>
        <v>0</v>
      </c>
      <c r="S350" s="3" t="b">
        <f t="shared" si="17"/>
        <v>0</v>
      </c>
      <c r="U350" s="3" t="s">
        <v>55</v>
      </c>
      <c r="V350" s="3" t="b">
        <v>1</v>
      </c>
      <c r="W350" s="3" t="b">
        <v>1</v>
      </c>
      <c r="X350" s="3" t="b">
        <v>1</v>
      </c>
      <c r="Y350" s="3" t="b">
        <v>1</v>
      </c>
      <c r="Z350" s="3" t="b">
        <v>1</v>
      </c>
      <c r="AA350" s="3"/>
      <c r="AB350" s="3"/>
      <c r="AC350" s="3"/>
      <c r="AD350" s="3"/>
      <c r="AE350" s="3"/>
      <c r="AF350" s="3"/>
      <c r="AG350" s="3" t="b">
        <v>1</v>
      </c>
      <c r="AH350" s="3" t="b">
        <v>0</v>
      </c>
      <c r="AI350" s="3" t="b">
        <v>0</v>
      </c>
      <c r="AJ350" s="3" t="b">
        <v>0</v>
      </c>
      <c r="AK350" s="3" t="b">
        <v>0</v>
      </c>
      <c r="AL350" s="3"/>
      <c r="AM350" s="3"/>
      <c r="AN350" s="3"/>
      <c r="AO350" s="3"/>
      <c r="AP350" s="3"/>
      <c r="AQ350" s="3" t="s">
        <v>55</v>
      </c>
      <c r="AR350" s="3" t="b">
        <v>1</v>
      </c>
      <c r="AS350" s="3" t="b">
        <v>1</v>
      </c>
      <c r="AT350" s="3" t="b">
        <v>1</v>
      </c>
      <c r="AU350" s="3" t="b">
        <v>1</v>
      </c>
      <c r="AV350" s="3" t="b">
        <v>1</v>
      </c>
      <c r="AW350" s="3" t="b">
        <f t="shared" si="18"/>
        <v>1</v>
      </c>
      <c r="AX350" s="3" t="b">
        <f t="shared" si="19"/>
        <v>0</v>
      </c>
      <c r="AY350" s="3" t="b">
        <f t="shared" si="20"/>
        <v>0</v>
      </c>
      <c r="AZ350" s="3" t="b">
        <f t="shared" si="21"/>
        <v>0</v>
      </c>
      <c r="BA350" s="3" t="b">
        <f t="shared" si="22"/>
        <v>0</v>
      </c>
      <c r="BB350" s="3" t="b">
        <f t="shared" si="23"/>
        <v>0</v>
      </c>
      <c r="BC350" s="3"/>
      <c r="BD350" s="3" t="s">
        <v>55</v>
      </c>
      <c r="BE350" s="3" t="b">
        <v>1</v>
      </c>
      <c r="BF350" s="3" t="b">
        <v>1</v>
      </c>
      <c r="BG350" s="3" t="b">
        <v>1</v>
      </c>
      <c r="BH350" s="3" t="b">
        <v>1</v>
      </c>
      <c r="BI350" s="3" t="b">
        <v>1</v>
      </c>
      <c r="BJ350" s="3"/>
      <c r="BK350" s="3"/>
      <c r="BL350" s="3"/>
      <c r="BM350" s="3"/>
      <c r="BN350" s="3"/>
      <c r="BO350" s="3" t="s">
        <v>55</v>
      </c>
      <c r="BP350" s="3" t="b">
        <v>1</v>
      </c>
      <c r="BQ350" s="3" t="b">
        <v>1</v>
      </c>
      <c r="BR350" s="3" t="b">
        <v>1</v>
      </c>
      <c r="BS350" s="3" t="b">
        <v>1</v>
      </c>
      <c r="BT350" s="3" t="b">
        <v>1</v>
      </c>
      <c r="BU350" s="3"/>
      <c r="BV350" s="3"/>
      <c r="BW350" s="3"/>
      <c r="BX350" s="3"/>
    </row>
    <row r="351" spans="1:76" x14ac:dyDescent="0.35">
      <c r="A351" s="3"/>
      <c r="B351" s="3"/>
      <c r="C351" s="3" t="s">
        <v>57</v>
      </c>
      <c r="D351" s="3"/>
      <c r="E351" s="3"/>
      <c r="F351" s="3"/>
      <c r="G351" s="3" t="s">
        <v>3768</v>
      </c>
      <c r="H351" s="3" t="s">
        <v>299</v>
      </c>
      <c r="I351" s="3" t="b">
        <v>1</v>
      </c>
      <c r="J351" s="3" t="b">
        <v>1</v>
      </c>
      <c r="K351" s="3" t="b">
        <v>1</v>
      </c>
      <c r="L351" s="3" t="b">
        <v>1</v>
      </c>
      <c r="M351" s="3" t="b">
        <v>1</v>
      </c>
      <c r="N351" s="3" t="b">
        <f t="shared" si="12"/>
        <v>1</v>
      </c>
      <c r="O351" s="3" t="b">
        <f t="shared" si="13"/>
        <v>0</v>
      </c>
      <c r="P351" s="3" t="b">
        <f t="shared" si="14"/>
        <v>0</v>
      </c>
      <c r="Q351" s="3" t="b">
        <f t="shared" si="15"/>
        <v>0</v>
      </c>
      <c r="R351" s="3" t="b">
        <f t="shared" si="16"/>
        <v>0</v>
      </c>
      <c r="S351" s="3" t="b">
        <f t="shared" si="17"/>
        <v>0</v>
      </c>
      <c r="U351" s="3" t="s">
        <v>59</v>
      </c>
      <c r="V351" s="3" t="b">
        <v>1</v>
      </c>
      <c r="W351" s="3" t="b">
        <v>1</v>
      </c>
      <c r="X351" s="3" t="b">
        <v>1</v>
      </c>
      <c r="Y351" s="3" t="b">
        <v>1</v>
      </c>
      <c r="Z351" s="3" t="b">
        <v>1</v>
      </c>
      <c r="AA351" s="3"/>
      <c r="AB351" s="3"/>
      <c r="AC351" s="3"/>
      <c r="AD351" s="3"/>
      <c r="AE351" s="3"/>
      <c r="AF351" s="3" t="s">
        <v>59</v>
      </c>
      <c r="AG351" s="3" t="b">
        <v>1</v>
      </c>
      <c r="AH351" s="3" t="b">
        <v>1</v>
      </c>
      <c r="AI351" s="3" t="b">
        <v>1</v>
      </c>
      <c r="AJ351" s="3" t="b">
        <v>1</v>
      </c>
      <c r="AK351" s="3" t="b">
        <v>1</v>
      </c>
      <c r="AL351" s="3"/>
      <c r="AM351" s="3"/>
      <c r="AN351" s="3"/>
      <c r="AO351" s="3"/>
      <c r="AP351" s="3"/>
      <c r="AQ351" s="3" t="s">
        <v>59</v>
      </c>
      <c r="AR351" s="3" t="b">
        <v>1</v>
      </c>
      <c r="AS351" s="3" t="b">
        <v>1</v>
      </c>
      <c r="AT351" s="3" t="b">
        <v>1</v>
      </c>
      <c r="AU351" s="3" t="b">
        <v>1</v>
      </c>
      <c r="AV351" s="3" t="b">
        <v>1</v>
      </c>
      <c r="AW351" s="3" t="b">
        <f t="shared" si="18"/>
        <v>1</v>
      </c>
      <c r="AX351" s="3" t="b">
        <f t="shared" si="19"/>
        <v>0</v>
      </c>
      <c r="AY351" s="3" t="b">
        <f t="shared" si="20"/>
        <v>0</v>
      </c>
      <c r="AZ351" s="3" t="b">
        <f t="shared" si="21"/>
        <v>0</v>
      </c>
      <c r="BA351" s="3" t="b">
        <f t="shared" si="22"/>
        <v>0</v>
      </c>
      <c r="BB351" s="3" t="b">
        <f t="shared" si="23"/>
        <v>0</v>
      </c>
      <c r="BC351" s="3"/>
      <c r="BD351" s="3" t="s">
        <v>59</v>
      </c>
      <c r="BE351" s="3" t="b">
        <v>1</v>
      </c>
      <c r="BF351" s="3" t="b">
        <v>1</v>
      </c>
      <c r="BG351" s="3" t="b">
        <v>1</v>
      </c>
      <c r="BH351" s="3" t="b">
        <v>1</v>
      </c>
      <c r="BI351" s="3" t="b">
        <v>1</v>
      </c>
      <c r="BJ351" s="3"/>
      <c r="BK351" s="3"/>
      <c r="BL351" s="3"/>
      <c r="BM351" s="3"/>
      <c r="BN351" s="3"/>
      <c r="BO351" s="3" t="s">
        <v>59</v>
      </c>
      <c r="BP351" s="3" t="b">
        <v>1</v>
      </c>
      <c r="BQ351" s="3" t="b">
        <v>1</v>
      </c>
      <c r="BR351" s="3" t="b">
        <v>1</v>
      </c>
      <c r="BS351" s="3" t="b">
        <v>1</v>
      </c>
      <c r="BT351" s="3" t="b">
        <v>1</v>
      </c>
      <c r="BU351" s="3"/>
      <c r="BV351" s="3"/>
      <c r="BW351" s="3"/>
      <c r="BX351" s="3"/>
    </row>
    <row r="352" spans="1:76" x14ac:dyDescent="0.35">
      <c r="A352" s="3"/>
      <c r="B352" s="3" t="s">
        <v>894</v>
      </c>
      <c r="C352" s="3" t="s">
        <v>700</v>
      </c>
      <c r="D352" s="3" t="s">
        <v>701</v>
      </c>
      <c r="E352" s="3" t="s">
        <v>702</v>
      </c>
      <c r="F352" s="3"/>
      <c r="G352" s="3" t="s">
        <v>3769</v>
      </c>
      <c r="H352" s="3" t="s">
        <v>705</v>
      </c>
      <c r="I352" s="3" t="b">
        <v>1</v>
      </c>
      <c r="J352" s="3" t="b">
        <v>1</v>
      </c>
      <c r="K352" s="3" t="b">
        <v>1</v>
      </c>
      <c r="L352" s="3" t="b">
        <v>1</v>
      </c>
      <c r="M352" s="3" t="b">
        <v>1</v>
      </c>
      <c r="N352" s="3" t="b">
        <f t="shared" si="12"/>
        <v>1</v>
      </c>
      <c r="O352" s="3" t="b">
        <f t="shared" si="13"/>
        <v>0</v>
      </c>
      <c r="P352" s="3" t="b">
        <f t="shared" si="14"/>
        <v>0</v>
      </c>
      <c r="Q352" s="3" t="b">
        <f t="shared" si="15"/>
        <v>0</v>
      </c>
      <c r="R352" s="3" t="b">
        <f t="shared" si="16"/>
        <v>0</v>
      </c>
      <c r="S352" s="3" t="b">
        <f t="shared" si="17"/>
        <v>0</v>
      </c>
      <c r="U352" s="3" t="s">
        <v>705</v>
      </c>
      <c r="V352" s="3" t="b">
        <v>1</v>
      </c>
      <c r="W352" s="3" t="b">
        <v>1</v>
      </c>
      <c r="X352" s="3" t="b">
        <v>1</v>
      </c>
      <c r="Y352" s="3" t="b">
        <v>1</v>
      </c>
      <c r="Z352" s="3" t="b">
        <v>1</v>
      </c>
      <c r="AA352" s="3"/>
      <c r="AB352" s="3"/>
      <c r="AC352" s="3"/>
      <c r="AD352" s="3"/>
      <c r="AE352" s="3"/>
      <c r="AF352" s="3" t="s">
        <v>705</v>
      </c>
      <c r="AG352" s="3" t="b">
        <v>1</v>
      </c>
      <c r="AH352" s="3" t="b">
        <v>1</v>
      </c>
      <c r="AI352" s="3" t="b">
        <v>1</v>
      </c>
      <c r="AJ352" s="3" t="b">
        <v>1</v>
      </c>
      <c r="AK352" s="3" t="b">
        <v>1</v>
      </c>
      <c r="AL352" s="3"/>
      <c r="AM352" s="3"/>
      <c r="AN352" s="3"/>
      <c r="AO352" s="3"/>
      <c r="AP352" s="3"/>
      <c r="AQ352" s="3" t="s">
        <v>705</v>
      </c>
      <c r="AR352" s="3" t="b">
        <v>1</v>
      </c>
      <c r="AS352" s="3" t="b">
        <v>1</v>
      </c>
      <c r="AT352" s="3" t="b">
        <v>1</v>
      </c>
      <c r="AU352" s="3" t="b">
        <v>1</v>
      </c>
      <c r="AV352" s="3" t="b">
        <v>1</v>
      </c>
      <c r="AW352" s="3" t="b">
        <f t="shared" si="18"/>
        <v>1</v>
      </c>
      <c r="AX352" s="3" t="b">
        <f t="shared" si="19"/>
        <v>0</v>
      </c>
      <c r="AY352" s="3" t="b">
        <f t="shared" si="20"/>
        <v>0</v>
      </c>
      <c r="AZ352" s="3" t="b">
        <f t="shared" si="21"/>
        <v>0</v>
      </c>
      <c r="BA352" s="3" t="b">
        <f t="shared" si="22"/>
        <v>0</v>
      </c>
      <c r="BB352" s="3" t="b">
        <f t="shared" si="23"/>
        <v>0</v>
      </c>
      <c r="BC352" s="3"/>
      <c r="BD352" s="3" t="s">
        <v>896</v>
      </c>
      <c r="BE352" s="3" t="b">
        <v>1</v>
      </c>
      <c r="BF352" s="3" t="b">
        <v>1</v>
      </c>
      <c r="BG352" s="3" t="b">
        <v>1</v>
      </c>
      <c r="BH352" s="3" t="b">
        <v>1</v>
      </c>
      <c r="BI352" s="3" t="b">
        <v>1</v>
      </c>
      <c r="BJ352" s="3"/>
      <c r="BK352" s="3"/>
      <c r="BL352" s="3"/>
      <c r="BM352" s="3"/>
      <c r="BN352" s="3"/>
      <c r="BO352" s="3" t="s">
        <v>705</v>
      </c>
      <c r="BP352" s="3" t="b">
        <v>1</v>
      </c>
      <c r="BQ352" s="3" t="b">
        <v>1</v>
      </c>
      <c r="BR352" s="3" t="b">
        <v>1</v>
      </c>
      <c r="BS352" s="3" t="b">
        <v>1</v>
      </c>
      <c r="BT352" s="3" t="b">
        <v>1</v>
      </c>
      <c r="BU352" s="3"/>
      <c r="BV352" s="3"/>
      <c r="BW352" s="3"/>
      <c r="BX352" s="3"/>
    </row>
    <row r="353" spans="1:76" x14ac:dyDescent="0.35">
      <c r="A353" s="3"/>
      <c r="B353" s="3"/>
      <c r="C353" s="3" t="s">
        <v>706</v>
      </c>
      <c r="D353" s="3"/>
      <c r="E353" s="3"/>
      <c r="F353" s="3"/>
      <c r="G353" s="3" t="s">
        <v>3770</v>
      </c>
      <c r="H353" s="3" t="s">
        <v>898</v>
      </c>
      <c r="I353" s="3" t="b">
        <v>1</v>
      </c>
      <c r="J353" s="3" t="b">
        <v>1</v>
      </c>
      <c r="K353" s="3" t="b">
        <v>1</v>
      </c>
      <c r="L353" s="3" t="b">
        <v>1</v>
      </c>
      <c r="M353" s="3" t="b">
        <v>1</v>
      </c>
      <c r="N353" s="3" t="b">
        <f t="shared" si="12"/>
        <v>1</v>
      </c>
      <c r="O353" s="3" t="b">
        <f t="shared" si="13"/>
        <v>0</v>
      </c>
      <c r="P353" s="3" t="b">
        <f t="shared" si="14"/>
        <v>0</v>
      </c>
      <c r="Q353" s="3" t="b">
        <f t="shared" si="15"/>
        <v>0</v>
      </c>
      <c r="R353" s="3" t="b">
        <f t="shared" si="16"/>
        <v>0</v>
      </c>
      <c r="S353" s="3" t="b">
        <f t="shared" si="17"/>
        <v>0</v>
      </c>
      <c r="U353" s="3" t="s">
        <v>792</v>
      </c>
      <c r="V353" s="3" t="b">
        <v>1</v>
      </c>
      <c r="W353" s="3" t="b">
        <v>1</v>
      </c>
      <c r="X353" s="3" t="b">
        <v>1</v>
      </c>
      <c r="Y353" s="3" t="b">
        <v>1</v>
      </c>
      <c r="Z353" s="3" t="b">
        <v>1</v>
      </c>
      <c r="AA353" s="3"/>
      <c r="AB353" s="3"/>
      <c r="AC353" s="3"/>
      <c r="AD353" s="3"/>
      <c r="AE353" s="3"/>
      <c r="AF353" s="3" t="s">
        <v>899</v>
      </c>
      <c r="AG353" s="3" t="b">
        <v>1</v>
      </c>
      <c r="AH353" s="3" t="b">
        <v>1</v>
      </c>
      <c r="AI353" s="3" t="b">
        <v>1</v>
      </c>
      <c r="AJ353" s="3" t="b">
        <v>1</v>
      </c>
      <c r="AK353" s="3" t="b">
        <v>1</v>
      </c>
      <c r="AL353" s="3"/>
      <c r="AM353" s="3"/>
      <c r="AN353" s="3"/>
      <c r="AO353" s="3"/>
      <c r="AP353" s="3"/>
      <c r="AQ353" s="3" t="s">
        <v>710</v>
      </c>
      <c r="AR353" s="3" t="b">
        <v>1</v>
      </c>
      <c r="AS353" s="3" t="b">
        <v>0</v>
      </c>
      <c r="AT353" s="3" t="b">
        <v>0</v>
      </c>
      <c r="AU353" s="3" t="b">
        <v>1</v>
      </c>
      <c r="AV353" s="3" t="b">
        <v>0</v>
      </c>
      <c r="AW353" s="3" t="b">
        <f t="shared" si="18"/>
        <v>0</v>
      </c>
      <c r="AX353" s="3" t="b">
        <f t="shared" si="19"/>
        <v>0</v>
      </c>
      <c r="AY353" s="3" t="b">
        <f t="shared" si="20"/>
        <v>1</v>
      </c>
      <c r="AZ353" s="3" t="b">
        <f t="shared" si="21"/>
        <v>0</v>
      </c>
      <c r="BA353" s="3" t="b">
        <f t="shared" si="22"/>
        <v>0</v>
      </c>
      <c r="BB353" s="3" t="b">
        <f t="shared" si="23"/>
        <v>0</v>
      </c>
      <c r="BC353" s="3"/>
      <c r="BD353" s="3" t="s">
        <v>900</v>
      </c>
      <c r="BE353" s="3" t="b">
        <v>1</v>
      </c>
      <c r="BF353" s="3" t="b">
        <v>0</v>
      </c>
      <c r="BG353" s="3" t="b">
        <v>0</v>
      </c>
      <c r="BH353" s="3" t="b">
        <v>1</v>
      </c>
      <c r="BI353" s="3" t="b">
        <v>0</v>
      </c>
      <c r="BJ353" s="3"/>
      <c r="BK353" s="3"/>
      <c r="BL353" s="3"/>
      <c r="BM353" s="3"/>
      <c r="BN353" s="3"/>
      <c r="BO353" s="3" t="s">
        <v>901</v>
      </c>
      <c r="BP353" s="3" t="b">
        <v>1</v>
      </c>
      <c r="BQ353" s="3" t="b">
        <v>0</v>
      </c>
      <c r="BR353" s="3" t="b">
        <v>0</v>
      </c>
      <c r="BS353" s="3" t="b">
        <v>1</v>
      </c>
      <c r="BT353" s="3" t="b">
        <v>0</v>
      </c>
      <c r="BU353" s="3"/>
      <c r="BV353" s="3"/>
      <c r="BW353" s="3"/>
      <c r="BX353" s="3"/>
    </row>
    <row r="354" spans="1:76" x14ac:dyDescent="0.35">
      <c r="A354" s="3"/>
      <c r="B354" s="3"/>
      <c r="C354" s="3" t="s">
        <v>711</v>
      </c>
      <c r="D354" s="3"/>
      <c r="E354" s="3"/>
      <c r="F354" s="3"/>
      <c r="G354" s="3" t="s">
        <v>3771</v>
      </c>
      <c r="H354" s="3" t="s">
        <v>716</v>
      </c>
      <c r="I354" s="3" t="b">
        <v>1</v>
      </c>
      <c r="J354" s="3" t="b">
        <v>1</v>
      </c>
      <c r="K354" s="3" t="b">
        <v>1</v>
      </c>
      <c r="L354" s="3" t="b">
        <v>1</v>
      </c>
      <c r="M354" s="3" t="b">
        <v>1</v>
      </c>
      <c r="N354" s="3" t="b">
        <f t="shared" si="12"/>
        <v>1</v>
      </c>
      <c r="O354" s="3" t="b">
        <f t="shared" si="13"/>
        <v>0</v>
      </c>
      <c r="P354" s="3" t="b">
        <f t="shared" si="14"/>
        <v>0</v>
      </c>
      <c r="Q354" s="3" t="b">
        <f t="shared" si="15"/>
        <v>0</v>
      </c>
      <c r="R354" s="3" t="b">
        <f t="shared" si="16"/>
        <v>0</v>
      </c>
      <c r="S354" s="3" t="b">
        <f t="shared" si="17"/>
        <v>0</v>
      </c>
      <c r="U354" s="3" t="s">
        <v>715</v>
      </c>
      <c r="V354" s="3" t="b">
        <v>1</v>
      </c>
      <c r="W354" s="3" t="b">
        <v>1</v>
      </c>
      <c r="X354" s="3" t="b">
        <v>1</v>
      </c>
      <c r="Y354" s="3" t="b">
        <v>1</v>
      </c>
      <c r="Z354" s="3" t="b">
        <v>1</v>
      </c>
      <c r="AA354" s="3"/>
      <c r="AB354" s="3"/>
      <c r="AC354" s="3"/>
      <c r="AD354" s="3"/>
      <c r="AE354" s="3"/>
      <c r="AF354" s="3" t="s">
        <v>716</v>
      </c>
      <c r="AG354" s="3" t="b">
        <v>1</v>
      </c>
      <c r="AH354" s="3" t="b">
        <v>1</v>
      </c>
      <c r="AI354" s="3" t="b">
        <v>1</v>
      </c>
      <c r="AJ354" s="3" t="b">
        <v>1</v>
      </c>
      <c r="AK354" s="3" t="b">
        <v>1</v>
      </c>
      <c r="AL354" s="3"/>
      <c r="AM354" s="3"/>
      <c r="AN354" s="3"/>
      <c r="AO354" s="3"/>
      <c r="AP354" s="3"/>
      <c r="AQ354" s="3" t="s">
        <v>903</v>
      </c>
      <c r="AR354" s="3" t="b">
        <v>1</v>
      </c>
      <c r="AS354" s="3" t="b">
        <v>1</v>
      </c>
      <c r="AT354" s="3" t="b">
        <v>1</v>
      </c>
      <c r="AU354" s="3" t="b">
        <v>1</v>
      </c>
      <c r="AV354" s="3" t="b">
        <v>1</v>
      </c>
      <c r="AW354" s="3" t="b">
        <f t="shared" si="18"/>
        <v>1</v>
      </c>
      <c r="AX354" s="3" t="b">
        <f t="shared" si="19"/>
        <v>0</v>
      </c>
      <c r="AY354" s="3" t="b">
        <f t="shared" si="20"/>
        <v>0</v>
      </c>
      <c r="AZ354" s="3" t="b">
        <f t="shared" si="21"/>
        <v>0</v>
      </c>
      <c r="BA354" s="3" t="b">
        <f t="shared" si="22"/>
        <v>0</v>
      </c>
      <c r="BB354" s="3" t="b">
        <f t="shared" si="23"/>
        <v>0</v>
      </c>
      <c r="BC354" s="3"/>
      <c r="BD354" s="3" t="s">
        <v>904</v>
      </c>
      <c r="BE354" s="3" t="b">
        <v>1</v>
      </c>
      <c r="BF354" s="3" t="b">
        <v>0</v>
      </c>
      <c r="BG354" s="3" t="b">
        <v>0</v>
      </c>
      <c r="BH354" s="3" t="b">
        <v>1</v>
      </c>
      <c r="BI354" s="3" t="b">
        <v>0</v>
      </c>
      <c r="BJ354" s="3"/>
      <c r="BK354" s="3"/>
      <c r="BL354" s="3"/>
      <c r="BM354" s="3"/>
      <c r="BN354" s="3"/>
      <c r="BO354" s="3" t="s">
        <v>905</v>
      </c>
      <c r="BP354" s="3" t="b">
        <v>1</v>
      </c>
      <c r="BQ354" s="3" t="b">
        <v>0</v>
      </c>
      <c r="BR354" s="3" t="b">
        <v>0</v>
      </c>
      <c r="BS354" s="3" t="b">
        <v>1</v>
      </c>
      <c r="BT354" s="3" t="b">
        <v>0</v>
      </c>
      <c r="BU354" s="3"/>
      <c r="BV354" s="3"/>
      <c r="BW354" s="3"/>
      <c r="BX354" s="3"/>
    </row>
    <row r="355" spans="1:76" x14ac:dyDescent="0.35">
      <c r="A355" s="3"/>
      <c r="B355" s="3" t="s">
        <v>753</v>
      </c>
      <c r="C355" s="3" t="s">
        <v>75</v>
      </c>
      <c r="D355" s="3" t="s">
        <v>764</v>
      </c>
      <c r="E355" s="3" t="s">
        <v>77</v>
      </c>
      <c r="F355" s="3"/>
      <c r="G355" s="3" t="s">
        <v>3772</v>
      </c>
      <c r="H355" s="3"/>
      <c r="I355" s="3" t="b">
        <v>1</v>
      </c>
      <c r="J355" s="3" t="b">
        <v>0</v>
      </c>
      <c r="K355" s="3" t="b">
        <v>0</v>
      </c>
      <c r="L355" s="3" t="b">
        <v>0</v>
      </c>
      <c r="M355" s="3" t="b">
        <v>0</v>
      </c>
      <c r="N355" s="3" t="b">
        <f t="shared" si="12"/>
        <v>0</v>
      </c>
      <c r="O355" s="3" t="b">
        <f t="shared" si="13"/>
        <v>0</v>
      </c>
      <c r="P355" s="3" t="b">
        <f t="shared" si="14"/>
        <v>1</v>
      </c>
      <c r="Q355" s="3" t="b">
        <f t="shared" si="15"/>
        <v>0</v>
      </c>
      <c r="R355" s="3" t="b">
        <f t="shared" si="16"/>
        <v>0</v>
      </c>
      <c r="S355" s="3" t="b">
        <f t="shared" si="17"/>
        <v>0</v>
      </c>
      <c r="U355" s="3" t="s">
        <v>907</v>
      </c>
      <c r="V355" s="3" t="b">
        <v>1</v>
      </c>
      <c r="W355" s="3" t="b">
        <v>1</v>
      </c>
      <c r="X355" s="3" t="b">
        <v>1</v>
      </c>
      <c r="Y355" s="3" t="b">
        <v>1</v>
      </c>
      <c r="Z355" s="3" t="b">
        <v>1</v>
      </c>
      <c r="AA355" s="3"/>
      <c r="AB355" s="3"/>
      <c r="AC355" s="3"/>
      <c r="AD355" s="3"/>
      <c r="AE355" s="3"/>
      <c r="AF355" s="3" t="s">
        <v>908</v>
      </c>
      <c r="AG355" s="3" t="b">
        <v>1</v>
      </c>
      <c r="AH355" s="3" t="b">
        <v>1</v>
      </c>
      <c r="AI355" s="3" t="b">
        <v>1</v>
      </c>
      <c r="AJ355" s="3" t="b">
        <v>1</v>
      </c>
      <c r="AK355" s="3" t="b">
        <v>1</v>
      </c>
      <c r="AL355" s="3"/>
      <c r="AM355" s="3"/>
      <c r="AN355" s="3"/>
      <c r="AO355" s="3"/>
      <c r="AP355" s="3"/>
      <c r="AQ355" s="3" t="s">
        <v>909</v>
      </c>
      <c r="AR355" s="3" t="b">
        <v>1</v>
      </c>
      <c r="AS355" s="3" t="b">
        <v>1</v>
      </c>
      <c r="AT355" s="3" t="b">
        <v>1</v>
      </c>
      <c r="AU355" s="3" t="b">
        <v>1</v>
      </c>
      <c r="AV355" s="3" t="b">
        <v>1</v>
      </c>
      <c r="AW355" s="3" t="b">
        <f t="shared" si="18"/>
        <v>1</v>
      </c>
      <c r="AX355" s="3" t="b">
        <f t="shared" si="19"/>
        <v>0</v>
      </c>
      <c r="AY355" s="3" t="b">
        <f t="shared" si="20"/>
        <v>0</v>
      </c>
      <c r="AZ355" s="3" t="b">
        <f t="shared" si="21"/>
        <v>0</v>
      </c>
      <c r="BA355" s="3" t="b">
        <f t="shared" si="22"/>
        <v>0</v>
      </c>
      <c r="BB355" s="3" t="b">
        <f t="shared" si="23"/>
        <v>0</v>
      </c>
      <c r="BC355" s="3"/>
      <c r="BD355" s="3" t="s">
        <v>910</v>
      </c>
      <c r="BE355" s="3" t="b">
        <v>1</v>
      </c>
      <c r="BF355" s="3" t="b">
        <v>1</v>
      </c>
      <c r="BG355" s="3" t="b">
        <v>1</v>
      </c>
      <c r="BH355" s="3" t="b">
        <v>1</v>
      </c>
      <c r="BI355" s="3" t="b">
        <v>1</v>
      </c>
      <c r="BJ355" s="3"/>
      <c r="BK355" s="3"/>
      <c r="BL355" s="3"/>
      <c r="BM355" s="3"/>
      <c r="BN355" s="3"/>
      <c r="BO355" s="3" t="s">
        <v>910</v>
      </c>
      <c r="BP355" s="3" t="b">
        <v>1</v>
      </c>
      <c r="BQ355" s="3" t="b">
        <v>1</v>
      </c>
      <c r="BR355" s="3" t="b">
        <v>1</v>
      </c>
      <c r="BS355" s="3" t="b">
        <v>1</v>
      </c>
      <c r="BT355" s="3" t="b">
        <v>1</v>
      </c>
      <c r="BU355" s="3"/>
      <c r="BV355" s="3"/>
      <c r="BW355" s="3"/>
      <c r="BX355" s="3"/>
    </row>
    <row r="356" spans="1:76" x14ac:dyDescent="0.35">
      <c r="A356" s="3"/>
      <c r="B356" s="3"/>
      <c r="C356" s="3" t="s">
        <v>318</v>
      </c>
      <c r="D356" s="5"/>
      <c r="E356" s="5"/>
      <c r="F356" s="3"/>
      <c r="G356" s="3" t="s">
        <v>3773</v>
      </c>
      <c r="H356" s="3" t="s">
        <v>912</v>
      </c>
      <c r="I356" s="3" t="b">
        <v>1</v>
      </c>
      <c r="J356" s="3" t="b">
        <v>1</v>
      </c>
      <c r="K356" s="3" t="b">
        <v>1</v>
      </c>
      <c r="L356" s="3" t="b">
        <v>1</v>
      </c>
      <c r="M356" s="3" t="b">
        <v>1</v>
      </c>
      <c r="N356" s="3" t="b">
        <f t="shared" si="12"/>
        <v>1</v>
      </c>
      <c r="O356" s="3" t="b">
        <f t="shared" si="13"/>
        <v>0</v>
      </c>
      <c r="P356" s="3" t="b">
        <f t="shared" si="14"/>
        <v>0</v>
      </c>
      <c r="Q356" s="3" t="b">
        <f t="shared" si="15"/>
        <v>0</v>
      </c>
      <c r="R356" s="3" t="b">
        <f t="shared" si="16"/>
        <v>0</v>
      </c>
      <c r="S356" s="3" t="b">
        <f t="shared" si="17"/>
        <v>0</v>
      </c>
      <c r="U356" s="3" t="s">
        <v>85</v>
      </c>
      <c r="V356" s="3" t="b">
        <v>1</v>
      </c>
      <c r="W356" s="3" t="b">
        <v>0</v>
      </c>
      <c r="X356" s="3" t="b">
        <v>0</v>
      </c>
      <c r="Y356" s="3" t="b">
        <v>0</v>
      </c>
      <c r="Z356" s="3" t="b">
        <v>0</v>
      </c>
      <c r="AA356" s="3"/>
      <c r="AB356" s="3"/>
      <c r="AC356" s="3"/>
      <c r="AD356" s="3"/>
      <c r="AE356" s="3"/>
      <c r="AF356" s="3" t="s">
        <v>913</v>
      </c>
      <c r="AG356" s="3" t="b">
        <v>1</v>
      </c>
      <c r="AH356" s="3" t="b">
        <v>1</v>
      </c>
      <c r="AI356" s="3" t="b">
        <v>1</v>
      </c>
      <c r="AJ356" s="3" t="b">
        <v>1</v>
      </c>
      <c r="AK356" s="3" t="b">
        <v>1</v>
      </c>
      <c r="AL356" s="3"/>
      <c r="AM356" s="3"/>
      <c r="AN356" s="3"/>
      <c r="AO356" s="3"/>
      <c r="AP356" s="3"/>
      <c r="AQ356" s="3" t="s">
        <v>914</v>
      </c>
      <c r="AR356" s="3" t="b">
        <v>1</v>
      </c>
      <c r="AS356" s="3" t="b">
        <v>1</v>
      </c>
      <c r="AT356" s="3" t="b">
        <v>1</v>
      </c>
      <c r="AU356" s="3" t="b">
        <v>1</v>
      </c>
      <c r="AV356" s="3" t="b">
        <v>1</v>
      </c>
      <c r="AW356" s="3" t="b">
        <f t="shared" si="18"/>
        <v>1</v>
      </c>
      <c r="AX356" s="3" t="b">
        <f t="shared" si="19"/>
        <v>0</v>
      </c>
      <c r="AY356" s="3" t="b">
        <f t="shared" si="20"/>
        <v>0</v>
      </c>
      <c r="AZ356" s="3" t="b">
        <f t="shared" si="21"/>
        <v>0</v>
      </c>
      <c r="BA356" s="3" t="b">
        <f t="shared" si="22"/>
        <v>0</v>
      </c>
      <c r="BB356" s="3" t="b">
        <f t="shared" si="23"/>
        <v>0</v>
      </c>
      <c r="BC356" s="3"/>
      <c r="BD356" s="3" t="s">
        <v>915</v>
      </c>
      <c r="BE356" s="3" t="b">
        <v>1</v>
      </c>
      <c r="BF356" s="3" t="b">
        <v>1</v>
      </c>
      <c r="BG356" s="3" t="b">
        <v>1</v>
      </c>
      <c r="BH356" s="3" t="b">
        <v>1</v>
      </c>
      <c r="BI356" s="3" t="b">
        <v>1</v>
      </c>
      <c r="BJ356" s="3"/>
      <c r="BK356" s="3"/>
      <c r="BL356" s="3"/>
      <c r="BM356" s="3"/>
      <c r="BN356" s="3"/>
      <c r="BO356" s="3" t="s">
        <v>914</v>
      </c>
      <c r="BP356" s="3" t="b">
        <v>1</v>
      </c>
      <c r="BQ356" s="3" t="b">
        <v>1</v>
      </c>
      <c r="BR356" s="3" t="b">
        <v>1</v>
      </c>
      <c r="BS356" s="3" t="b">
        <v>1</v>
      </c>
      <c r="BT356" s="3" t="b">
        <v>1</v>
      </c>
      <c r="BU356" s="3"/>
      <c r="BV356" s="3"/>
      <c r="BW356" s="3"/>
      <c r="BX356" s="3"/>
    </row>
    <row r="357" spans="1:76" x14ac:dyDescent="0.35">
      <c r="A357" s="3"/>
      <c r="B357" s="3"/>
      <c r="C357" s="3" t="s">
        <v>89</v>
      </c>
      <c r="D357" s="5"/>
      <c r="E357" s="5"/>
      <c r="F357" s="3"/>
      <c r="G357" s="3" t="s">
        <v>3774</v>
      </c>
      <c r="H357" s="3" t="s">
        <v>917</v>
      </c>
      <c r="I357" s="3" t="b">
        <v>1</v>
      </c>
      <c r="J357" s="3" t="b">
        <v>1</v>
      </c>
      <c r="K357" s="3" t="b">
        <v>1</v>
      </c>
      <c r="L357" s="3" t="b">
        <v>1</v>
      </c>
      <c r="M357" s="3" t="b">
        <v>1</v>
      </c>
      <c r="N357" s="3" t="b">
        <f t="shared" si="12"/>
        <v>1</v>
      </c>
      <c r="O357" s="3" t="b">
        <f t="shared" si="13"/>
        <v>0</v>
      </c>
      <c r="P357" s="3" t="b">
        <f t="shared" si="14"/>
        <v>0</v>
      </c>
      <c r="Q357" s="3" t="b">
        <f t="shared" si="15"/>
        <v>0</v>
      </c>
      <c r="R357" s="3" t="b">
        <f t="shared" si="16"/>
        <v>0</v>
      </c>
      <c r="S357" s="3" t="b">
        <f t="shared" si="17"/>
        <v>0</v>
      </c>
      <c r="U357" s="3" t="s">
        <v>918</v>
      </c>
      <c r="V357" s="3" t="b">
        <v>1</v>
      </c>
      <c r="W357" s="3" t="b">
        <v>1</v>
      </c>
      <c r="X357" s="3" t="b">
        <v>1</v>
      </c>
      <c r="Y357" s="3" t="b">
        <v>1</v>
      </c>
      <c r="Z357" s="3" t="b">
        <v>1</v>
      </c>
      <c r="AA357" s="3"/>
      <c r="AB357" s="3"/>
      <c r="AC357" s="3"/>
      <c r="AD357" s="3"/>
      <c r="AE357" s="3"/>
      <c r="AF357" s="3" t="s">
        <v>919</v>
      </c>
      <c r="AG357" s="3" t="b">
        <v>1</v>
      </c>
      <c r="AH357" s="3" t="b">
        <v>1</v>
      </c>
      <c r="AI357" s="3" t="b">
        <v>1</v>
      </c>
      <c r="AJ357" s="3" t="b">
        <v>1</v>
      </c>
      <c r="AK357" s="3" t="b">
        <v>1</v>
      </c>
      <c r="AL357" s="3"/>
      <c r="AM357" s="3"/>
      <c r="AN357" s="3"/>
      <c r="AO357" s="3"/>
      <c r="AP357" s="3"/>
      <c r="AQ357" s="3" t="s">
        <v>749</v>
      </c>
      <c r="AR357" s="3" t="b">
        <v>1</v>
      </c>
      <c r="AS357" s="3" t="b">
        <v>1</v>
      </c>
      <c r="AT357" s="3" t="b">
        <v>1</v>
      </c>
      <c r="AU357" s="3" t="b">
        <v>1</v>
      </c>
      <c r="AV357" s="3" t="b">
        <v>1</v>
      </c>
      <c r="AW357" s="3" t="b">
        <f t="shared" si="18"/>
        <v>1</v>
      </c>
      <c r="AX357" s="3" t="b">
        <f t="shared" si="19"/>
        <v>0</v>
      </c>
      <c r="AY357" s="3" t="b">
        <f t="shared" si="20"/>
        <v>0</v>
      </c>
      <c r="AZ357" s="3" t="b">
        <f t="shared" si="21"/>
        <v>0</v>
      </c>
      <c r="BA357" s="3" t="b">
        <f t="shared" si="22"/>
        <v>0</v>
      </c>
      <c r="BB357" s="3" t="b">
        <f t="shared" si="23"/>
        <v>0</v>
      </c>
      <c r="BC357" s="3"/>
      <c r="BD357" s="3" t="s">
        <v>749</v>
      </c>
      <c r="BE357" s="3" t="b">
        <v>1</v>
      </c>
      <c r="BF357" s="3" t="b">
        <v>1</v>
      </c>
      <c r="BG357" s="3" t="b">
        <v>1</v>
      </c>
      <c r="BH357" s="3" t="b">
        <v>1</v>
      </c>
      <c r="BI357" s="3" t="b">
        <v>1</v>
      </c>
      <c r="BJ357" s="3"/>
      <c r="BK357" s="3"/>
      <c r="BL357" s="3"/>
      <c r="BM357" s="3"/>
      <c r="BN357" s="3"/>
      <c r="BO357" s="3" t="s">
        <v>749</v>
      </c>
      <c r="BP357" s="3" t="b">
        <v>1</v>
      </c>
      <c r="BQ357" s="3" t="b">
        <v>1</v>
      </c>
      <c r="BR357" s="3" t="b">
        <v>1</v>
      </c>
      <c r="BS357" s="3" t="b">
        <v>1</v>
      </c>
      <c r="BT357" s="3" t="b">
        <v>1</v>
      </c>
      <c r="BU357" s="3"/>
      <c r="BV357" s="3"/>
      <c r="BW357" s="3"/>
      <c r="BX357" s="3"/>
    </row>
    <row r="358" spans="1:76" x14ac:dyDescent="0.35">
      <c r="A358" s="3"/>
      <c r="B358" s="3"/>
      <c r="C358" s="3" t="s">
        <v>97</v>
      </c>
      <c r="D358" s="5"/>
      <c r="E358" s="5"/>
      <c r="F358" s="3"/>
      <c r="G358" s="3" t="s">
        <v>3775</v>
      </c>
      <c r="H358" s="3" t="s">
        <v>921</v>
      </c>
      <c r="I358" s="3" t="b">
        <v>1</v>
      </c>
      <c r="J358" s="3" t="b">
        <v>0</v>
      </c>
      <c r="K358" s="3" t="b">
        <v>0</v>
      </c>
      <c r="L358" s="3" t="b">
        <v>1</v>
      </c>
      <c r="M358" s="3" t="b">
        <v>0</v>
      </c>
      <c r="N358" s="3" t="b">
        <f t="shared" si="12"/>
        <v>0</v>
      </c>
      <c r="O358" s="3" t="b">
        <f t="shared" si="13"/>
        <v>0</v>
      </c>
      <c r="P358" s="3" t="b">
        <f t="shared" si="14"/>
        <v>1</v>
      </c>
      <c r="Q358" s="3" t="b">
        <f t="shared" si="15"/>
        <v>0</v>
      </c>
      <c r="R358" s="3" t="b">
        <f t="shared" si="16"/>
        <v>0</v>
      </c>
      <c r="S358" s="3" t="b">
        <f t="shared" si="17"/>
        <v>0</v>
      </c>
      <c r="U358" s="3" t="s">
        <v>922</v>
      </c>
      <c r="V358" s="3" t="b">
        <v>1</v>
      </c>
      <c r="W358" s="3" t="b">
        <v>1</v>
      </c>
      <c r="X358" s="3" t="b">
        <v>1</v>
      </c>
      <c r="Y358" s="3" t="b">
        <v>1</v>
      </c>
      <c r="Z358" s="3" t="b">
        <v>1</v>
      </c>
      <c r="AA358" s="3"/>
      <c r="AB358" s="3"/>
      <c r="AC358" s="3"/>
      <c r="AD358" s="3"/>
      <c r="AE358" s="3"/>
      <c r="AF358" s="3" t="s">
        <v>488</v>
      </c>
      <c r="AG358" s="3" t="b">
        <v>1</v>
      </c>
      <c r="AH358" s="3" t="b">
        <v>0</v>
      </c>
      <c r="AI358" s="3" t="b">
        <v>0</v>
      </c>
      <c r="AJ358" s="3" t="b">
        <v>1</v>
      </c>
      <c r="AK358" s="3" t="b">
        <v>0</v>
      </c>
      <c r="AL358" s="3"/>
      <c r="AM358" s="3"/>
      <c r="AN358" s="3"/>
      <c r="AO358" s="3"/>
      <c r="AP358" s="3"/>
      <c r="AQ358" s="3" t="s">
        <v>923</v>
      </c>
      <c r="AR358" s="3" t="b">
        <v>1</v>
      </c>
      <c r="AS358" s="3" t="b">
        <v>1</v>
      </c>
      <c r="AT358" s="3" t="b">
        <v>1</v>
      </c>
      <c r="AU358" s="3" t="b">
        <v>1</v>
      </c>
      <c r="AV358" s="3" t="b">
        <v>1</v>
      </c>
      <c r="AW358" s="3" t="b">
        <f t="shared" si="18"/>
        <v>1</v>
      </c>
      <c r="AX358" s="3" t="b">
        <f t="shared" si="19"/>
        <v>0</v>
      </c>
      <c r="AY358" s="3" t="b">
        <f t="shared" si="20"/>
        <v>0</v>
      </c>
      <c r="AZ358" s="3" t="b">
        <f t="shared" si="21"/>
        <v>0</v>
      </c>
      <c r="BA358" s="3" t="b">
        <f t="shared" si="22"/>
        <v>0</v>
      </c>
      <c r="BB358" s="3" t="b">
        <f t="shared" si="23"/>
        <v>0</v>
      </c>
      <c r="BC358" s="3"/>
      <c r="BD358" s="3" t="s">
        <v>924</v>
      </c>
      <c r="BE358" s="3" t="b">
        <v>1</v>
      </c>
      <c r="BF358" s="3" t="b">
        <v>0</v>
      </c>
      <c r="BG358" s="3" t="b">
        <v>0</v>
      </c>
      <c r="BH358" s="3" t="b">
        <v>0</v>
      </c>
      <c r="BI358" s="3" t="b">
        <v>0</v>
      </c>
      <c r="BJ358" s="3"/>
      <c r="BK358" s="3"/>
      <c r="BL358" s="3"/>
      <c r="BM358" s="3"/>
      <c r="BN358" s="3"/>
      <c r="BO358" s="3" t="s">
        <v>925</v>
      </c>
      <c r="BP358" s="3" t="b">
        <v>1</v>
      </c>
      <c r="BQ358" s="3" t="b">
        <v>1</v>
      </c>
      <c r="BR358" s="3" t="b">
        <v>1</v>
      </c>
      <c r="BS358" s="3" t="b">
        <v>0</v>
      </c>
      <c r="BT358" s="3" t="b">
        <v>1</v>
      </c>
      <c r="BU358" s="3"/>
      <c r="BV358" s="3"/>
      <c r="BW358" s="3"/>
      <c r="BX358" s="3"/>
    </row>
    <row r="359" spans="1:76" x14ac:dyDescent="0.35">
      <c r="A359" s="3"/>
      <c r="B359" s="3" t="s">
        <v>926</v>
      </c>
      <c r="C359" s="3" t="s">
        <v>813</v>
      </c>
      <c r="D359" s="3" t="s">
        <v>814</v>
      </c>
      <c r="E359" s="3" t="s">
        <v>815</v>
      </c>
      <c r="F359" s="3"/>
      <c r="G359" s="3" t="s">
        <v>3776</v>
      </c>
      <c r="H359" s="3" t="s">
        <v>928</v>
      </c>
      <c r="I359" s="3" t="b">
        <v>1</v>
      </c>
      <c r="J359" s="3" t="b">
        <v>1</v>
      </c>
      <c r="K359" s="3" t="b">
        <v>1</v>
      </c>
      <c r="L359" s="3" t="b">
        <v>1</v>
      </c>
      <c r="M359" s="3" t="b">
        <v>1</v>
      </c>
      <c r="N359" s="3" t="b">
        <f t="shared" si="12"/>
        <v>1</v>
      </c>
      <c r="O359" s="3" t="b">
        <f t="shared" si="13"/>
        <v>0</v>
      </c>
      <c r="P359" s="3" t="b">
        <f t="shared" si="14"/>
        <v>0</v>
      </c>
      <c r="Q359" s="3" t="b">
        <f t="shared" si="15"/>
        <v>0</v>
      </c>
      <c r="R359" s="3" t="b">
        <f t="shared" si="16"/>
        <v>0</v>
      </c>
      <c r="S359" s="3" t="b">
        <f t="shared" si="17"/>
        <v>0</v>
      </c>
      <c r="U359" s="3" t="s">
        <v>817</v>
      </c>
      <c r="V359" s="3" t="b">
        <v>1</v>
      </c>
      <c r="W359" s="3" t="b">
        <v>1</v>
      </c>
      <c r="X359" s="3" t="b">
        <v>1</v>
      </c>
      <c r="Y359" s="3" t="b">
        <v>1</v>
      </c>
      <c r="Z359" s="3" t="b">
        <v>1</v>
      </c>
      <c r="AA359" s="3"/>
      <c r="AB359" s="3"/>
      <c r="AC359" s="3"/>
      <c r="AD359" s="3"/>
      <c r="AE359" s="3"/>
      <c r="AF359" s="3" t="s">
        <v>928</v>
      </c>
      <c r="AG359" s="3" t="b">
        <v>1</v>
      </c>
      <c r="AH359" s="3" t="b">
        <v>1</v>
      </c>
      <c r="AI359" s="3" t="b">
        <v>1</v>
      </c>
      <c r="AJ359" s="3" t="b">
        <v>1</v>
      </c>
      <c r="AK359" s="3" t="b">
        <v>1</v>
      </c>
      <c r="AL359" s="3"/>
      <c r="AM359" s="3"/>
      <c r="AN359" s="3"/>
      <c r="AO359" s="3"/>
      <c r="AP359" s="3"/>
      <c r="AQ359" s="3" t="s">
        <v>929</v>
      </c>
      <c r="AR359" s="3" t="b">
        <v>1</v>
      </c>
      <c r="AS359" s="3" t="b">
        <v>1</v>
      </c>
      <c r="AT359" s="3" t="b">
        <v>1</v>
      </c>
      <c r="AU359" s="3" t="b">
        <v>0</v>
      </c>
      <c r="AV359" s="3" t="b">
        <v>1</v>
      </c>
      <c r="AW359" s="3" t="b">
        <f t="shared" si="18"/>
        <v>0</v>
      </c>
      <c r="AX359" s="3" t="b">
        <f t="shared" si="19"/>
        <v>0</v>
      </c>
      <c r="AY359" s="3" t="b">
        <f t="shared" si="20"/>
        <v>0</v>
      </c>
      <c r="AZ359" s="3" t="b">
        <f t="shared" si="21"/>
        <v>1</v>
      </c>
      <c r="BA359" s="3" t="b">
        <f t="shared" si="22"/>
        <v>0</v>
      </c>
      <c r="BB359" s="3" t="b">
        <f t="shared" si="23"/>
        <v>0</v>
      </c>
      <c r="BC359" s="3"/>
      <c r="BD359" s="3" t="s">
        <v>929</v>
      </c>
      <c r="BE359" s="3" t="b">
        <v>1</v>
      </c>
      <c r="BF359" s="3" t="b">
        <v>1</v>
      </c>
      <c r="BG359" s="3" t="b">
        <v>1</v>
      </c>
      <c r="BH359" s="3" t="b">
        <v>0</v>
      </c>
      <c r="BI359" s="3" t="b">
        <v>1</v>
      </c>
      <c r="BJ359" s="3"/>
      <c r="BK359" s="3"/>
      <c r="BL359" s="3"/>
      <c r="BM359" s="3"/>
      <c r="BN359" s="3"/>
      <c r="BO359" s="3" t="s">
        <v>929</v>
      </c>
      <c r="BP359" s="3" t="b">
        <v>1</v>
      </c>
      <c r="BQ359" s="3" t="b">
        <v>1</v>
      </c>
      <c r="BR359" s="3" t="b">
        <v>1</v>
      </c>
      <c r="BS359" s="3" t="b">
        <v>0</v>
      </c>
      <c r="BT359" s="3" t="b">
        <v>1</v>
      </c>
      <c r="BU359" s="3"/>
      <c r="BV359" s="3"/>
      <c r="BW359" s="3"/>
      <c r="BX359" s="3"/>
    </row>
    <row r="360" spans="1:76" x14ac:dyDescent="0.35">
      <c r="A360" s="3"/>
      <c r="B360" s="3"/>
      <c r="C360" s="3" t="s">
        <v>819</v>
      </c>
      <c r="D360" s="3" t="s">
        <v>76</v>
      </c>
      <c r="E360" s="3" t="s">
        <v>77</v>
      </c>
      <c r="F360" s="3"/>
      <c r="G360" s="3" t="s">
        <v>3777</v>
      </c>
      <c r="H360" s="3" t="s">
        <v>931</v>
      </c>
      <c r="I360" s="3" t="b">
        <v>1</v>
      </c>
      <c r="J360" s="3" t="b">
        <v>1</v>
      </c>
      <c r="K360" s="3" t="b">
        <v>1</v>
      </c>
      <c r="L360" s="3" t="b">
        <v>1</v>
      </c>
      <c r="M360" s="3" t="b">
        <v>1</v>
      </c>
      <c r="N360" s="3" t="b">
        <f t="shared" si="12"/>
        <v>1</v>
      </c>
      <c r="O360" s="3" t="b">
        <f t="shared" si="13"/>
        <v>0</v>
      </c>
      <c r="P360" s="3" t="b">
        <f t="shared" si="14"/>
        <v>0</v>
      </c>
      <c r="Q360" s="3" t="b">
        <f t="shared" si="15"/>
        <v>0</v>
      </c>
      <c r="R360" s="3" t="b">
        <f t="shared" si="16"/>
        <v>0</v>
      </c>
      <c r="S360" s="3" t="b">
        <f t="shared" si="17"/>
        <v>0</v>
      </c>
      <c r="U360" s="3" t="s">
        <v>821</v>
      </c>
      <c r="V360" s="3" t="b">
        <v>1</v>
      </c>
      <c r="W360" s="3" t="b">
        <v>1</v>
      </c>
      <c r="X360" s="3" t="b">
        <v>1</v>
      </c>
      <c r="Y360" s="3" t="b">
        <v>1</v>
      </c>
      <c r="Z360" s="3" t="b">
        <v>1</v>
      </c>
      <c r="AA360" s="3"/>
      <c r="AB360" s="3"/>
      <c r="AC360" s="3"/>
      <c r="AD360" s="3"/>
      <c r="AE360" s="3"/>
      <c r="AF360" s="3" t="s">
        <v>931</v>
      </c>
      <c r="AG360" s="3" t="b">
        <v>1</v>
      </c>
      <c r="AH360" s="3" t="b">
        <v>1</v>
      </c>
      <c r="AI360" s="3" t="b">
        <v>1</v>
      </c>
      <c r="AJ360" s="3" t="b">
        <v>1</v>
      </c>
      <c r="AK360" s="3" t="b">
        <v>1</v>
      </c>
      <c r="AL360" s="3"/>
      <c r="AM360" s="3"/>
      <c r="AN360" s="3"/>
      <c r="AO360" s="3"/>
      <c r="AP360" s="3"/>
      <c r="AQ360" s="3" t="s">
        <v>822</v>
      </c>
      <c r="AR360" s="3" t="b">
        <v>1</v>
      </c>
      <c r="AS360" s="3" t="b">
        <v>1</v>
      </c>
      <c r="AT360" s="3" t="b">
        <v>1</v>
      </c>
      <c r="AU360" s="3" t="b">
        <v>1</v>
      </c>
      <c r="AV360" s="3" t="b">
        <v>1</v>
      </c>
      <c r="AW360" s="3" t="b">
        <f t="shared" si="18"/>
        <v>1</v>
      </c>
      <c r="AX360" s="3" t="b">
        <f t="shared" si="19"/>
        <v>0</v>
      </c>
      <c r="AY360" s="3" t="b">
        <f t="shared" si="20"/>
        <v>0</v>
      </c>
      <c r="AZ360" s="3" t="b">
        <f t="shared" si="21"/>
        <v>0</v>
      </c>
      <c r="BA360" s="3" t="b">
        <f t="shared" si="22"/>
        <v>0</v>
      </c>
      <c r="BB360" s="3" t="b">
        <f t="shared" si="23"/>
        <v>0</v>
      </c>
      <c r="BC360" s="3"/>
      <c r="BD360" s="3" t="s">
        <v>823</v>
      </c>
      <c r="BE360" s="3" t="b">
        <v>1</v>
      </c>
      <c r="BF360" s="3" t="b">
        <v>1</v>
      </c>
      <c r="BG360" s="3" t="b">
        <v>1</v>
      </c>
      <c r="BH360" s="3" t="b">
        <v>1</v>
      </c>
      <c r="BI360" s="3" t="b">
        <v>1</v>
      </c>
      <c r="BJ360" s="3"/>
      <c r="BK360" s="3"/>
      <c r="BL360" s="3"/>
      <c r="BM360" s="3"/>
      <c r="BN360" s="3"/>
      <c r="BO360" s="3" t="s">
        <v>822</v>
      </c>
      <c r="BP360" s="3" t="b">
        <v>1</v>
      </c>
      <c r="BQ360" s="3" t="b">
        <v>1</v>
      </c>
      <c r="BR360" s="3" t="b">
        <v>1</v>
      </c>
      <c r="BS360" s="3" t="b">
        <v>1</v>
      </c>
      <c r="BT360" s="3" t="b">
        <v>1</v>
      </c>
      <c r="BU360" s="3"/>
      <c r="BV360" s="3"/>
      <c r="BW360" s="3"/>
      <c r="BX360" s="3"/>
    </row>
    <row r="361" spans="1:76" x14ac:dyDescent="0.35">
      <c r="A361" s="3"/>
      <c r="B361" s="3"/>
      <c r="C361" s="3" t="s">
        <v>824</v>
      </c>
      <c r="D361" s="3"/>
      <c r="E361" s="3"/>
      <c r="F361" s="3"/>
      <c r="G361" s="3" t="s">
        <v>3778</v>
      </c>
      <c r="H361" s="3"/>
      <c r="I361" s="3" t="b">
        <v>1</v>
      </c>
      <c r="J361" s="3" t="b">
        <v>0</v>
      </c>
      <c r="K361" s="3" t="b">
        <v>0</v>
      </c>
      <c r="L361" s="3" t="b">
        <v>0</v>
      </c>
      <c r="M361" s="3" t="b">
        <v>0</v>
      </c>
      <c r="N361" s="3" t="b">
        <f t="shared" si="12"/>
        <v>0</v>
      </c>
      <c r="O361" s="3" t="b">
        <f t="shared" si="13"/>
        <v>0</v>
      </c>
      <c r="P361" s="3" t="b">
        <f t="shared" si="14"/>
        <v>1</v>
      </c>
      <c r="Q361" s="3" t="b">
        <f t="shared" si="15"/>
        <v>0</v>
      </c>
      <c r="R361" s="3" t="b">
        <f t="shared" si="16"/>
        <v>0</v>
      </c>
      <c r="S361" s="3" t="b">
        <f t="shared" si="17"/>
        <v>0</v>
      </c>
      <c r="U361" s="3" t="s">
        <v>933</v>
      </c>
      <c r="V361" s="3" t="b">
        <v>1</v>
      </c>
      <c r="W361" s="3" t="b">
        <v>1</v>
      </c>
      <c r="X361" s="3" t="b">
        <v>1</v>
      </c>
      <c r="Y361" s="3" t="b">
        <v>1</v>
      </c>
      <c r="Z361" s="3" t="b">
        <v>1</v>
      </c>
      <c r="AA361" s="3"/>
      <c r="AB361" s="3"/>
      <c r="AC361" s="3"/>
      <c r="AD361" s="3"/>
      <c r="AE361" s="3"/>
      <c r="AF361" s="3"/>
      <c r="AG361" s="3" t="b">
        <v>1</v>
      </c>
      <c r="AH361" s="3" t="b">
        <v>0</v>
      </c>
      <c r="AI361" s="3" t="b">
        <v>0</v>
      </c>
      <c r="AJ361" s="3" t="b">
        <v>0</v>
      </c>
      <c r="AK361" s="3" t="b">
        <v>0</v>
      </c>
      <c r="AL361" s="3"/>
      <c r="AM361" s="3"/>
      <c r="AN361" s="3"/>
      <c r="AO361" s="3"/>
      <c r="AP361" s="3"/>
      <c r="AQ361" s="3" t="s">
        <v>828</v>
      </c>
      <c r="AR361" s="3" t="b">
        <v>1</v>
      </c>
      <c r="AS361" s="3" t="b">
        <v>1</v>
      </c>
      <c r="AT361" s="3" t="b">
        <v>1</v>
      </c>
      <c r="AU361" s="3" t="b">
        <v>1</v>
      </c>
      <c r="AV361" s="3" t="b">
        <v>1</v>
      </c>
      <c r="AW361" s="3" t="b">
        <f t="shared" si="18"/>
        <v>1</v>
      </c>
      <c r="AX361" s="3" t="b">
        <f t="shared" si="19"/>
        <v>0</v>
      </c>
      <c r="AY361" s="3" t="b">
        <f t="shared" si="20"/>
        <v>0</v>
      </c>
      <c r="AZ361" s="3" t="b">
        <f t="shared" si="21"/>
        <v>0</v>
      </c>
      <c r="BA361" s="3" t="b">
        <f t="shared" si="22"/>
        <v>0</v>
      </c>
      <c r="BB361" s="3" t="b">
        <f t="shared" si="23"/>
        <v>0</v>
      </c>
      <c r="BC361" s="3"/>
      <c r="BD361" s="3" t="s">
        <v>828</v>
      </c>
      <c r="BE361" s="3" t="b">
        <v>1</v>
      </c>
      <c r="BF361" s="3" t="b">
        <v>1</v>
      </c>
      <c r="BG361" s="3" t="b">
        <v>1</v>
      </c>
      <c r="BH361" s="3" t="b">
        <v>1</v>
      </c>
      <c r="BI361" s="3" t="b">
        <v>1</v>
      </c>
      <c r="BJ361" s="3"/>
      <c r="BK361" s="3"/>
      <c r="BL361" s="3"/>
      <c r="BM361" s="3"/>
      <c r="BN361" s="3"/>
      <c r="BO361" s="3" t="s">
        <v>828</v>
      </c>
      <c r="BP361" s="3" t="b">
        <v>1</v>
      </c>
      <c r="BQ361" s="3" t="b">
        <v>1</v>
      </c>
      <c r="BR361" s="3" t="b">
        <v>1</v>
      </c>
      <c r="BS361" s="3" t="b">
        <v>1</v>
      </c>
      <c r="BT361" s="3" t="b">
        <v>1</v>
      </c>
      <c r="BU361" s="3"/>
      <c r="BV361" s="3"/>
      <c r="BW361" s="3"/>
      <c r="BX361" s="3"/>
    </row>
    <row r="362" spans="1:76" x14ac:dyDescent="0.35">
      <c r="A362" s="3"/>
      <c r="B362" s="3"/>
      <c r="C362" s="3" t="s">
        <v>830</v>
      </c>
      <c r="D362" s="3"/>
      <c r="E362" s="3"/>
      <c r="F362" s="3"/>
      <c r="G362" s="3" t="s">
        <v>3779</v>
      </c>
      <c r="H362" s="3"/>
      <c r="I362" s="3" t="b">
        <v>1</v>
      </c>
      <c r="J362" s="3" t="b">
        <v>0</v>
      </c>
      <c r="K362" s="3" t="b">
        <v>0</v>
      </c>
      <c r="L362" s="3" t="b">
        <v>0</v>
      </c>
      <c r="M362" s="3" t="b">
        <v>0</v>
      </c>
      <c r="N362" s="3" t="b">
        <f t="shared" si="12"/>
        <v>0</v>
      </c>
      <c r="O362" s="3" t="b">
        <f t="shared" si="13"/>
        <v>0</v>
      </c>
      <c r="P362" s="3" t="b">
        <f t="shared" si="14"/>
        <v>1</v>
      </c>
      <c r="Q362" s="3" t="b">
        <f t="shared" si="15"/>
        <v>0</v>
      </c>
      <c r="R362" s="3" t="b">
        <f t="shared" si="16"/>
        <v>0</v>
      </c>
      <c r="S362" s="3" t="b">
        <f t="shared" si="17"/>
        <v>0</v>
      </c>
      <c r="U362" s="3" t="s">
        <v>935</v>
      </c>
      <c r="V362" s="3" t="b">
        <v>1</v>
      </c>
      <c r="W362" s="3" t="b">
        <v>1</v>
      </c>
      <c r="X362" s="3" t="b">
        <v>1</v>
      </c>
      <c r="Y362" s="3" t="b">
        <v>1</v>
      </c>
      <c r="Z362" s="3" t="b">
        <v>1</v>
      </c>
      <c r="AA362" s="3"/>
      <c r="AB362" s="3"/>
      <c r="AC362" s="3"/>
      <c r="AD362" s="3"/>
      <c r="AE362" s="3"/>
      <c r="AF362" s="3" t="s">
        <v>936</v>
      </c>
      <c r="AG362" s="3" t="b">
        <v>1</v>
      </c>
      <c r="AH362" s="3" t="b">
        <v>1</v>
      </c>
      <c r="AI362" s="3" t="b">
        <v>1</v>
      </c>
      <c r="AJ362" s="3" t="b">
        <v>1</v>
      </c>
      <c r="AK362" s="3" t="b">
        <v>1</v>
      </c>
      <c r="AL362" s="3"/>
      <c r="AM362" s="3"/>
      <c r="AN362" s="3"/>
      <c r="AO362" s="3"/>
      <c r="AP362" s="3"/>
      <c r="AQ362" s="3" t="s">
        <v>937</v>
      </c>
      <c r="AR362" s="3" t="b">
        <v>1</v>
      </c>
      <c r="AS362" s="3" t="b">
        <v>1</v>
      </c>
      <c r="AT362" s="3" t="b">
        <v>1</v>
      </c>
      <c r="AU362" s="3" t="b">
        <v>0</v>
      </c>
      <c r="AV362" s="3" t="b">
        <v>1</v>
      </c>
      <c r="AW362" s="3" t="b">
        <f t="shared" si="18"/>
        <v>0</v>
      </c>
      <c r="AX362" s="3" t="b">
        <f t="shared" si="19"/>
        <v>0</v>
      </c>
      <c r="AY362" s="3" t="b">
        <f t="shared" si="20"/>
        <v>0</v>
      </c>
      <c r="AZ362" s="3" t="b">
        <f t="shared" si="21"/>
        <v>1</v>
      </c>
      <c r="BA362" s="3" t="b">
        <f t="shared" si="22"/>
        <v>0</v>
      </c>
      <c r="BB362" s="3" t="b">
        <f t="shared" si="23"/>
        <v>0</v>
      </c>
      <c r="BC362" s="3"/>
      <c r="BD362" s="3" t="s">
        <v>938</v>
      </c>
      <c r="BE362" s="3" t="b">
        <v>1</v>
      </c>
      <c r="BF362" s="3" t="b">
        <v>1</v>
      </c>
      <c r="BG362" s="3" t="b">
        <v>1</v>
      </c>
      <c r="BH362" s="3" t="b">
        <v>0</v>
      </c>
      <c r="BI362" s="3" t="b">
        <v>1</v>
      </c>
      <c r="BJ362" s="3"/>
      <c r="BK362" s="3"/>
      <c r="BL362" s="3"/>
      <c r="BM362" s="3"/>
      <c r="BN362" s="3"/>
      <c r="BO362" s="3" t="s">
        <v>939</v>
      </c>
      <c r="BP362" s="3" t="b">
        <v>1</v>
      </c>
      <c r="BQ362" s="3" t="b">
        <v>1</v>
      </c>
      <c r="BR362" s="3" t="b">
        <v>1</v>
      </c>
      <c r="BS362" s="3" t="b">
        <v>0</v>
      </c>
      <c r="BT362" s="3" t="b">
        <v>1</v>
      </c>
      <c r="BU362" s="3"/>
      <c r="BV362" s="3"/>
      <c r="BW362" s="3"/>
      <c r="BX362" s="3"/>
    </row>
    <row r="363" spans="1:76" x14ac:dyDescent="0.35">
      <c r="A363" s="3"/>
      <c r="B363" s="3" t="s">
        <v>837</v>
      </c>
      <c r="C363" s="3" t="s">
        <v>838</v>
      </c>
      <c r="D363" s="5"/>
      <c r="E363" s="3"/>
      <c r="F363" s="3"/>
      <c r="G363" s="3" t="s">
        <v>3780</v>
      </c>
      <c r="H363" s="3" t="s">
        <v>840</v>
      </c>
      <c r="I363" s="3" t="b">
        <v>1</v>
      </c>
      <c r="J363" s="3" t="b">
        <v>1</v>
      </c>
      <c r="K363" s="3" t="b">
        <v>1</v>
      </c>
      <c r="L363" s="3" t="b">
        <v>1</v>
      </c>
      <c r="M363" s="3" t="b">
        <v>1</v>
      </c>
      <c r="N363" s="3" t="b">
        <f t="shared" si="12"/>
        <v>1</v>
      </c>
      <c r="O363" s="3" t="b">
        <f t="shared" si="13"/>
        <v>0</v>
      </c>
      <c r="P363" s="3" t="b">
        <f t="shared" si="14"/>
        <v>0</v>
      </c>
      <c r="Q363" s="3" t="b">
        <f t="shared" si="15"/>
        <v>0</v>
      </c>
      <c r="R363" s="3" t="b">
        <f t="shared" si="16"/>
        <v>0</v>
      </c>
      <c r="S363" s="3" t="b">
        <f t="shared" si="17"/>
        <v>0</v>
      </c>
      <c r="U363" s="3" t="s">
        <v>840</v>
      </c>
      <c r="V363" s="3" t="b">
        <v>1</v>
      </c>
      <c r="W363" s="3" t="b">
        <v>1</v>
      </c>
      <c r="X363" s="3" t="b">
        <v>1</v>
      </c>
      <c r="Y363" s="3" t="b">
        <v>1</v>
      </c>
      <c r="Z363" s="3" t="b">
        <v>1</v>
      </c>
      <c r="AA363" s="3"/>
      <c r="AB363" s="3"/>
      <c r="AC363" s="3"/>
      <c r="AD363" s="3"/>
      <c r="AE363" s="3"/>
      <c r="AF363" s="3" t="s">
        <v>840</v>
      </c>
      <c r="AG363" s="3" t="b">
        <v>1</v>
      </c>
      <c r="AH363" s="3" t="b">
        <v>1</v>
      </c>
      <c r="AI363" s="3" t="b">
        <v>1</v>
      </c>
      <c r="AJ363" s="3" t="b">
        <v>1</v>
      </c>
      <c r="AK363" s="3" t="b">
        <v>1</v>
      </c>
      <c r="AL363" s="3"/>
      <c r="AM363" s="3"/>
      <c r="AN363" s="3"/>
      <c r="AO363" s="3"/>
      <c r="AP363" s="3"/>
      <c r="AQ363" s="3" t="s">
        <v>941</v>
      </c>
      <c r="AR363" s="3" t="b">
        <v>1</v>
      </c>
      <c r="AS363" s="3" t="b">
        <v>1</v>
      </c>
      <c r="AT363" s="3" t="b">
        <v>1</v>
      </c>
      <c r="AU363" s="3" t="b">
        <v>1</v>
      </c>
      <c r="AV363" s="3" t="b">
        <v>1</v>
      </c>
      <c r="AW363" s="3" t="b">
        <f t="shared" si="18"/>
        <v>1</v>
      </c>
      <c r="AX363" s="3" t="b">
        <f t="shared" si="19"/>
        <v>0</v>
      </c>
      <c r="AY363" s="3" t="b">
        <f t="shared" si="20"/>
        <v>0</v>
      </c>
      <c r="AZ363" s="3" t="b">
        <f t="shared" si="21"/>
        <v>0</v>
      </c>
      <c r="BA363" s="3" t="b">
        <f t="shared" si="22"/>
        <v>0</v>
      </c>
      <c r="BB363" s="3" t="b">
        <f t="shared" si="23"/>
        <v>0</v>
      </c>
      <c r="BC363" s="3"/>
      <c r="BD363" s="3" t="s">
        <v>941</v>
      </c>
      <c r="BE363" s="3" t="b">
        <v>1</v>
      </c>
      <c r="BF363" s="3" t="b">
        <v>1</v>
      </c>
      <c r="BG363" s="3" t="b">
        <v>1</v>
      </c>
      <c r="BH363" s="3" t="b">
        <v>1</v>
      </c>
      <c r="BI363" s="3" t="b">
        <v>1</v>
      </c>
      <c r="BJ363" s="3"/>
      <c r="BK363" s="3"/>
      <c r="BL363" s="3"/>
      <c r="BM363" s="3"/>
      <c r="BN363" s="3"/>
      <c r="BO363" s="3" t="s">
        <v>941</v>
      </c>
      <c r="BP363" s="3" t="b">
        <v>1</v>
      </c>
      <c r="BQ363" s="3" t="b">
        <v>1</v>
      </c>
      <c r="BR363" s="3" t="b">
        <v>1</v>
      </c>
      <c r="BS363" s="3" t="b">
        <v>1</v>
      </c>
      <c r="BT363" s="3" t="b">
        <v>1</v>
      </c>
      <c r="BU363" s="3"/>
      <c r="BV363" s="3"/>
      <c r="BW363" s="3"/>
      <c r="BX363" s="3"/>
    </row>
    <row r="364" spans="1:76" x14ac:dyDescent="0.35">
      <c r="A364" s="3"/>
      <c r="B364" s="3"/>
      <c r="C364" s="3" t="s">
        <v>843</v>
      </c>
      <c r="D364" s="5"/>
      <c r="E364" s="3"/>
      <c r="F364" s="3"/>
      <c r="G364" s="3" t="s">
        <v>3781</v>
      </c>
      <c r="H364" s="3" t="s">
        <v>943</v>
      </c>
      <c r="I364" s="3" t="b">
        <v>1</v>
      </c>
      <c r="J364" s="3" t="b">
        <v>1</v>
      </c>
      <c r="K364" s="3" t="b">
        <v>1</v>
      </c>
      <c r="L364" s="3" t="b">
        <v>1</v>
      </c>
      <c r="M364" s="3" t="b">
        <v>1</v>
      </c>
      <c r="N364" s="3" t="b">
        <f t="shared" si="12"/>
        <v>1</v>
      </c>
      <c r="O364" s="3" t="b">
        <f t="shared" si="13"/>
        <v>0</v>
      </c>
      <c r="P364" s="3" t="b">
        <f t="shared" si="14"/>
        <v>0</v>
      </c>
      <c r="Q364" s="3" t="b">
        <f t="shared" si="15"/>
        <v>0</v>
      </c>
      <c r="R364" s="3" t="b">
        <f t="shared" si="16"/>
        <v>0</v>
      </c>
      <c r="S364" s="3" t="b">
        <f t="shared" si="17"/>
        <v>0</v>
      </c>
      <c r="U364" s="3" t="s">
        <v>943</v>
      </c>
      <c r="V364" s="3" t="b">
        <v>1</v>
      </c>
      <c r="W364" s="3" t="b">
        <v>1</v>
      </c>
      <c r="X364" s="3" t="b">
        <v>1</v>
      </c>
      <c r="Y364" s="3" t="b">
        <v>1</v>
      </c>
      <c r="Z364" s="3" t="b">
        <v>1</v>
      </c>
      <c r="AA364" s="3"/>
      <c r="AB364" s="3"/>
      <c r="AC364" s="3"/>
      <c r="AD364" s="3"/>
      <c r="AE364" s="3"/>
      <c r="AF364" s="3" t="s">
        <v>944</v>
      </c>
      <c r="AG364" s="3" t="b">
        <v>1</v>
      </c>
      <c r="AH364" s="3" t="b">
        <v>0</v>
      </c>
      <c r="AI364" s="3" t="b">
        <v>0</v>
      </c>
      <c r="AJ364" s="3" t="b">
        <v>1</v>
      </c>
      <c r="AK364" s="3" t="b">
        <v>0</v>
      </c>
      <c r="AL364" s="3"/>
      <c r="AM364" s="3"/>
      <c r="AN364" s="3"/>
      <c r="AO364" s="3"/>
      <c r="AP364" s="3"/>
      <c r="AQ364" s="3" t="s">
        <v>945</v>
      </c>
      <c r="AR364" s="3" t="b">
        <v>1</v>
      </c>
      <c r="AS364" s="3" t="b">
        <v>0</v>
      </c>
      <c r="AT364" s="3" t="b">
        <v>0</v>
      </c>
      <c r="AU364" s="3" t="b">
        <v>1</v>
      </c>
      <c r="AV364" s="3" t="b">
        <v>0</v>
      </c>
      <c r="AW364" s="3" t="b">
        <f t="shared" si="18"/>
        <v>0</v>
      </c>
      <c r="AX364" s="3" t="b">
        <f t="shared" si="19"/>
        <v>0</v>
      </c>
      <c r="AY364" s="3" t="b">
        <f t="shared" si="20"/>
        <v>1</v>
      </c>
      <c r="AZ364" s="3" t="b">
        <f t="shared" si="21"/>
        <v>0</v>
      </c>
      <c r="BA364" s="3" t="b">
        <f t="shared" si="22"/>
        <v>0</v>
      </c>
      <c r="BB364" s="3" t="b">
        <f t="shared" si="23"/>
        <v>0</v>
      </c>
      <c r="BC364" s="3"/>
      <c r="BD364" s="3" t="s">
        <v>946</v>
      </c>
      <c r="BE364" s="3" t="b">
        <v>1</v>
      </c>
      <c r="BF364" s="3" t="b">
        <v>0</v>
      </c>
      <c r="BG364" s="3" t="b">
        <v>0</v>
      </c>
      <c r="BH364" s="3" t="b">
        <v>1</v>
      </c>
      <c r="BI364" s="3" t="b">
        <v>0</v>
      </c>
      <c r="BJ364" s="3"/>
      <c r="BK364" s="3"/>
      <c r="BL364" s="3"/>
      <c r="BM364" s="3"/>
      <c r="BN364" s="3"/>
      <c r="BO364" s="3" t="s">
        <v>945</v>
      </c>
      <c r="BP364" s="3" t="b">
        <v>1</v>
      </c>
      <c r="BQ364" s="3" t="b">
        <v>0</v>
      </c>
      <c r="BR364" s="3" t="b">
        <v>0</v>
      </c>
      <c r="BS364" s="3" t="b">
        <v>1</v>
      </c>
      <c r="BT364" s="3" t="b">
        <v>0</v>
      </c>
      <c r="BU364" s="3"/>
      <c r="BV364" s="3"/>
      <c r="BW364" s="3"/>
      <c r="BX364" s="3"/>
    </row>
    <row r="365" spans="1:76" x14ac:dyDescent="0.35">
      <c r="A365" s="3"/>
      <c r="B365" s="3"/>
      <c r="C365" s="3" t="s">
        <v>64</v>
      </c>
      <c r="D365" s="3"/>
      <c r="E365" s="3"/>
      <c r="F365" s="3"/>
      <c r="G365" s="3" t="s">
        <v>3782</v>
      </c>
      <c r="H365" s="3" t="s">
        <v>66</v>
      </c>
      <c r="I365" s="3" t="b">
        <v>1</v>
      </c>
      <c r="J365" s="3" t="b">
        <v>1</v>
      </c>
      <c r="K365" s="3" t="b">
        <v>1</v>
      </c>
      <c r="L365" s="3" t="b">
        <v>1</v>
      </c>
      <c r="M365" s="3" t="b">
        <v>1</v>
      </c>
      <c r="N365" s="3" t="b">
        <f t="shared" si="12"/>
        <v>1</v>
      </c>
      <c r="O365" s="3" t="b">
        <f t="shared" si="13"/>
        <v>0</v>
      </c>
      <c r="P365" s="3" t="b">
        <f t="shared" si="14"/>
        <v>0</v>
      </c>
      <c r="Q365" s="3" t="b">
        <f t="shared" si="15"/>
        <v>0</v>
      </c>
      <c r="R365" s="3" t="b">
        <f t="shared" si="16"/>
        <v>0</v>
      </c>
      <c r="S365" s="3" t="b">
        <f t="shared" si="17"/>
        <v>0</v>
      </c>
      <c r="U365" s="3" t="s">
        <v>67</v>
      </c>
      <c r="V365" s="3" t="b">
        <v>1</v>
      </c>
      <c r="W365" s="3" t="b">
        <v>1</v>
      </c>
      <c r="X365" s="3" t="b">
        <v>1</v>
      </c>
      <c r="Y365" s="3" t="b">
        <v>1</v>
      </c>
      <c r="Z365" s="3" t="b">
        <v>1</v>
      </c>
      <c r="AA365" s="3"/>
      <c r="AB365" s="3"/>
      <c r="AC365" s="3"/>
      <c r="AD365" s="3"/>
      <c r="AE365" s="3"/>
      <c r="AF365" s="3" t="s">
        <v>67</v>
      </c>
      <c r="AG365" s="3" t="b">
        <v>1</v>
      </c>
      <c r="AH365" s="3" t="b">
        <v>1</v>
      </c>
      <c r="AI365" s="3" t="b">
        <v>1</v>
      </c>
      <c r="AJ365" s="3" t="b">
        <v>1</v>
      </c>
      <c r="AK365" s="3" t="b">
        <v>1</v>
      </c>
      <c r="AL365" s="3"/>
      <c r="AM365" s="3"/>
      <c r="AN365" s="3"/>
      <c r="AO365" s="3"/>
      <c r="AP365" s="3"/>
      <c r="AQ365" s="3" t="s">
        <v>66</v>
      </c>
      <c r="AR365" s="3" t="b">
        <v>1</v>
      </c>
      <c r="AS365" s="3" t="b">
        <v>1</v>
      </c>
      <c r="AT365" s="3" t="b">
        <v>1</v>
      </c>
      <c r="AU365" s="3" t="b">
        <v>1</v>
      </c>
      <c r="AV365" s="3" t="b">
        <v>1</v>
      </c>
      <c r="AW365" s="3" t="b">
        <f t="shared" si="18"/>
        <v>1</v>
      </c>
      <c r="AX365" s="3" t="b">
        <f t="shared" si="19"/>
        <v>0</v>
      </c>
      <c r="AY365" s="3" t="b">
        <f t="shared" si="20"/>
        <v>0</v>
      </c>
      <c r="AZ365" s="3" t="b">
        <f t="shared" si="21"/>
        <v>0</v>
      </c>
      <c r="BA365" s="3" t="b">
        <f t="shared" si="22"/>
        <v>0</v>
      </c>
      <c r="BB365" s="3" t="b">
        <f t="shared" si="23"/>
        <v>0</v>
      </c>
      <c r="BC365" s="3"/>
      <c r="BD365" s="3" t="s">
        <v>66</v>
      </c>
      <c r="BE365" s="3" t="b">
        <v>1</v>
      </c>
      <c r="BF365" s="3" t="b">
        <v>1</v>
      </c>
      <c r="BG365" s="3" t="b">
        <v>1</v>
      </c>
      <c r="BH365" s="3" t="b">
        <v>1</v>
      </c>
      <c r="BI365" s="3" t="b">
        <v>1</v>
      </c>
      <c r="BJ365" s="3"/>
      <c r="BK365" s="3"/>
      <c r="BL365" s="3"/>
      <c r="BM365" s="3"/>
      <c r="BN365" s="3"/>
      <c r="BO365" s="3" t="s">
        <v>66</v>
      </c>
      <c r="BP365" s="3" t="b">
        <v>1</v>
      </c>
      <c r="BQ365" s="3" t="b">
        <v>1</v>
      </c>
      <c r="BR365" s="3" t="b">
        <v>1</v>
      </c>
      <c r="BS365" s="3" t="b">
        <v>1</v>
      </c>
      <c r="BT365" s="3" t="b">
        <v>1</v>
      </c>
      <c r="BU365" s="3"/>
      <c r="BV365" s="3"/>
      <c r="BW365" s="3"/>
      <c r="BX365" s="3"/>
    </row>
    <row r="366" spans="1:76" x14ac:dyDescent="0.35">
      <c r="A366" s="3"/>
      <c r="B366" s="3" t="s">
        <v>948</v>
      </c>
      <c r="C366" s="3" t="s">
        <v>851</v>
      </c>
      <c r="D366" s="3" t="s">
        <v>814</v>
      </c>
      <c r="E366" s="3" t="s">
        <v>815</v>
      </c>
      <c r="F366" s="3"/>
      <c r="G366" s="3" t="s">
        <v>3783</v>
      </c>
      <c r="H366" s="3" t="s">
        <v>853</v>
      </c>
      <c r="I366" s="3" t="b">
        <v>1</v>
      </c>
      <c r="J366" s="3" t="b">
        <v>1</v>
      </c>
      <c r="K366" s="3" t="b">
        <v>1</v>
      </c>
      <c r="L366" s="3" t="b">
        <v>1</v>
      </c>
      <c r="M366" s="3" t="b">
        <v>1</v>
      </c>
      <c r="N366" s="3" t="b">
        <f t="shared" si="12"/>
        <v>1</v>
      </c>
      <c r="O366" s="3" t="b">
        <f t="shared" si="13"/>
        <v>0</v>
      </c>
      <c r="P366" s="3" t="b">
        <f t="shared" si="14"/>
        <v>0</v>
      </c>
      <c r="Q366" s="3" t="b">
        <f t="shared" si="15"/>
        <v>0</v>
      </c>
      <c r="R366" s="3" t="b">
        <f t="shared" si="16"/>
        <v>0</v>
      </c>
      <c r="S366" s="3" t="b">
        <f t="shared" si="17"/>
        <v>0</v>
      </c>
      <c r="U366" s="3" t="s">
        <v>853</v>
      </c>
      <c r="V366" s="3" t="b">
        <v>1</v>
      </c>
      <c r="W366" s="3" t="b">
        <v>1</v>
      </c>
      <c r="X366" s="3" t="b">
        <v>1</v>
      </c>
      <c r="Y366" s="3" t="b">
        <v>1</v>
      </c>
      <c r="Z366" s="3" t="b">
        <v>1</v>
      </c>
      <c r="AA366" s="3"/>
      <c r="AB366" s="3"/>
      <c r="AC366" s="3"/>
      <c r="AD366" s="3"/>
      <c r="AE366" s="3"/>
      <c r="AF366" s="3" t="s">
        <v>853</v>
      </c>
      <c r="AG366" s="3" t="b">
        <v>1</v>
      </c>
      <c r="AH366" s="3" t="b">
        <v>1</v>
      </c>
      <c r="AI366" s="3" t="b">
        <v>1</v>
      </c>
      <c r="AJ366" s="3" t="b">
        <v>1</v>
      </c>
      <c r="AK366" s="3" t="b">
        <v>1</v>
      </c>
      <c r="AL366" s="3"/>
      <c r="AM366" s="3"/>
      <c r="AN366" s="3"/>
      <c r="AO366" s="3"/>
      <c r="AP366" s="3"/>
      <c r="AQ366" s="3" t="s">
        <v>853</v>
      </c>
      <c r="AR366" s="3" t="b">
        <v>1</v>
      </c>
      <c r="AS366" s="3" t="b">
        <v>1</v>
      </c>
      <c r="AT366" s="3" t="b">
        <v>1</v>
      </c>
      <c r="AU366" s="3" t="b">
        <v>1</v>
      </c>
      <c r="AV366" s="3" t="b">
        <v>1</v>
      </c>
      <c r="AW366" s="3" t="b">
        <f t="shared" si="18"/>
        <v>1</v>
      </c>
      <c r="AX366" s="3" t="b">
        <f t="shared" si="19"/>
        <v>0</v>
      </c>
      <c r="AY366" s="3" t="b">
        <f t="shared" si="20"/>
        <v>0</v>
      </c>
      <c r="AZ366" s="3" t="b">
        <f t="shared" si="21"/>
        <v>0</v>
      </c>
      <c r="BA366" s="3" t="b">
        <f t="shared" si="22"/>
        <v>0</v>
      </c>
      <c r="BB366" s="3" t="b">
        <f t="shared" si="23"/>
        <v>0</v>
      </c>
      <c r="BC366" s="3"/>
      <c r="BD366" s="3" t="s">
        <v>853</v>
      </c>
      <c r="BE366" s="3" t="b">
        <v>1</v>
      </c>
      <c r="BF366" s="3" t="b">
        <v>1</v>
      </c>
      <c r="BG366" s="3" t="b">
        <v>1</v>
      </c>
      <c r="BH366" s="3" t="b">
        <v>1</v>
      </c>
      <c r="BI366" s="3" t="b">
        <v>1</v>
      </c>
      <c r="BJ366" s="3"/>
      <c r="BK366" s="3"/>
      <c r="BL366" s="3"/>
      <c r="BM366" s="3"/>
      <c r="BN366" s="3"/>
      <c r="BO366" s="3" t="s">
        <v>854</v>
      </c>
      <c r="BP366" s="3" t="b">
        <v>1</v>
      </c>
      <c r="BQ366" s="3" t="b">
        <v>1</v>
      </c>
      <c r="BR366" s="3" t="b">
        <v>1</v>
      </c>
      <c r="BS366" s="3" t="b">
        <v>0</v>
      </c>
      <c r="BT366" s="3" t="b">
        <v>1</v>
      </c>
      <c r="BU366" s="3"/>
      <c r="BV366" s="3"/>
      <c r="BW366" s="3"/>
      <c r="BX366" s="3"/>
    </row>
    <row r="367" spans="1:76" x14ac:dyDescent="0.35">
      <c r="A367" s="3"/>
      <c r="B367" s="3"/>
      <c r="C367" s="3" t="s">
        <v>855</v>
      </c>
      <c r="D367" s="3"/>
      <c r="E367" s="3"/>
      <c r="F367" s="3"/>
      <c r="G367" s="3" t="s">
        <v>3784</v>
      </c>
      <c r="H367" s="3" t="s">
        <v>951</v>
      </c>
      <c r="I367" s="3" t="b">
        <v>1</v>
      </c>
      <c r="J367" s="3" t="b">
        <v>1</v>
      </c>
      <c r="K367" s="3" t="b">
        <v>1</v>
      </c>
      <c r="L367" s="3" t="b">
        <v>1</v>
      </c>
      <c r="M367" s="3" t="b">
        <v>1</v>
      </c>
      <c r="N367" s="3" t="b">
        <f t="shared" si="12"/>
        <v>1</v>
      </c>
      <c r="O367" s="3" t="b">
        <f t="shared" si="13"/>
        <v>0</v>
      </c>
      <c r="P367" s="3" t="b">
        <f t="shared" si="14"/>
        <v>0</v>
      </c>
      <c r="Q367" s="3" t="b">
        <f t="shared" si="15"/>
        <v>0</v>
      </c>
      <c r="R367" s="3" t="b">
        <f t="shared" si="16"/>
        <v>0</v>
      </c>
      <c r="S367" s="3" t="b">
        <f t="shared" si="17"/>
        <v>0</v>
      </c>
      <c r="U367" s="3" t="s">
        <v>857</v>
      </c>
      <c r="V367" s="3" t="b">
        <v>1</v>
      </c>
      <c r="W367" s="3" t="b">
        <v>1</v>
      </c>
      <c r="X367" s="3" t="b">
        <v>1</v>
      </c>
      <c r="Y367" s="3" t="b">
        <v>1</v>
      </c>
      <c r="Z367" s="3" t="b">
        <v>1</v>
      </c>
      <c r="AA367" s="3"/>
      <c r="AB367" s="3"/>
      <c r="AC367" s="3"/>
      <c r="AD367" s="3"/>
      <c r="AE367" s="3"/>
      <c r="AF367" s="3" t="s">
        <v>857</v>
      </c>
      <c r="AG367" s="3" t="b">
        <v>1</v>
      </c>
      <c r="AH367" s="3" t="b">
        <v>1</v>
      </c>
      <c r="AI367" s="3" t="b">
        <v>1</v>
      </c>
      <c r="AJ367" s="3" t="b">
        <v>1</v>
      </c>
      <c r="AK367" s="3" t="b">
        <v>1</v>
      </c>
      <c r="AL367" s="3"/>
      <c r="AM367" s="3"/>
      <c r="AN367" s="3"/>
      <c r="AO367" s="3"/>
      <c r="AP367" s="3"/>
      <c r="AQ367" s="3" t="s">
        <v>858</v>
      </c>
      <c r="AR367" s="3" t="b">
        <v>1</v>
      </c>
      <c r="AS367" s="3" t="b">
        <v>1</v>
      </c>
      <c r="AT367" s="3" t="b">
        <v>1</v>
      </c>
      <c r="AU367" s="3" t="b">
        <v>1</v>
      </c>
      <c r="AV367" s="3" t="b">
        <v>1</v>
      </c>
      <c r="AW367" s="3" t="b">
        <f t="shared" si="18"/>
        <v>1</v>
      </c>
      <c r="AX367" s="3" t="b">
        <f t="shared" si="19"/>
        <v>0</v>
      </c>
      <c r="AY367" s="3" t="b">
        <f t="shared" si="20"/>
        <v>0</v>
      </c>
      <c r="AZ367" s="3" t="b">
        <f t="shared" si="21"/>
        <v>0</v>
      </c>
      <c r="BA367" s="3" t="b">
        <f t="shared" si="22"/>
        <v>0</v>
      </c>
      <c r="BB367" s="3" t="b">
        <f t="shared" si="23"/>
        <v>0</v>
      </c>
      <c r="BC367" s="3"/>
      <c r="BD367" s="3" t="s">
        <v>858</v>
      </c>
      <c r="BE367" s="3" t="b">
        <v>1</v>
      </c>
      <c r="BF367" s="3" t="b">
        <v>1</v>
      </c>
      <c r="BG367" s="3" t="b">
        <v>1</v>
      </c>
      <c r="BH367" s="3" t="b">
        <v>1</v>
      </c>
      <c r="BI367" s="3" t="b">
        <v>1</v>
      </c>
      <c r="BJ367" s="3"/>
      <c r="BK367" s="3"/>
      <c r="BL367" s="3"/>
      <c r="BM367" s="3"/>
      <c r="BN367" s="3"/>
      <c r="BO367" s="3" t="s">
        <v>858</v>
      </c>
      <c r="BP367" s="3" t="b">
        <v>1</v>
      </c>
      <c r="BQ367" s="3" t="b">
        <v>1</v>
      </c>
      <c r="BR367" s="3" t="b">
        <v>1</v>
      </c>
      <c r="BS367" s="3" t="b">
        <v>1</v>
      </c>
      <c r="BT367" s="3" t="b">
        <v>1</v>
      </c>
      <c r="BU367" s="3"/>
      <c r="BV367" s="3"/>
      <c r="BW367" s="3"/>
      <c r="BX367" s="3"/>
    </row>
    <row r="368" spans="1:76" x14ac:dyDescent="0.35">
      <c r="A368" s="3"/>
      <c r="B368" s="5" t="s">
        <v>761</v>
      </c>
      <c r="C368" s="5" t="s">
        <v>131</v>
      </c>
      <c r="D368" s="3"/>
      <c r="E368" s="3"/>
      <c r="F368" s="3"/>
      <c r="G368" s="3"/>
      <c r="H368" s="3"/>
      <c r="I368" s="3"/>
      <c r="J368" s="3"/>
      <c r="K368" s="3"/>
      <c r="L368" s="3"/>
      <c r="M368" s="3"/>
      <c r="N368" s="3">
        <f t="shared" si="12"/>
        <v>0</v>
      </c>
      <c r="O368" s="3">
        <f t="shared" si="13"/>
        <v>0</v>
      </c>
      <c r="P368" s="3">
        <f t="shared" si="14"/>
        <v>0</v>
      </c>
      <c r="Q368" s="3">
        <f t="shared" si="15"/>
        <v>0</v>
      </c>
      <c r="R368" s="3">
        <f t="shared" si="16"/>
        <v>0</v>
      </c>
      <c r="S368" s="3">
        <f t="shared" si="17"/>
        <v>0</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f t="shared" si="18"/>
        <v>0</v>
      </c>
      <c r="AX368" s="3">
        <f t="shared" si="19"/>
        <v>0</v>
      </c>
      <c r="AY368" s="3">
        <f t="shared" si="20"/>
        <v>0</v>
      </c>
      <c r="AZ368" s="3">
        <f t="shared" si="21"/>
        <v>0</v>
      </c>
      <c r="BA368" s="3">
        <f t="shared" si="22"/>
        <v>0</v>
      </c>
      <c r="BB368" s="3">
        <f t="shared" si="23"/>
        <v>0</v>
      </c>
      <c r="BC368" s="3"/>
      <c r="BD368" s="3"/>
      <c r="BE368" s="3"/>
      <c r="BF368" s="3"/>
      <c r="BG368" s="3"/>
      <c r="BH368" s="3"/>
      <c r="BI368" s="3"/>
      <c r="BJ368" s="3"/>
      <c r="BK368" s="3"/>
      <c r="BL368" s="3"/>
      <c r="BM368" s="3"/>
      <c r="BN368" s="3"/>
      <c r="BO368" s="3"/>
      <c r="BP368" s="3"/>
      <c r="BQ368" s="3"/>
      <c r="BR368" s="3"/>
      <c r="BS368" s="3"/>
      <c r="BT368" s="3"/>
      <c r="BU368" s="3"/>
      <c r="BV368" s="3"/>
      <c r="BW368" s="3"/>
      <c r="BX368" s="3"/>
    </row>
    <row r="369" spans="1:76" x14ac:dyDescent="0.35">
      <c r="A369" s="3"/>
      <c r="B369" s="3" t="s">
        <v>776</v>
      </c>
      <c r="C369" s="3" t="s">
        <v>142</v>
      </c>
      <c r="D369" s="3" t="s">
        <v>174</v>
      </c>
      <c r="E369" s="3" t="s">
        <v>175</v>
      </c>
      <c r="F369" s="3"/>
      <c r="G369" s="3" t="s">
        <v>3785</v>
      </c>
      <c r="H369" s="3" t="s">
        <v>953</v>
      </c>
      <c r="I369" s="3" t="b">
        <v>1</v>
      </c>
      <c r="J369" s="3" t="b">
        <v>1</v>
      </c>
      <c r="K369" s="3" t="b">
        <v>1</v>
      </c>
      <c r="L369" s="3" t="b">
        <v>1</v>
      </c>
      <c r="M369" s="3" t="b">
        <v>1</v>
      </c>
      <c r="N369" s="3" t="b">
        <f t="shared" si="12"/>
        <v>1</v>
      </c>
      <c r="O369" s="3" t="b">
        <f t="shared" si="13"/>
        <v>0</v>
      </c>
      <c r="P369" s="3" t="b">
        <f t="shared" si="14"/>
        <v>0</v>
      </c>
      <c r="Q369" s="3" t="b">
        <f t="shared" si="15"/>
        <v>0</v>
      </c>
      <c r="R369" s="3" t="b">
        <f t="shared" si="16"/>
        <v>0</v>
      </c>
      <c r="S369" s="3" t="b">
        <f t="shared" si="17"/>
        <v>0</v>
      </c>
      <c r="U369" s="3" t="s">
        <v>383</v>
      </c>
      <c r="V369" s="3" t="b">
        <v>1</v>
      </c>
      <c r="W369" s="3" t="b">
        <v>1</v>
      </c>
      <c r="X369" s="3" t="b">
        <v>1</v>
      </c>
      <c r="Y369" s="3" t="b">
        <v>1</v>
      </c>
      <c r="Z369" s="3" t="b">
        <v>1</v>
      </c>
      <c r="AA369" s="3"/>
      <c r="AB369" s="3"/>
      <c r="AC369" s="3"/>
      <c r="AD369" s="3"/>
      <c r="AE369" s="3"/>
      <c r="AF369" s="3" t="s">
        <v>383</v>
      </c>
      <c r="AG369" s="3" t="b">
        <v>1</v>
      </c>
      <c r="AH369" s="3" t="b">
        <v>1</v>
      </c>
      <c r="AI369" s="3" t="b">
        <v>1</v>
      </c>
      <c r="AJ369" s="3" t="b">
        <v>1</v>
      </c>
      <c r="AK369" s="3" t="b">
        <v>1</v>
      </c>
      <c r="AL369" s="3"/>
      <c r="AM369" s="3"/>
      <c r="AN369" s="3"/>
      <c r="AO369" s="3"/>
      <c r="AP369" s="3"/>
      <c r="AQ369" s="3" t="s">
        <v>147</v>
      </c>
      <c r="AR369" s="3" t="b">
        <v>1</v>
      </c>
      <c r="AS369" s="3" t="b">
        <v>1</v>
      </c>
      <c r="AT369" s="3" t="b">
        <v>1</v>
      </c>
      <c r="AU369" s="3" t="b">
        <v>0</v>
      </c>
      <c r="AV369" s="3" t="b">
        <v>1</v>
      </c>
      <c r="AW369" s="3" t="b">
        <f t="shared" si="18"/>
        <v>0</v>
      </c>
      <c r="AX369" s="3" t="b">
        <f t="shared" si="19"/>
        <v>0</v>
      </c>
      <c r="AY369" s="3" t="b">
        <f t="shared" si="20"/>
        <v>0</v>
      </c>
      <c r="AZ369" s="3" t="b">
        <f t="shared" si="21"/>
        <v>1</v>
      </c>
      <c r="BA369" s="3" t="b">
        <f t="shared" si="22"/>
        <v>0</v>
      </c>
      <c r="BB369" s="3" t="b">
        <f t="shared" si="23"/>
        <v>0</v>
      </c>
      <c r="BC369" s="3"/>
      <c r="BD369" s="3" t="s">
        <v>147</v>
      </c>
      <c r="BE369" s="3" t="b">
        <v>1</v>
      </c>
      <c r="BF369" s="3" t="b">
        <v>1</v>
      </c>
      <c r="BG369" s="3" t="b">
        <v>1</v>
      </c>
      <c r="BH369" s="3" t="b">
        <v>0</v>
      </c>
      <c r="BI369" s="3" t="b">
        <v>1</v>
      </c>
      <c r="BJ369" s="3"/>
      <c r="BK369" s="3"/>
      <c r="BL369" s="3"/>
      <c r="BM369" s="3"/>
      <c r="BN369" s="3"/>
      <c r="BO369" s="3" t="s">
        <v>147</v>
      </c>
      <c r="BP369" s="3" t="b">
        <v>1</v>
      </c>
      <c r="BQ369" s="3" t="b">
        <v>1</v>
      </c>
      <c r="BR369" s="3" t="b">
        <v>1</v>
      </c>
      <c r="BS369" s="3" t="b">
        <v>0</v>
      </c>
      <c r="BT369" s="3" t="b">
        <v>1</v>
      </c>
      <c r="BU369" s="3"/>
      <c r="BV369" s="3"/>
      <c r="BW369" s="3"/>
      <c r="BX369" s="3"/>
    </row>
    <row r="370" spans="1:76" x14ac:dyDescent="0.35">
      <c r="A370" s="3"/>
      <c r="B370" s="3"/>
      <c r="C370" s="3" t="s">
        <v>148</v>
      </c>
      <c r="D370" s="3"/>
      <c r="E370" s="5"/>
      <c r="F370" s="3"/>
      <c r="G370" s="3" t="s">
        <v>3786</v>
      </c>
      <c r="H370" s="3" t="s">
        <v>955</v>
      </c>
      <c r="I370" s="3" t="b">
        <v>1</v>
      </c>
      <c r="J370" s="3" t="b">
        <v>1</v>
      </c>
      <c r="K370" s="3" t="b">
        <v>1</v>
      </c>
      <c r="L370" s="3" t="b">
        <v>1</v>
      </c>
      <c r="M370" s="3" t="b">
        <v>1</v>
      </c>
      <c r="N370" s="3" t="b">
        <f t="shared" si="12"/>
        <v>1</v>
      </c>
      <c r="O370" s="3" t="b">
        <f t="shared" si="13"/>
        <v>0</v>
      </c>
      <c r="P370" s="3" t="b">
        <f t="shared" si="14"/>
        <v>0</v>
      </c>
      <c r="Q370" s="3" t="b">
        <f t="shared" si="15"/>
        <v>0</v>
      </c>
      <c r="R370" s="3" t="b">
        <f t="shared" si="16"/>
        <v>0</v>
      </c>
      <c r="S370" s="3" t="b">
        <f t="shared" si="17"/>
        <v>0</v>
      </c>
      <c r="U370" s="3" t="s">
        <v>567</v>
      </c>
      <c r="V370" s="3" t="b">
        <v>1</v>
      </c>
      <c r="W370" s="3" t="b">
        <v>1</v>
      </c>
      <c r="X370" s="3" t="b">
        <v>1</v>
      </c>
      <c r="Y370" s="3" t="b">
        <v>1</v>
      </c>
      <c r="Z370" s="3" t="b">
        <v>1</v>
      </c>
      <c r="AA370" s="3"/>
      <c r="AB370" s="3"/>
      <c r="AC370" s="3"/>
      <c r="AD370" s="3"/>
      <c r="AE370" s="3"/>
      <c r="AF370" s="3" t="s">
        <v>956</v>
      </c>
      <c r="AG370" s="3" t="b">
        <v>1</v>
      </c>
      <c r="AH370" s="3" t="b">
        <v>0</v>
      </c>
      <c r="AI370" s="3" t="b">
        <v>0</v>
      </c>
      <c r="AJ370" s="3" t="b">
        <v>1</v>
      </c>
      <c r="AK370" s="3" t="b">
        <v>0</v>
      </c>
      <c r="AL370" s="3"/>
      <c r="AM370" s="3"/>
      <c r="AN370" s="3"/>
      <c r="AO370" s="3"/>
      <c r="AP370" s="3"/>
      <c r="AQ370" s="3" t="s">
        <v>865</v>
      </c>
      <c r="AR370" s="3" t="b">
        <v>1</v>
      </c>
      <c r="AS370" s="3" t="b">
        <v>1</v>
      </c>
      <c r="AT370" s="3" t="b">
        <v>1</v>
      </c>
      <c r="AU370" s="3" t="b">
        <v>1</v>
      </c>
      <c r="AV370" s="3" t="b">
        <v>1</v>
      </c>
      <c r="AW370" s="3" t="b">
        <f t="shared" si="18"/>
        <v>1</v>
      </c>
      <c r="AX370" s="3" t="b">
        <f t="shared" si="19"/>
        <v>0</v>
      </c>
      <c r="AY370" s="3" t="b">
        <f t="shared" si="20"/>
        <v>0</v>
      </c>
      <c r="AZ370" s="3" t="b">
        <f t="shared" si="21"/>
        <v>0</v>
      </c>
      <c r="BA370" s="3" t="b">
        <f t="shared" si="22"/>
        <v>0</v>
      </c>
      <c r="BB370" s="3" t="b">
        <f t="shared" si="23"/>
        <v>0</v>
      </c>
      <c r="BC370" s="3"/>
      <c r="BD370" s="3" t="s">
        <v>865</v>
      </c>
      <c r="BE370" s="3" t="b">
        <v>1</v>
      </c>
      <c r="BF370" s="3" t="b">
        <v>1</v>
      </c>
      <c r="BG370" s="3" t="b">
        <v>1</v>
      </c>
      <c r="BH370" s="3" t="b">
        <v>1</v>
      </c>
      <c r="BI370" s="3" t="b">
        <v>1</v>
      </c>
      <c r="BJ370" s="3"/>
      <c r="BK370" s="3"/>
      <c r="BL370" s="3"/>
      <c r="BM370" s="3"/>
      <c r="BN370" s="3"/>
      <c r="BO370" s="3" t="s">
        <v>865</v>
      </c>
      <c r="BP370" s="3" t="b">
        <v>1</v>
      </c>
      <c r="BQ370" s="3" t="b">
        <v>1</v>
      </c>
      <c r="BR370" s="3" t="b">
        <v>1</v>
      </c>
      <c r="BS370" s="3" t="b">
        <v>1</v>
      </c>
      <c r="BT370" s="3" t="b">
        <v>1</v>
      </c>
      <c r="BU370" s="3"/>
      <c r="BV370" s="3"/>
      <c r="BW370" s="3"/>
      <c r="BX370" s="3"/>
    </row>
    <row r="371" spans="1:76" x14ac:dyDescent="0.35">
      <c r="A371" s="3"/>
      <c r="B371" s="3"/>
      <c r="C371" s="3" t="s">
        <v>182</v>
      </c>
      <c r="D371" s="3"/>
      <c r="E371" s="5"/>
      <c r="F371" s="3"/>
      <c r="G371" s="3" t="s">
        <v>3787</v>
      </c>
      <c r="H371" s="3" t="s">
        <v>958</v>
      </c>
      <c r="I371" s="3" t="b">
        <v>1</v>
      </c>
      <c r="J371" s="3" t="b">
        <v>1</v>
      </c>
      <c r="K371" s="3" t="b">
        <v>1</v>
      </c>
      <c r="L371" s="3" t="b">
        <v>1</v>
      </c>
      <c r="M371" s="3" t="b">
        <v>1</v>
      </c>
      <c r="N371" s="3" t="b">
        <f t="shared" si="12"/>
        <v>1</v>
      </c>
      <c r="O371" s="3" t="b">
        <f t="shared" si="13"/>
        <v>0</v>
      </c>
      <c r="P371" s="3" t="b">
        <f t="shared" si="14"/>
        <v>0</v>
      </c>
      <c r="Q371" s="3" t="b">
        <f t="shared" si="15"/>
        <v>0</v>
      </c>
      <c r="R371" s="3" t="b">
        <f t="shared" si="16"/>
        <v>0</v>
      </c>
      <c r="S371" s="3" t="b">
        <f t="shared" si="17"/>
        <v>0</v>
      </c>
      <c r="U371" s="3"/>
      <c r="V371" s="3" t="b">
        <v>1</v>
      </c>
      <c r="W371" s="3" t="b">
        <v>0</v>
      </c>
      <c r="X371" s="3" t="b">
        <v>0</v>
      </c>
      <c r="Y371" s="3" t="b">
        <v>0</v>
      </c>
      <c r="Z371" s="3" t="b">
        <v>0</v>
      </c>
      <c r="AA371" s="3"/>
      <c r="AB371" s="3"/>
      <c r="AC371" s="3"/>
      <c r="AD371" s="3"/>
      <c r="AE371" s="3"/>
      <c r="AF371" s="3" t="s">
        <v>959</v>
      </c>
      <c r="AG371" s="3" t="b">
        <v>1</v>
      </c>
      <c r="AH371" s="3" t="b">
        <v>0</v>
      </c>
      <c r="AI371" s="3" t="b">
        <v>0</v>
      </c>
      <c r="AJ371" s="3" t="b">
        <v>1</v>
      </c>
      <c r="AK371" s="3" t="b">
        <v>0</v>
      </c>
      <c r="AL371" s="3"/>
      <c r="AM371" s="3"/>
      <c r="AN371" s="3"/>
      <c r="AO371" s="3"/>
      <c r="AP371" s="3"/>
      <c r="AQ371" s="3" t="s">
        <v>960</v>
      </c>
      <c r="AR371" s="3" t="b">
        <v>1</v>
      </c>
      <c r="AS371" s="3" t="b">
        <v>1</v>
      </c>
      <c r="AT371" s="3" t="b">
        <v>1</v>
      </c>
      <c r="AU371" s="3" t="b">
        <v>1</v>
      </c>
      <c r="AV371" s="3" t="b">
        <v>1</v>
      </c>
      <c r="AW371" s="3" t="b">
        <f t="shared" si="18"/>
        <v>1</v>
      </c>
      <c r="AX371" s="3" t="b">
        <f t="shared" si="19"/>
        <v>0</v>
      </c>
      <c r="AY371" s="3" t="b">
        <f t="shared" si="20"/>
        <v>0</v>
      </c>
      <c r="AZ371" s="3" t="b">
        <f t="shared" si="21"/>
        <v>0</v>
      </c>
      <c r="BA371" s="3" t="b">
        <f t="shared" si="22"/>
        <v>0</v>
      </c>
      <c r="BB371" s="3" t="b">
        <f t="shared" si="23"/>
        <v>0</v>
      </c>
      <c r="BC371" s="3"/>
      <c r="BD371" s="3" t="s">
        <v>961</v>
      </c>
      <c r="BE371" s="3" t="b">
        <v>1</v>
      </c>
      <c r="BF371" s="3" t="b">
        <v>0</v>
      </c>
      <c r="BG371" s="3" t="b">
        <v>0</v>
      </c>
      <c r="BH371" s="3" t="b">
        <v>0</v>
      </c>
      <c r="BI371" s="3" t="b">
        <v>0</v>
      </c>
      <c r="BJ371" s="3"/>
      <c r="BK371" s="3"/>
      <c r="BL371" s="3"/>
      <c r="BM371" s="3"/>
      <c r="BN371" s="3"/>
      <c r="BO371" s="3" t="s">
        <v>445</v>
      </c>
      <c r="BP371" s="3" t="b">
        <v>1</v>
      </c>
      <c r="BQ371" s="3" t="b">
        <v>0</v>
      </c>
      <c r="BR371" s="3" t="b">
        <v>0</v>
      </c>
      <c r="BS371" s="3" t="b">
        <v>1</v>
      </c>
      <c r="BT371" s="3" t="b">
        <v>0</v>
      </c>
      <c r="BU371" s="3"/>
      <c r="BV371" s="3"/>
      <c r="BW371" s="3"/>
      <c r="BX371" s="3"/>
    </row>
    <row r="372" spans="1:76" x14ac:dyDescent="0.35">
      <c r="A372" s="3"/>
      <c r="B372" s="3" t="s">
        <v>962</v>
      </c>
      <c r="C372" s="3" t="s">
        <v>871</v>
      </c>
      <c r="D372" s="3" t="s">
        <v>814</v>
      </c>
      <c r="E372" s="3" t="s">
        <v>815</v>
      </c>
      <c r="F372" s="3"/>
      <c r="G372" s="3" t="s">
        <v>3788</v>
      </c>
      <c r="H372" s="3" t="s">
        <v>963</v>
      </c>
      <c r="I372" s="3" t="b">
        <v>1</v>
      </c>
      <c r="J372" s="3" t="b">
        <v>1</v>
      </c>
      <c r="K372" s="3" t="b">
        <v>1</v>
      </c>
      <c r="L372" s="3" t="b">
        <v>0</v>
      </c>
      <c r="M372" s="3" t="b">
        <v>0</v>
      </c>
      <c r="N372" s="3" t="b">
        <f t="shared" si="12"/>
        <v>0</v>
      </c>
      <c r="O372" s="3" t="b">
        <f t="shared" si="13"/>
        <v>0</v>
      </c>
      <c r="P372" s="3" t="b">
        <f t="shared" si="14"/>
        <v>1</v>
      </c>
      <c r="Q372" s="3" t="b">
        <f t="shared" si="15"/>
        <v>0</v>
      </c>
      <c r="R372" s="3" t="b">
        <f t="shared" si="16"/>
        <v>1</v>
      </c>
      <c r="S372" s="3" t="b">
        <f t="shared" si="17"/>
        <v>0</v>
      </c>
      <c r="U372" s="3" t="s">
        <v>963</v>
      </c>
      <c r="V372" s="3" t="b">
        <v>1</v>
      </c>
      <c r="W372" s="3" t="b">
        <v>1</v>
      </c>
      <c r="X372" s="3" t="b">
        <v>1</v>
      </c>
      <c r="Y372" s="3" t="b">
        <v>0</v>
      </c>
      <c r="Z372" s="3" t="b">
        <v>0</v>
      </c>
      <c r="AA372" s="3"/>
      <c r="AB372" s="3"/>
      <c r="AC372" s="3"/>
      <c r="AD372" s="3"/>
      <c r="AE372" s="3"/>
      <c r="AF372" s="3" t="s">
        <v>964</v>
      </c>
      <c r="AG372" s="3" t="b">
        <v>1</v>
      </c>
      <c r="AH372" s="3" t="b">
        <v>1</v>
      </c>
      <c r="AI372" s="3" t="b">
        <v>1</v>
      </c>
      <c r="AJ372" s="3" t="b">
        <v>1</v>
      </c>
      <c r="AK372" s="3" t="b">
        <v>0</v>
      </c>
      <c r="AL372" s="3"/>
      <c r="AM372" s="3"/>
      <c r="AN372" s="3"/>
      <c r="AO372" s="3"/>
      <c r="AP372" s="3"/>
      <c r="AQ372" s="3" t="s">
        <v>965</v>
      </c>
      <c r="AR372" s="3" t="b">
        <v>1</v>
      </c>
      <c r="AS372" s="3" t="b">
        <v>1</v>
      </c>
      <c r="AT372" s="3" t="b">
        <v>1</v>
      </c>
      <c r="AU372" s="3" t="b">
        <v>0</v>
      </c>
      <c r="AV372" s="3" t="b">
        <v>0</v>
      </c>
      <c r="AW372" s="3" t="b">
        <f t="shared" si="18"/>
        <v>0</v>
      </c>
      <c r="AX372" s="3" t="b">
        <f t="shared" si="19"/>
        <v>0</v>
      </c>
      <c r="AY372" s="3" t="b">
        <f t="shared" si="20"/>
        <v>1</v>
      </c>
      <c r="AZ372" s="3" t="b">
        <f t="shared" si="21"/>
        <v>0</v>
      </c>
      <c r="BA372" s="3" t="b">
        <f t="shared" si="22"/>
        <v>1</v>
      </c>
      <c r="BB372" s="3" t="b">
        <f t="shared" si="23"/>
        <v>0</v>
      </c>
      <c r="BC372" s="3"/>
      <c r="BD372" s="3" t="s">
        <v>965</v>
      </c>
      <c r="BE372" s="3" t="b">
        <v>1</v>
      </c>
      <c r="BF372" s="3" t="b">
        <v>1</v>
      </c>
      <c r="BG372" s="3" t="b">
        <v>1</v>
      </c>
      <c r="BH372" s="3" t="b">
        <v>0</v>
      </c>
      <c r="BI372" s="3" t="b">
        <v>0</v>
      </c>
      <c r="BJ372" s="3"/>
      <c r="BK372" s="3"/>
      <c r="BL372" s="3"/>
      <c r="BM372" s="3"/>
      <c r="BN372" s="3"/>
      <c r="BO372" s="3" t="s">
        <v>965</v>
      </c>
      <c r="BP372" s="3" t="b">
        <v>1</v>
      </c>
      <c r="BQ372" s="3" t="b">
        <v>1</v>
      </c>
      <c r="BR372" s="3" t="b">
        <v>1</v>
      </c>
      <c r="BS372" s="3" t="b">
        <v>0</v>
      </c>
      <c r="BT372" s="3" t="b">
        <v>0</v>
      </c>
      <c r="BU372" s="3"/>
      <c r="BV372" s="3"/>
      <c r="BW372" s="3"/>
      <c r="BX372" s="3"/>
    </row>
    <row r="373" spans="1:76" x14ac:dyDescent="0.35">
      <c r="A373" s="3"/>
      <c r="B373" s="3"/>
      <c r="C373" s="3" t="s">
        <v>876</v>
      </c>
      <c r="D373" s="3" t="s">
        <v>174</v>
      </c>
      <c r="E373" s="3" t="s">
        <v>175</v>
      </c>
      <c r="F373" s="3"/>
      <c r="G373" s="3" t="s">
        <v>3789</v>
      </c>
      <c r="H373" s="3" t="s">
        <v>967</v>
      </c>
      <c r="I373" s="3" t="b">
        <v>1</v>
      </c>
      <c r="J373" s="3" t="b">
        <v>1</v>
      </c>
      <c r="K373" s="3" t="b">
        <v>1</v>
      </c>
      <c r="L373" s="3" t="b">
        <v>1</v>
      </c>
      <c r="M373" s="3" t="b">
        <v>1</v>
      </c>
      <c r="N373" s="3" t="b">
        <f t="shared" si="12"/>
        <v>1</v>
      </c>
      <c r="O373" s="3" t="b">
        <f t="shared" si="13"/>
        <v>0</v>
      </c>
      <c r="P373" s="3" t="b">
        <f t="shared" si="14"/>
        <v>0</v>
      </c>
      <c r="Q373" s="3" t="b">
        <f t="shared" si="15"/>
        <v>0</v>
      </c>
      <c r="R373" s="3" t="b">
        <f t="shared" si="16"/>
        <v>0</v>
      </c>
      <c r="S373" s="3" t="b">
        <f t="shared" si="17"/>
        <v>0</v>
      </c>
      <c r="U373" s="3" t="s">
        <v>968</v>
      </c>
      <c r="V373" s="3" t="b">
        <v>1</v>
      </c>
      <c r="W373" s="3" t="b">
        <v>1</v>
      </c>
      <c r="X373" s="3" t="b">
        <v>1</v>
      </c>
      <c r="Y373" s="3" t="b">
        <v>1</v>
      </c>
      <c r="Z373" s="3" t="b">
        <v>1</v>
      </c>
      <c r="AA373" s="3"/>
      <c r="AB373" s="3"/>
      <c r="AC373" s="3"/>
      <c r="AD373" s="3"/>
      <c r="AE373" s="3"/>
      <c r="AF373" s="3"/>
      <c r="AG373" s="3" t="b">
        <v>1</v>
      </c>
      <c r="AH373" s="3" t="b">
        <v>0</v>
      </c>
      <c r="AI373" s="3" t="b">
        <v>0</v>
      </c>
      <c r="AJ373" s="3" t="b">
        <v>0</v>
      </c>
      <c r="AK373" s="3" t="b">
        <v>0</v>
      </c>
      <c r="AL373" s="3"/>
      <c r="AM373" s="3"/>
      <c r="AN373" s="3"/>
      <c r="AO373" s="3"/>
      <c r="AP373" s="3"/>
      <c r="AQ373" s="3" t="s">
        <v>969</v>
      </c>
      <c r="AR373" s="3" t="b">
        <v>1</v>
      </c>
      <c r="AS373" s="3" t="b">
        <v>1</v>
      </c>
      <c r="AT373" s="3" t="b">
        <v>1</v>
      </c>
      <c r="AU373" s="3" t="b">
        <v>0</v>
      </c>
      <c r="AV373" s="3" t="b">
        <v>1</v>
      </c>
      <c r="AW373" s="3" t="b">
        <f t="shared" si="18"/>
        <v>0</v>
      </c>
      <c r="AX373" s="3" t="b">
        <f t="shared" si="19"/>
        <v>0</v>
      </c>
      <c r="AY373" s="3" t="b">
        <f t="shared" si="20"/>
        <v>0</v>
      </c>
      <c r="AZ373" s="3" t="b">
        <f t="shared" si="21"/>
        <v>1</v>
      </c>
      <c r="BA373" s="3" t="b">
        <f t="shared" si="22"/>
        <v>0</v>
      </c>
      <c r="BB373" s="3" t="b">
        <f t="shared" si="23"/>
        <v>0</v>
      </c>
      <c r="BC373" s="3"/>
      <c r="BD373" s="3" t="s">
        <v>970</v>
      </c>
      <c r="BE373" s="3" t="b">
        <v>1</v>
      </c>
      <c r="BF373" s="3" t="b">
        <v>1</v>
      </c>
      <c r="BG373" s="3" t="b">
        <v>1</v>
      </c>
      <c r="BH373" s="3" t="b">
        <v>1</v>
      </c>
      <c r="BI373" s="3" t="b">
        <v>1</v>
      </c>
      <c r="BJ373" s="3"/>
      <c r="BK373" s="3"/>
      <c r="BL373" s="3"/>
      <c r="BM373" s="3"/>
      <c r="BN373" s="3"/>
      <c r="BO373" s="3" t="s">
        <v>970</v>
      </c>
      <c r="BP373" s="3" t="b">
        <v>1</v>
      </c>
      <c r="BQ373" s="3" t="b">
        <v>1</v>
      </c>
      <c r="BR373" s="3" t="b">
        <v>1</v>
      </c>
      <c r="BS373" s="3" t="b">
        <v>1</v>
      </c>
      <c r="BT373" s="3" t="b">
        <v>1</v>
      </c>
      <c r="BU373" s="3"/>
      <c r="BV373" s="3"/>
      <c r="BW373" s="3"/>
      <c r="BX373" s="3"/>
    </row>
    <row r="374" spans="1:76" x14ac:dyDescent="0.35">
      <c r="A374" s="3"/>
      <c r="B374" s="3"/>
      <c r="C374" s="3" t="s">
        <v>883</v>
      </c>
      <c r="D374" s="3"/>
      <c r="E374" s="3"/>
      <c r="F374" s="3"/>
      <c r="G374" s="3" t="s">
        <v>3790</v>
      </c>
      <c r="H374" s="3" t="s">
        <v>972</v>
      </c>
      <c r="I374" s="3" t="b">
        <v>1</v>
      </c>
      <c r="J374" s="3" t="b">
        <v>1</v>
      </c>
      <c r="K374" s="3" t="b">
        <v>1</v>
      </c>
      <c r="L374" s="3" t="b">
        <v>1</v>
      </c>
      <c r="M374" s="3" t="b">
        <v>1</v>
      </c>
      <c r="N374" s="3" t="b">
        <f t="shared" si="12"/>
        <v>1</v>
      </c>
      <c r="O374" s="3" t="b">
        <f t="shared" si="13"/>
        <v>0</v>
      </c>
      <c r="P374" s="3" t="b">
        <f t="shared" si="14"/>
        <v>0</v>
      </c>
      <c r="Q374" s="3" t="b">
        <f t="shared" si="15"/>
        <v>0</v>
      </c>
      <c r="R374" s="3" t="b">
        <f t="shared" si="16"/>
        <v>0</v>
      </c>
      <c r="S374" s="3" t="b">
        <f t="shared" si="17"/>
        <v>0</v>
      </c>
      <c r="U374" s="3" t="s">
        <v>973</v>
      </c>
      <c r="V374" s="3" t="b">
        <v>1</v>
      </c>
      <c r="W374" s="3" t="b">
        <v>1</v>
      </c>
      <c r="X374" s="3" t="b">
        <v>1</v>
      </c>
      <c r="Y374" s="3" t="b">
        <v>1</v>
      </c>
      <c r="Z374" s="3" t="b">
        <v>1</v>
      </c>
      <c r="AA374" s="3"/>
      <c r="AB374" s="3"/>
      <c r="AC374" s="3"/>
      <c r="AD374" s="3"/>
      <c r="AE374" s="3"/>
      <c r="AF374" s="3" t="s">
        <v>974</v>
      </c>
      <c r="AG374" s="3" t="b">
        <v>1</v>
      </c>
      <c r="AH374" s="3" t="b">
        <v>1</v>
      </c>
      <c r="AI374" s="3" t="b">
        <v>1</v>
      </c>
      <c r="AJ374" s="3" t="b">
        <v>1</v>
      </c>
      <c r="AK374" s="3" t="b">
        <v>1</v>
      </c>
      <c r="AL374" s="3"/>
      <c r="AM374" s="3"/>
      <c r="AN374" s="3"/>
      <c r="AO374" s="3"/>
      <c r="AP374" s="3"/>
      <c r="AQ374" s="3" t="s">
        <v>975</v>
      </c>
      <c r="AR374" s="3" t="b">
        <v>1</v>
      </c>
      <c r="AS374" s="3" t="b">
        <v>0</v>
      </c>
      <c r="AT374" s="3" t="b">
        <v>0</v>
      </c>
      <c r="AU374" s="3" t="b">
        <v>1</v>
      </c>
      <c r="AV374" s="3" t="b">
        <v>0</v>
      </c>
      <c r="AW374" s="3" t="b">
        <f t="shared" si="18"/>
        <v>0</v>
      </c>
      <c r="AX374" s="3" t="b">
        <f t="shared" si="19"/>
        <v>0</v>
      </c>
      <c r="AY374" s="3" t="b">
        <f t="shared" si="20"/>
        <v>1</v>
      </c>
      <c r="AZ374" s="3" t="b">
        <f t="shared" si="21"/>
        <v>0</v>
      </c>
      <c r="BA374" s="3" t="b">
        <f t="shared" si="22"/>
        <v>0</v>
      </c>
      <c r="BB374" s="3" t="b">
        <f t="shared" si="23"/>
        <v>0</v>
      </c>
      <c r="BC374" s="3"/>
      <c r="BD374" s="3" t="s">
        <v>976</v>
      </c>
      <c r="BE374" s="3" t="b">
        <v>1</v>
      </c>
      <c r="BF374" s="3" t="b">
        <v>1</v>
      </c>
      <c r="BG374" s="3" t="b">
        <v>1</v>
      </c>
      <c r="BH374" s="3" t="b">
        <v>1</v>
      </c>
      <c r="BI374" s="3" t="b">
        <v>1</v>
      </c>
      <c r="BJ374" s="3"/>
      <c r="BK374" s="3"/>
      <c r="BL374" s="3"/>
      <c r="BM374" s="3"/>
      <c r="BN374" s="3"/>
      <c r="BO374" s="3" t="s">
        <v>977</v>
      </c>
      <c r="BP374" s="3" t="b">
        <v>1</v>
      </c>
      <c r="BQ374" s="3" t="b">
        <v>0</v>
      </c>
      <c r="BR374" s="3" t="b">
        <v>0</v>
      </c>
      <c r="BS374" s="3" t="b">
        <v>1</v>
      </c>
      <c r="BT374" s="3" t="b">
        <v>0</v>
      </c>
      <c r="BU374" s="3"/>
      <c r="BV374" s="3"/>
      <c r="BW374" s="3"/>
      <c r="BX374" s="3"/>
    </row>
    <row r="375" spans="1:76" x14ac:dyDescent="0.35">
      <c r="A375" s="3"/>
      <c r="B375" s="3"/>
      <c r="C375" s="3"/>
      <c r="D375" s="3"/>
      <c r="E375" s="3"/>
      <c r="F375" s="3"/>
      <c r="G375" s="3"/>
      <c r="H375" s="3"/>
      <c r="I375" s="3"/>
      <c r="J375" s="3"/>
      <c r="K375" s="3"/>
      <c r="L375" s="3"/>
      <c r="M375" s="3"/>
      <c r="N375" s="3">
        <f t="shared" si="12"/>
        <v>0</v>
      </c>
      <c r="O375" s="3">
        <f t="shared" si="13"/>
        <v>0</v>
      </c>
      <c r="P375" s="3">
        <f t="shared" si="14"/>
        <v>0</v>
      </c>
      <c r="Q375" s="3">
        <f t="shared" si="15"/>
        <v>0</v>
      </c>
      <c r="R375" s="3">
        <f t="shared" si="16"/>
        <v>0</v>
      </c>
      <c r="S375" s="3">
        <f t="shared" si="17"/>
        <v>0</v>
      </c>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f t="shared" si="18"/>
        <v>0</v>
      </c>
      <c r="AX375" s="3">
        <f t="shared" si="19"/>
        <v>0</v>
      </c>
      <c r="AY375" s="3">
        <f t="shared" si="20"/>
        <v>0</v>
      </c>
      <c r="AZ375" s="3">
        <f t="shared" si="21"/>
        <v>0</v>
      </c>
      <c r="BA375" s="3">
        <f t="shared" si="22"/>
        <v>0</v>
      </c>
      <c r="BB375" s="3">
        <f t="shared" si="23"/>
        <v>0</v>
      </c>
      <c r="BC375" s="3"/>
      <c r="BD375" s="3"/>
      <c r="BE375" s="3"/>
      <c r="BF375" s="3"/>
      <c r="BG375" s="3"/>
      <c r="BH375" s="3"/>
      <c r="BI375" s="3"/>
      <c r="BJ375" s="3"/>
      <c r="BK375" s="3"/>
      <c r="BL375" s="3"/>
      <c r="BM375" s="3"/>
      <c r="BN375" s="3"/>
      <c r="BO375" s="3"/>
      <c r="BP375" s="3"/>
      <c r="BQ375" s="3"/>
      <c r="BR375" s="3"/>
      <c r="BS375" s="3"/>
      <c r="BT375" s="3"/>
      <c r="BU375" s="3"/>
      <c r="BV375" s="3"/>
      <c r="BW375" s="3"/>
      <c r="BX375" s="3"/>
    </row>
    <row r="376" spans="1:76" x14ac:dyDescent="0.35">
      <c r="A376" s="3" t="s">
        <v>978</v>
      </c>
      <c r="B376" s="3" t="s">
        <v>979</v>
      </c>
      <c r="C376" s="3" t="s">
        <v>29</v>
      </c>
      <c r="D376" s="3"/>
      <c r="E376" s="3"/>
      <c r="F376" s="3"/>
      <c r="G376" s="3" t="s">
        <v>3791</v>
      </c>
      <c r="H376" s="3" t="s">
        <v>31</v>
      </c>
      <c r="I376" s="3" t="b">
        <v>1</v>
      </c>
      <c r="J376" s="3" t="b">
        <v>1</v>
      </c>
      <c r="K376" s="3" t="b">
        <v>1</v>
      </c>
      <c r="L376" s="3" t="b">
        <v>1</v>
      </c>
      <c r="M376" s="3" t="b">
        <v>1</v>
      </c>
      <c r="N376" s="3" t="b">
        <f t="shared" si="12"/>
        <v>1</v>
      </c>
      <c r="O376" s="3" t="b">
        <f t="shared" si="13"/>
        <v>0</v>
      </c>
      <c r="P376" s="3" t="b">
        <f t="shared" si="14"/>
        <v>0</v>
      </c>
      <c r="Q376" s="3" t="b">
        <f t="shared" si="15"/>
        <v>0</v>
      </c>
      <c r="R376" s="3" t="b">
        <f t="shared" si="16"/>
        <v>0</v>
      </c>
      <c r="S376" s="3" t="b">
        <f t="shared" si="17"/>
        <v>0</v>
      </c>
      <c r="U376" s="3" t="s">
        <v>31</v>
      </c>
      <c r="V376" s="3" t="b">
        <v>1</v>
      </c>
      <c r="W376" s="3" t="b">
        <v>1</v>
      </c>
      <c r="X376" s="3" t="b">
        <v>1</v>
      </c>
      <c r="Y376" s="3" t="b">
        <v>1</v>
      </c>
      <c r="Z376" s="3" t="b">
        <v>1</v>
      </c>
      <c r="AA376" s="3"/>
      <c r="AB376" s="3"/>
      <c r="AC376" s="3"/>
      <c r="AD376" s="3"/>
      <c r="AE376" s="3"/>
      <c r="AF376" s="3" t="s">
        <v>31</v>
      </c>
      <c r="AG376" s="3" t="b">
        <v>1</v>
      </c>
      <c r="AH376" s="3" t="b">
        <v>1</v>
      </c>
      <c r="AI376" s="3" t="b">
        <v>1</v>
      </c>
      <c r="AJ376" s="3" t="b">
        <v>1</v>
      </c>
      <c r="AK376" s="3" t="b">
        <v>1</v>
      </c>
      <c r="AL376" s="3"/>
      <c r="AM376" s="3"/>
      <c r="AN376" s="3"/>
      <c r="AO376" s="3"/>
      <c r="AP376" s="3"/>
      <c r="AQ376" s="3" t="s">
        <v>31</v>
      </c>
      <c r="AR376" s="3" t="b">
        <v>1</v>
      </c>
      <c r="AS376" s="3" t="b">
        <v>1</v>
      </c>
      <c r="AT376" s="3" t="b">
        <v>1</v>
      </c>
      <c r="AU376" s="3" t="b">
        <v>1</v>
      </c>
      <c r="AV376" s="3" t="b">
        <v>1</v>
      </c>
      <c r="AW376" s="3" t="b">
        <f t="shared" si="18"/>
        <v>1</v>
      </c>
      <c r="AX376" s="3" t="b">
        <f t="shared" si="19"/>
        <v>0</v>
      </c>
      <c r="AY376" s="3" t="b">
        <f t="shared" si="20"/>
        <v>0</v>
      </c>
      <c r="AZ376" s="3" t="b">
        <f t="shared" si="21"/>
        <v>0</v>
      </c>
      <c r="BA376" s="3" t="b">
        <f t="shared" si="22"/>
        <v>0</v>
      </c>
      <c r="BB376" s="3" t="b">
        <f t="shared" si="23"/>
        <v>0</v>
      </c>
      <c r="BC376" s="3"/>
      <c r="BD376" s="3" t="s">
        <v>31</v>
      </c>
      <c r="BE376" s="3" t="b">
        <v>1</v>
      </c>
      <c r="BF376" s="3" t="b">
        <v>1</v>
      </c>
      <c r="BG376" s="3" t="b">
        <v>1</v>
      </c>
      <c r="BH376" s="3" t="b">
        <v>1</v>
      </c>
      <c r="BI376" s="3" t="b">
        <v>1</v>
      </c>
      <c r="BJ376" s="3"/>
      <c r="BK376" s="3"/>
      <c r="BL376" s="3"/>
      <c r="BM376" s="3"/>
      <c r="BN376" s="3"/>
      <c r="BO376" s="3" t="s">
        <v>31</v>
      </c>
      <c r="BP376" s="3" t="b">
        <v>1</v>
      </c>
      <c r="BQ376" s="3" t="b">
        <v>1</v>
      </c>
      <c r="BR376" s="3" t="b">
        <v>1</v>
      </c>
      <c r="BS376" s="3" t="b">
        <v>1</v>
      </c>
      <c r="BT376" s="3" t="b">
        <v>1</v>
      </c>
      <c r="BU376" s="3"/>
      <c r="BV376" s="3"/>
      <c r="BW376" s="3"/>
      <c r="BX376" s="3"/>
    </row>
    <row r="377" spans="1:76" x14ac:dyDescent="0.35">
      <c r="A377" s="3"/>
      <c r="B377" s="3" t="s">
        <v>981</v>
      </c>
      <c r="C377" s="3" t="s">
        <v>982</v>
      </c>
      <c r="D377" s="3" t="s">
        <v>983</v>
      </c>
      <c r="E377" s="3" t="s">
        <v>984</v>
      </c>
      <c r="F377" s="3"/>
      <c r="G377" s="3" t="s">
        <v>3792</v>
      </c>
      <c r="H377" s="3" t="s">
        <v>986</v>
      </c>
      <c r="I377" s="3" t="b">
        <v>1</v>
      </c>
      <c r="J377" s="3" t="b">
        <v>0</v>
      </c>
      <c r="K377" s="3" t="b">
        <v>0</v>
      </c>
      <c r="L377" s="3" t="b">
        <v>1</v>
      </c>
      <c r="M377" s="3" t="b">
        <v>0</v>
      </c>
      <c r="N377" s="3" t="b">
        <f t="shared" si="12"/>
        <v>0</v>
      </c>
      <c r="O377" s="3" t="b">
        <f t="shared" si="13"/>
        <v>0</v>
      </c>
      <c r="P377" s="3" t="b">
        <f t="shared" si="14"/>
        <v>1</v>
      </c>
      <c r="Q377" s="3" t="b">
        <f t="shared" si="15"/>
        <v>0</v>
      </c>
      <c r="R377" s="3" t="b">
        <f t="shared" si="16"/>
        <v>0</v>
      </c>
      <c r="S377" s="3" t="b">
        <f t="shared" si="17"/>
        <v>0</v>
      </c>
      <c r="U377" s="3" t="s">
        <v>986</v>
      </c>
      <c r="V377" s="3" t="b">
        <v>1</v>
      </c>
      <c r="W377" s="3" t="b">
        <v>0</v>
      </c>
      <c r="X377" s="3" t="b">
        <v>0</v>
      </c>
      <c r="Y377" s="3" t="b">
        <v>1</v>
      </c>
      <c r="Z377" s="3" t="b">
        <v>0</v>
      </c>
      <c r="AA377" s="3"/>
      <c r="AB377" s="3"/>
      <c r="AC377" s="3"/>
      <c r="AD377" s="3"/>
      <c r="AE377" s="3"/>
      <c r="AF377" s="3" t="s">
        <v>986</v>
      </c>
      <c r="AG377" s="3" t="b">
        <v>1</v>
      </c>
      <c r="AH377" s="3" t="b">
        <v>0</v>
      </c>
      <c r="AI377" s="3" t="b">
        <v>0</v>
      </c>
      <c r="AJ377" s="3" t="b">
        <v>1</v>
      </c>
      <c r="AK377" s="3" t="b">
        <v>0</v>
      </c>
      <c r="AL377" s="3"/>
      <c r="AM377" s="3"/>
      <c r="AN377" s="3"/>
      <c r="AO377" s="3"/>
      <c r="AP377" s="3"/>
      <c r="AQ377" s="3" t="s">
        <v>987</v>
      </c>
      <c r="AR377" s="3" t="b">
        <v>1</v>
      </c>
      <c r="AS377" s="3" t="b">
        <v>1</v>
      </c>
      <c r="AT377" s="3" t="b">
        <v>1</v>
      </c>
      <c r="AU377" s="3" t="b">
        <v>1</v>
      </c>
      <c r="AV377" s="3" t="b">
        <v>1</v>
      </c>
      <c r="AW377" s="3" t="b">
        <f t="shared" si="18"/>
        <v>1</v>
      </c>
      <c r="AX377" s="3" t="b">
        <f t="shared" si="19"/>
        <v>0</v>
      </c>
      <c r="AY377" s="3" t="b">
        <f t="shared" si="20"/>
        <v>0</v>
      </c>
      <c r="AZ377" s="3" t="b">
        <f t="shared" si="21"/>
        <v>0</v>
      </c>
      <c r="BA377" s="3" t="b">
        <f t="shared" si="22"/>
        <v>0</v>
      </c>
      <c r="BB377" s="3" t="b">
        <f t="shared" si="23"/>
        <v>0</v>
      </c>
      <c r="BC377" s="3"/>
      <c r="BD377" s="3" t="s">
        <v>987</v>
      </c>
      <c r="BE377" s="3" t="b">
        <v>1</v>
      </c>
      <c r="BF377" s="3" t="b">
        <v>1</v>
      </c>
      <c r="BG377" s="3" t="b">
        <v>1</v>
      </c>
      <c r="BH377" s="3" t="b">
        <v>1</v>
      </c>
      <c r="BI377" s="3" t="b">
        <v>1</v>
      </c>
      <c r="BJ377" s="3"/>
      <c r="BK377" s="3"/>
      <c r="BL377" s="3"/>
      <c r="BM377" s="3"/>
      <c r="BN377" s="3"/>
      <c r="BO377" s="3" t="s">
        <v>987</v>
      </c>
      <c r="BP377" s="3" t="b">
        <v>1</v>
      </c>
      <c r="BQ377" s="3" t="b">
        <v>1</v>
      </c>
      <c r="BR377" s="3" t="b">
        <v>1</v>
      </c>
      <c r="BS377" s="3" t="b">
        <v>1</v>
      </c>
      <c r="BT377" s="3" t="b">
        <v>1</v>
      </c>
      <c r="BU377" s="3"/>
      <c r="BV377" s="3"/>
      <c r="BW377" s="3"/>
      <c r="BX377" s="3"/>
    </row>
    <row r="378" spans="1:76" x14ac:dyDescent="0.35">
      <c r="A378" s="3"/>
      <c r="B378" s="3" t="s">
        <v>988</v>
      </c>
      <c r="C378" s="3" t="s">
        <v>33</v>
      </c>
      <c r="D378" s="3" t="s">
        <v>989</v>
      </c>
      <c r="E378" s="3" t="s">
        <v>35</v>
      </c>
      <c r="F378" s="3"/>
      <c r="G378" s="3" t="s">
        <v>3793</v>
      </c>
      <c r="H378" s="3" t="s">
        <v>37</v>
      </c>
      <c r="I378" s="3" t="b">
        <v>1</v>
      </c>
      <c r="J378" s="3" t="b">
        <v>1</v>
      </c>
      <c r="K378" s="3" t="b">
        <v>1</v>
      </c>
      <c r="L378" s="3" t="b">
        <v>1</v>
      </c>
      <c r="M378" s="3" t="b">
        <v>1</v>
      </c>
      <c r="N378" s="3" t="b">
        <f t="shared" si="12"/>
        <v>1</v>
      </c>
      <c r="O378" s="3" t="b">
        <f t="shared" si="13"/>
        <v>0</v>
      </c>
      <c r="P378" s="3" t="b">
        <f t="shared" si="14"/>
        <v>0</v>
      </c>
      <c r="Q378" s="3" t="b">
        <f t="shared" si="15"/>
        <v>0</v>
      </c>
      <c r="R378" s="3" t="b">
        <f t="shared" si="16"/>
        <v>0</v>
      </c>
      <c r="S378" s="3" t="b">
        <f t="shared" si="17"/>
        <v>0</v>
      </c>
      <c r="U378" s="3" t="s">
        <v>37</v>
      </c>
      <c r="V378" s="3" t="b">
        <v>1</v>
      </c>
      <c r="W378" s="3" t="b">
        <v>1</v>
      </c>
      <c r="X378" s="3" t="b">
        <v>1</v>
      </c>
      <c r="Y378" s="3" t="b">
        <v>1</v>
      </c>
      <c r="Z378" s="3" t="b">
        <v>1</v>
      </c>
      <c r="AA378" s="3"/>
      <c r="AB378" s="3"/>
      <c r="AC378" s="3"/>
      <c r="AD378" s="3"/>
      <c r="AE378" s="3"/>
      <c r="AF378" s="3" t="s">
        <v>217</v>
      </c>
      <c r="AG378" s="3" t="b">
        <v>1</v>
      </c>
      <c r="AH378" s="3" t="b">
        <v>1</v>
      </c>
      <c r="AI378" s="3" t="b">
        <v>1</v>
      </c>
      <c r="AJ378" s="3" t="b">
        <v>1</v>
      </c>
      <c r="AK378" s="3" t="b">
        <v>1</v>
      </c>
      <c r="AL378" s="3"/>
      <c r="AM378" s="3"/>
      <c r="AN378" s="3"/>
      <c r="AO378" s="3"/>
      <c r="AP378" s="3"/>
      <c r="AQ378" s="3" t="s">
        <v>37</v>
      </c>
      <c r="AR378" s="3" t="b">
        <v>1</v>
      </c>
      <c r="AS378" s="3" t="b">
        <v>1</v>
      </c>
      <c r="AT378" s="3" t="b">
        <v>1</v>
      </c>
      <c r="AU378" s="3" t="b">
        <v>1</v>
      </c>
      <c r="AV378" s="3" t="b">
        <v>1</v>
      </c>
      <c r="AW378" s="3" t="b">
        <f t="shared" si="18"/>
        <v>1</v>
      </c>
      <c r="AX378" s="3" t="b">
        <f t="shared" si="19"/>
        <v>0</v>
      </c>
      <c r="AY378" s="3" t="b">
        <f t="shared" si="20"/>
        <v>0</v>
      </c>
      <c r="AZ378" s="3" t="b">
        <f t="shared" si="21"/>
        <v>0</v>
      </c>
      <c r="BA378" s="3" t="b">
        <f t="shared" si="22"/>
        <v>0</v>
      </c>
      <c r="BB378" s="3" t="b">
        <f t="shared" si="23"/>
        <v>0</v>
      </c>
      <c r="BC378" s="3"/>
      <c r="BD378" s="3" t="s">
        <v>37</v>
      </c>
      <c r="BE378" s="3" t="b">
        <v>1</v>
      </c>
      <c r="BF378" s="3" t="b">
        <v>1</v>
      </c>
      <c r="BG378" s="3" t="b">
        <v>1</v>
      </c>
      <c r="BH378" s="3" t="b">
        <v>1</v>
      </c>
      <c r="BI378" s="3" t="b">
        <v>1</v>
      </c>
      <c r="BJ378" s="3"/>
      <c r="BK378" s="3"/>
      <c r="BL378" s="3"/>
      <c r="BM378" s="3"/>
      <c r="BN378" s="3"/>
      <c r="BO378" s="3" t="s">
        <v>37</v>
      </c>
      <c r="BP378" s="3" t="b">
        <v>1</v>
      </c>
      <c r="BQ378" s="3" t="b">
        <v>1</v>
      </c>
      <c r="BR378" s="3" t="b">
        <v>1</v>
      </c>
      <c r="BS378" s="3" t="b">
        <v>1</v>
      </c>
      <c r="BT378" s="3" t="b">
        <v>1</v>
      </c>
      <c r="BU378" s="3"/>
      <c r="BV378" s="3"/>
      <c r="BW378" s="3"/>
      <c r="BX378" s="3"/>
    </row>
    <row r="379" spans="1:76" x14ac:dyDescent="0.35">
      <c r="A379" s="3"/>
      <c r="B379" s="3"/>
      <c r="C379" s="3" t="s">
        <v>991</v>
      </c>
      <c r="D379" s="3"/>
      <c r="E379" s="3"/>
      <c r="F379" s="3"/>
      <c r="G379" s="3" t="s">
        <v>3794</v>
      </c>
      <c r="H379" s="3" t="s">
        <v>993</v>
      </c>
      <c r="I379" s="3" t="b">
        <v>1</v>
      </c>
      <c r="J379" s="3" t="b">
        <v>0</v>
      </c>
      <c r="K379" s="3" t="b">
        <v>0</v>
      </c>
      <c r="L379" s="3" t="b">
        <v>1</v>
      </c>
      <c r="M379" s="3" t="b">
        <v>0</v>
      </c>
      <c r="N379" s="3" t="b">
        <f t="shared" si="12"/>
        <v>0</v>
      </c>
      <c r="O379" s="3" t="b">
        <f t="shared" si="13"/>
        <v>0</v>
      </c>
      <c r="P379" s="3" t="b">
        <f t="shared" si="14"/>
        <v>1</v>
      </c>
      <c r="Q379" s="3" t="b">
        <f t="shared" si="15"/>
        <v>0</v>
      </c>
      <c r="R379" s="3" t="b">
        <f t="shared" si="16"/>
        <v>0</v>
      </c>
      <c r="S379" s="3" t="b">
        <f t="shared" si="17"/>
        <v>0</v>
      </c>
      <c r="U379" s="3" t="s">
        <v>994</v>
      </c>
      <c r="V379" s="3" t="b">
        <v>1</v>
      </c>
      <c r="W379" s="3" t="b">
        <v>0</v>
      </c>
      <c r="X379" s="3" t="b">
        <v>0</v>
      </c>
      <c r="Y379" s="3" t="b">
        <v>1</v>
      </c>
      <c r="Z379" s="3" t="b">
        <v>0</v>
      </c>
      <c r="AA379" s="3"/>
      <c r="AB379" s="3"/>
      <c r="AC379" s="3"/>
      <c r="AD379" s="3"/>
      <c r="AE379" s="3"/>
      <c r="AF379" s="3" t="s">
        <v>995</v>
      </c>
      <c r="AG379" s="3" t="b">
        <v>1</v>
      </c>
      <c r="AH379" s="3" t="b">
        <v>0</v>
      </c>
      <c r="AI379" s="3" t="b">
        <v>0</v>
      </c>
      <c r="AJ379" s="3" t="b">
        <v>1</v>
      </c>
      <c r="AK379" s="3" t="b">
        <v>0</v>
      </c>
      <c r="AL379" s="3"/>
      <c r="AM379" s="3"/>
      <c r="AN379" s="3"/>
      <c r="AO379" s="3"/>
      <c r="AP379" s="3"/>
      <c r="AQ379" s="3" t="s">
        <v>996</v>
      </c>
      <c r="AR379" s="3" t="b">
        <v>1</v>
      </c>
      <c r="AS379" s="3" t="b">
        <v>0</v>
      </c>
      <c r="AT379" s="3" t="b">
        <v>0</v>
      </c>
      <c r="AU379" s="3" t="b">
        <v>1</v>
      </c>
      <c r="AV379" s="3" t="b">
        <v>0</v>
      </c>
      <c r="AW379" s="3" t="b">
        <f t="shared" si="18"/>
        <v>0</v>
      </c>
      <c r="AX379" s="3" t="b">
        <f t="shared" si="19"/>
        <v>0</v>
      </c>
      <c r="AY379" s="3" t="b">
        <f t="shared" si="20"/>
        <v>1</v>
      </c>
      <c r="AZ379" s="3" t="b">
        <f t="shared" si="21"/>
        <v>0</v>
      </c>
      <c r="BA379" s="3" t="b">
        <f t="shared" si="22"/>
        <v>0</v>
      </c>
      <c r="BB379" s="3" t="b">
        <f t="shared" si="23"/>
        <v>0</v>
      </c>
      <c r="BC379" s="3"/>
      <c r="BD379" s="3" t="s">
        <v>996</v>
      </c>
      <c r="BE379" s="3" t="b">
        <v>1</v>
      </c>
      <c r="BF379" s="3" t="b">
        <v>0</v>
      </c>
      <c r="BG379" s="3" t="b">
        <v>0</v>
      </c>
      <c r="BH379" s="3" t="b">
        <v>1</v>
      </c>
      <c r="BI379" s="3" t="b">
        <v>0</v>
      </c>
      <c r="BJ379" s="3"/>
      <c r="BK379" s="3"/>
      <c r="BL379" s="3"/>
      <c r="BM379" s="3"/>
      <c r="BN379" s="3"/>
      <c r="BO379" s="3" t="s">
        <v>997</v>
      </c>
      <c r="BP379" s="3" t="b">
        <v>1</v>
      </c>
      <c r="BQ379" s="3" t="b">
        <v>0</v>
      </c>
      <c r="BR379" s="3" t="b">
        <v>0</v>
      </c>
      <c r="BS379" s="3" t="b">
        <v>1</v>
      </c>
      <c r="BT379" s="3" t="b">
        <v>0</v>
      </c>
      <c r="BU379" s="3"/>
      <c r="BV379" s="3"/>
      <c r="BW379" s="3"/>
      <c r="BX379" s="3"/>
    </row>
    <row r="380" spans="1:76" x14ac:dyDescent="0.35">
      <c r="A380" s="3"/>
      <c r="B380" s="3" t="s">
        <v>105</v>
      </c>
      <c r="C380" s="3" t="s">
        <v>29</v>
      </c>
      <c r="D380" s="3"/>
      <c r="E380" s="3"/>
      <c r="F380" s="3"/>
      <c r="G380" s="3" t="s">
        <v>3795</v>
      </c>
      <c r="H380" s="3" t="s">
        <v>31</v>
      </c>
      <c r="I380" s="3" t="b">
        <v>1</v>
      </c>
      <c r="J380" s="3" t="b">
        <v>1</v>
      </c>
      <c r="K380" s="3" t="b">
        <v>1</v>
      </c>
      <c r="L380" s="3" t="b">
        <v>1</v>
      </c>
      <c r="M380" s="3" t="b">
        <v>1</v>
      </c>
      <c r="N380" s="3" t="b">
        <f t="shared" si="12"/>
        <v>1</v>
      </c>
      <c r="O380" s="3" t="b">
        <f t="shared" si="13"/>
        <v>0</v>
      </c>
      <c r="P380" s="3" t="b">
        <f t="shared" si="14"/>
        <v>0</v>
      </c>
      <c r="Q380" s="3" t="b">
        <f t="shared" si="15"/>
        <v>0</v>
      </c>
      <c r="R380" s="3" t="b">
        <f t="shared" si="16"/>
        <v>0</v>
      </c>
      <c r="S380" s="3" t="b">
        <f t="shared" si="17"/>
        <v>0</v>
      </c>
      <c r="U380" s="3" t="s">
        <v>31</v>
      </c>
      <c r="V380" s="3" t="b">
        <v>1</v>
      </c>
      <c r="W380" s="3" t="b">
        <v>1</v>
      </c>
      <c r="X380" s="3" t="b">
        <v>1</v>
      </c>
      <c r="Y380" s="3" t="b">
        <v>1</v>
      </c>
      <c r="Z380" s="3" t="b">
        <v>1</v>
      </c>
      <c r="AA380" s="3"/>
      <c r="AB380" s="3"/>
      <c r="AC380" s="3"/>
      <c r="AD380" s="3"/>
      <c r="AE380" s="3"/>
      <c r="AF380" s="3" t="s">
        <v>31</v>
      </c>
      <c r="AG380" s="3" t="b">
        <v>1</v>
      </c>
      <c r="AH380" s="3" t="b">
        <v>1</v>
      </c>
      <c r="AI380" s="3" t="b">
        <v>1</v>
      </c>
      <c r="AJ380" s="3" t="b">
        <v>1</v>
      </c>
      <c r="AK380" s="3" t="b">
        <v>1</v>
      </c>
      <c r="AL380" s="3"/>
      <c r="AM380" s="3"/>
      <c r="AN380" s="3"/>
      <c r="AO380" s="3"/>
      <c r="AP380" s="3"/>
      <c r="AQ380" s="3" t="s">
        <v>31</v>
      </c>
      <c r="AR380" s="3" t="b">
        <v>1</v>
      </c>
      <c r="AS380" s="3" t="b">
        <v>1</v>
      </c>
      <c r="AT380" s="3" t="b">
        <v>1</v>
      </c>
      <c r="AU380" s="3" t="b">
        <v>1</v>
      </c>
      <c r="AV380" s="3" t="b">
        <v>1</v>
      </c>
      <c r="AW380" s="3" t="b">
        <f t="shared" si="18"/>
        <v>1</v>
      </c>
      <c r="AX380" s="3" t="b">
        <f t="shared" si="19"/>
        <v>0</v>
      </c>
      <c r="AY380" s="3" t="b">
        <f t="shared" si="20"/>
        <v>0</v>
      </c>
      <c r="AZ380" s="3" t="b">
        <f t="shared" si="21"/>
        <v>0</v>
      </c>
      <c r="BA380" s="3" t="b">
        <f t="shared" si="22"/>
        <v>0</v>
      </c>
      <c r="BB380" s="3" t="b">
        <f t="shared" si="23"/>
        <v>0</v>
      </c>
      <c r="BC380" s="3"/>
      <c r="BD380" s="3" t="s">
        <v>31</v>
      </c>
      <c r="BE380" s="3" t="b">
        <v>1</v>
      </c>
      <c r="BF380" s="3" t="b">
        <v>1</v>
      </c>
      <c r="BG380" s="3" t="b">
        <v>1</v>
      </c>
      <c r="BH380" s="3" t="b">
        <v>1</v>
      </c>
      <c r="BI380" s="3" t="b">
        <v>1</v>
      </c>
      <c r="BJ380" s="3"/>
      <c r="BK380" s="3"/>
      <c r="BL380" s="3"/>
      <c r="BM380" s="3"/>
      <c r="BN380" s="3"/>
      <c r="BO380" s="3" t="s">
        <v>31</v>
      </c>
      <c r="BP380" s="3" t="b">
        <v>1</v>
      </c>
      <c r="BQ380" s="3" t="b">
        <v>1</v>
      </c>
      <c r="BR380" s="3" t="b">
        <v>1</v>
      </c>
      <c r="BS380" s="3" t="b">
        <v>1</v>
      </c>
      <c r="BT380" s="3" t="b">
        <v>1</v>
      </c>
      <c r="BU380" s="3"/>
      <c r="BV380" s="3"/>
      <c r="BW380" s="3"/>
      <c r="BX380" s="3"/>
    </row>
    <row r="381" spans="1:76" x14ac:dyDescent="0.35">
      <c r="A381" s="3"/>
      <c r="B381" s="3" t="s">
        <v>134</v>
      </c>
      <c r="C381" s="3"/>
      <c r="D381" s="3"/>
      <c r="E381" s="3"/>
      <c r="F381" s="3"/>
      <c r="G381" s="3"/>
      <c r="H381" s="3"/>
      <c r="I381" s="3"/>
      <c r="J381" s="3"/>
      <c r="K381" s="3"/>
      <c r="L381" s="3"/>
      <c r="M381" s="3"/>
      <c r="N381" s="3">
        <f t="shared" si="12"/>
        <v>0</v>
      </c>
      <c r="O381" s="3">
        <f t="shared" si="13"/>
        <v>0</v>
      </c>
      <c r="P381" s="3">
        <f t="shared" si="14"/>
        <v>0</v>
      </c>
      <c r="Q381" s="3">
        <f t="shared" si="15"/>
        <v>0</v>
      </c>
      <c r="R381" s="3">
        <f t="shared" si="16"/>
        <v>0</v>
      </c>
      <c r="S381" s="3">
        <f t="shared" si="17"/>
        <v>0</v>
      </c>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f t="shared" si="18"/>
        <v>0</v>
      </c>
      <c r="AX381" s="3">
        <f t="shared" si="19"/>
        <v>0</v>
      </c>
      <c r="AY381" s="3">
        <f t="shared" si="20"/>
        <v>0</v>
      </c>
      <c r="AZ381" s="3">
        <f t="shared" si="21"/>
        <v>0</v>
      </c>
      <c r="BA381" s="3">
        <f t="shared" si="22"/>
        <v>0</v>
      </c>
      <c r="BB381" s="3">
        <f t="shared" si="23"/>
        <v>0</v>
      </c>
      <c r="BC381" s="3"/>
      <c r="BD381" s="3"/>
      <c r="BE381" s="3"/>
      <c r="BF381" s="3"/>
      <c r="BG381" s="3"/>
      <c r="BH381" s="3"/>
      <c r="BI381" s="3"/>
      <c r="BJ381" s="3"/>
      <c r="BK381" s="3"/>
      <c r="BL381" s="3"/>
      <c r="BM381" s="3"/>
      <c r="BN381" s="3"/>
      <c r="BO381" s="3"/>
      <c r="BP381" s="3"/>
      <c r="BQ381" s="3"/>
      <c r="BR381" s="3"/>
      <c r="BS381" s="3"/>
      <c r="BT381" s="3"/>
      <c r="BU381" s="3"/>
      <c r="BV381" s="3"/>
      <c r="BW381" s="3"/>
      <c r="BX381" s="3"/>
    </row>
    <row r="382" spans="1:76" x14ac:dyDescent="0.35">
      <c r="A382" s="3"/>
      <c r="B382" s="3" t="s">
        <v>246</v>
      </c>
      <c r="C382" s="3" t="s">
        <v>999</v>
      </c>
      <c r="D382" s="3" t="s">
        <v>1000</v>
      </c>
      <c r="E382" s="3" t="s">
        <v>223</v>
      </c>
      <c r="F382" s="3"/>
      <c r="G382" s="3" t="s">
        <v>3796</v>
      </c>
      <c r="H382" s="3" t="s">
        <v>1002</v>
      </c>
      <c r="I382" s="3" t="b">
        <v>1</v>
      </c>
      <c r="J382" s="3" t="b">
        <v>0</v>
      </c>
      <c r="K382" s="3" t="b">
        <v>0</v>
      </c>
      <c r="L382" s="3" t="b">
        <v>1</v>
      </c>
      <c r="M382" s="3" t="b">
        <v>0</v>
      </c>
      <c r="N382" s="3" t="b">
        <f t="shared" si="12"/>
        <v>0</v>
      </c>
      <c r="O382" s="3" t="b">
        <f t="shared" si="13"/>
        <v>0</v>
      </c>
      <c r="P382" s="3" t="b">
        <f t="shared" si="14"/>
        <v>1</v>
      </c>
      <c r="Q382" s="3" t="b">
        <f t="shared" si="15"/>
        <v>0</v>
      </c>
      <c r="R382" s="3" t="b">
        <f t="shared" si="16"/>
        <v>0</v>
      </c>
      <c r="S382" s="3" t="b">
        <f t="shared" si="17"/>
        <v>0</v>
      </c>
      <c r="U382" s="3" t="s">
        <v>1003</v>
      </c>
      <c r="V382" s="3" t="b">
        <v>1</v>
      </c>
      <c r="W382" s="3" t="b">
        <v>1</v>
      </c>
      <c r="X382" s="3" t="b">
        <v>1</v>
      </c>
      <c r="Y382" s="3" t="b">
        <v>1</v>
      </c>
      <c r="Z382" s="3" t="b">
        <v>1</v>
      </c>
      <c r="AA382" s="3"/>
      <c r="AB382" s="3"/>
      <c r="AC382" s="3"/>
      <c r="AD382" s="3"/>
      <c r="AE382" s="3"/>
      <c r="AF382" s="3" t="s">
        <v>1004</v>
      </c>
      <c r="AG382" s="3" t="b">
        <v>1</v>
      </c>
      <c r="AH382" s="3" t="b">
        <v>1</v>
      </c>
      <c r="AI382" s="3" t="b">
        <v>1</v>
      </c>
      <c r="AJ382" s="3" t="b">
        <v>1</v>
      </c>
      <c r="AK382" s="3" t="b">
        <v>1</v>
      </c>
      <c r="AL382" s="3"/>
      <c r="AM382" s="3"/>
      <c r="AN382" s="3"/>
      <c r="AO382" s="3"/>
      <c r="AP382" s="3"/>
      <c r="AQ382" s="3" t="s">
        <v>1005</v>
      </c>
      <c r="AR382" s="3" t="b">
        <v>1</v>
      </c>
      <c r="AS382" s="3" t="b">
        <v>1</v>
      </c>
      <c r="AT382" s="3" t="b">
        <v>1</v>
      </c>
      <c r="AU382" s="3" t="b">
        <v>1</v>
      </c>
      <c r="AV382" s="3" t="b">
        <v>1</v>
      </c>
      <c r="AW382" s="3" t="b">
        <f t="shared" si="18"/>
        <v>1</v>
      </c>
      <c r="AX382" s="3" t="b">
        <f t="shared" si="19"/>
        <v>0</v>
      </c>
      <c r="AY382" s="3" t="b">
        <f t="shared" si="20"/>
        <v>0</v>
      </c>
      <c r="AZ382" s="3" t="b">
        <f t="shared" si="21"/>
        <v>0</v>
      </c>
      <c r="BA382" s="3" t="b">
        <f t="shared" si="22"/>
        <v>0</v>
      </c>
      <c r="BB382" s="3" t="b">
        <f t="shared" si="23"/>
        <v>0</v>
      </c>
      <c r="BC382" s="3"/>
      <c r="BD382" s="3" t="s">
        <v>1005</v>
      </c>
      <c r="BE382" s="3" t="b">
        <v>1</v>
      </c>
      <c r="BF382" s="3" t="b">
        <v>1</v>
      </c>
      <c r="BG382" s="3" t="b">
        <v>1</v>
      </c>
      <c r="BH382" s="3" t="b">
        <v>1</v>
      </c>
      <c r="BI382" s="3" t="b">
        <v>1</v>
      </c>
      <c r="BJ382" s="3"/>
      <c r="BK382" s="3"/>
      <c r="BL382" s="3"/>
      <c r="BM382" s="3"/>
      <c r="BN382" s="3"/>
      <c r="BO382" s="3" t="s">
        <v>1005</v>
      </c>
      <c r="BP382" s="3" t="b">
        <v>1</v>
      </c>
      <c r="BQ382" s="3" t="b">
        <v>1</v>
      </c>
      <c r="BR382" s="3" t="b">
        <v>1</v>
      </c>
      <c r="BS382" s="3" t="b">
        <v>1</v>
      </c>
      <c r="BT382" s="3" t="b">
        <v>1</v>
      </c>
      <c r="BU382" s="3"/>
      <c r="BV382" s="3"/>
      <c r="BW382" s="3"/>
      <c r="BX382" s="3"/>
    </row>
    <row r="383" spans="1:76" x14ac:dyDescent="0.35">
      <c r="A383" s="3"/>
      <c r="B383" s="3"/>
      <c r="C383" s="3" t="s">
        <v>247</v>
      </c>
      <c r="D383" s="3"/>
      <c r="E383" s="3"/>
      <c r="F383" s="3"/>
      <c r="G383" s="3" t="s">
        <v>3797</v>
      </c>
      <c r="H383" s="3" t="s">
        <v>229</v>
      </c>
      <c r="I383" s="3" t="b">
        <v>1</v>
      </c>
      <c r="J383" s="3" t="b">
        <v>1</v>
      </c>
      <c r="K383" s="3" t="b">
        <v>1</v>
      </c>
      <c r="L383" s="3" t="b">
        <v>1</v>
      </c>
      <c r="M383" s="3" t="b">
        <v>1</v>
      </c>
      <c r="N383" s="3" t="b">
        <f t="shared" si="12"/>
        <v>1</v>
      </c>
      <c r="O383" s="3" t="b">
        <f t="shared" si="13"/>
        <v>0</v>
      </c>
      <c r="P383" s="3" t="b">
        <f t="shared" si="14"/>
        <v>0</v>
      </c>
      <c r="Q383" s="3" t="b">
        <f t="shared" si="15"/>
        <v>0</v>
      </c>
      <c r="R383" s="3" t="b">
        <f t="shared" si="16"/>
        <v>0</v>
      </c>
      <c r="S383" s="3" t="b">
        <f t="shared" si="17"/>
        <v>0</v>
      </c>
      <c r="U383" s="3" t="s">
        <v>229</v>
      </c>
      <c r="V383" s="3" t="b">
        <v>1</v>
      </c>
      <c r="W383" s="3" t="b">
        <v>1</v>
      </c>
      <c r="X383" s="3" t="b">
        <v>1</v>
      </c>
      <c r="Y383" s="3" t="b">
        <v>1</v>
      </c>
      <c r="Z383" s="3" t="b">
        <v>1</v>
      </c>
      <c r="AA383" s="3"/>
      <c r="AB383" s="3"/>
      <c r="AC383" s="3"/>
      <c r="AD383" s="3"/>
      <c r="AE383" s="3"/>
      <c r="AF383" s="3" t="s">
        <v>229</v>
      </c>
      <c r="AG383" s="3" t="b">
        <v>1</v>
      </c>
      <c r="AH383" s="3" t="b">
        <v>1</v>
      </c>
      <c r="AI383" s="3" t="b">
        <v>1</v>
      </c>
      <c r="AJ383" s="3" t="b">
        <v>1</v>
      </c>
      <c r="AK383" s="3" t="b">
        <v>1</v>
      </c>
      <c r="AL383" s="3"/>
      <c r="AM383" s="3"/>
      <c r="AN383" s="3"/>
      <c r="AO383" s="3"/>
      <c r="AP383" s="3"/>
      <c r="AQ383" s="3" t="s">
        <v>229</v>
      </c>
      <c r="AR383" s="3" t="b">
        <v>1</v>
      </c>
      <c r="AS383" s="3" t="b">
        <v>1</v>
      </c>
      <c r="AT383" s="3" t="b">
        <v>1</v>
      </c>
      <c r="AU383" s="3" t="b">
        <v>1</v>
      </c>
      <c r="AV383" s="3" t="b">
        <v>1</v>
      </c>
      <c r="AW383" s="3" t="b">
        <f t="shared" si="18"/>
        <v>1</v>
      </c>
      <c r="AX383" s="3" t="b">
        <f t="shared" si="19"/>
        <v>0</v>
      </c>
      <c r="AY383" s="3" t="b">
        <f t="shared" si="20"/>
        <v>0</v>
      </c>
      <c r="AZ383" s="3" t="b">
        <f t="shared" si="21"/>
        <v>0</v>
      </c>
      <c r="BA383" s="3" t="b">
        <f t="shared" si="22"/>
        <v>0</v>
      </c>
      <c r="BB383" s="3" t="b">
        <f t="shared" si="23"/>
        <v>0</v>
      </c>
      <c r="BC383" s="3"/>
      <c r="BD383" s="3" t="s">
        <v>229</v>
      </c>
      <c r="BE383" s="3" t="b">
        <v>1</v>
      </c>
      <c r="BF383" s="3" t="b">
        <v>1</v>
      </c>
      <c r="BG383" s="3" t="b">
        <v>1</v>
      </c>
      <c r="BH383" s="3" t="b">
        <v>1</v>
      </c>
      <c r="BI383" s="3" t="b">
        <v>1</v>
      </c>
      <c r="BJ383" s="3"/>
      <c r="BK383" s="3"/>
      <c r="BL383" s="3"/>
      <c r="BM383" s="3"/>
      <c r="BN383" s="3"/>
      <c r="BO383" s="3" t="s">
        <v>229</v>
      </c>
      <c r="BP383" s="3" t="b">
        <v>1</v>
      </c>
      <c r="BQ383" s="3" t="b">
        <v>1</v>
      </c>
      <c r="BR383" s="3" t="b">
        <v>1</v>
      </c>
      <c r="BS383" s="3" t="b">
        <v>1</v>
      </c>
      <c r="BT383" s="3" t="b">
        <v>1</v>
      </c>
      <c r="BU383" s="3"/>
      <c r="BV383" s="3"/>
      <c r="BW383" s="3"/>
      <c r="BX383" s="3"/>
    </row>
    <row r="384" spans="1:76" x14ac:dyDescent="0.35">
      <c r="A384" s="3"/>
      <c r="B384" s="3"/>
      <c r="C384" s="3" t="s">
        <v>221</v>
      </c>
      <c r="D384" s="3"/>
      <c r="E384" s="3"/>
      <c r="F384" s="3"/>
      <c r="G384" s="3" t="s">
        <v>3798</v>
      </c>
      <c r="H384" s="3" t="s">
        <v>231</v>
      </c>
      <c r="I384" s="3" t="b">
        <v>1</v>
      </c>
      <c r="J384" s="3" t="b">
        <v>1</v>
      </c>
      <c r="K384" s="3" t="b">
        <v>1</v>
      </c>
      <c r="L384" s="3" t="b">
        <v>1</v>
      </c>
      <c r="M384" s="3" t="b">
        <v>1</v>
      </c>
      <c r="N384" s="3" t="b">
        <f t="shared" si="12"/>
        <v>1</v>
      </c>
      <c r="O384" s="3" t="b">
        <f t="shared" si="13"/>
        <v>0</v>
      </c>
      <c r="P384" s="3" t="b">
        <f t="shared" si="14"/>
        <v>0</v>
      </c>
      <c r="Q384" s="3" t="b">
        <f t="shared" si="15"/>
        <v>0</v>
      </c>
      <c r="R384" s="3" t="b">
        <f t="shared" si="16"/>
        <v>0</v>
      </c>
      <c r="S384" s="3" t="b">
        <f t="shared" si="17"/>
        <v>0</v>
      </c>
      <c r="U384" s="3" t="s">
        <v>231</v>
      </c>
      <c r="V384" s="3" t="b">
        <v>1</v>
      </c>
      <c r="W384" s="3" t="b">
        <v>1</v>
      </c>
      <c r="X384" s="3" t="b">
        <v>1</v>
      </c>
      <c r="Y384" s="3" t="b">
        <v>1</v>
      </c>
      <c r="Z384" s="3" t="b">
        <v>1</v>
      </c>
      <c r="AA384" s="3"/>
      <c r="AB384" s="3"/>
      <c r="AC384" s="3"/>
      <c r="AD384" s="3"/>
      <c r="AE384" s="3"/>
      <c r="AF384" s="3" t="s">
        <v>225</v>
      </c>
      <c r="AG384" s="3" t="b">
        <v>1</v>
      </c>
      <c r="AH384" s="3" t="b">
        <v>1</v>
      </c>
      <c r="AI384" s="3" t="b">
        <v>1</v>
      </c>
      <c r="AJ384" s="3" t="b">
        <v>1</v>
      </c>
      <c r="AK384" s="3" t="b">
        <v>1</v>
      </c>
      <c r="AL384" s="3"/>
      <c r="AM384" s="3"/>
      <c r="AN384" s="3"/>
      <c r="AO384" s="3"/>
      <c r="AP384" s="3"/>
      <c r="AQ384" s="3" t="s">
        <v>225</v>
      </c>
      <c r="AR384" s="3" t="b">
        <v>1</v>
      </c>
      <c r="AS384" s="3" t="b">
        <v>1</v>
      </c>
      <c r="AT384" s="3" t="b">
        <v>1</v>
      </c>
      <c r="AU384" s="3" t="b">
        <v>1</v>
      </c>
      <c r="AV384" s="3" t="b">
        <v>1</v>
      </c>
      <c r="AW384" s="3" t="b">
        <f t="shared" si="18"/>
        <v>1</v>
      </c>
      <c r="AX384" s="3" t="b">
        <f t="shared" si="19"/>
        <v>0</v>
      </c>
      <c r="AY384" s="3" t="b">
        <f t="shared" si="20"/>
        <v>0</v>
      </c>
      <c r="AZ384" s="3" t="b">
        <f t="shared" si="21"/>
        <v>0</v>
      </c>
      <c r="BA384" s="3" t="b">
        <f t="shared" si="22"/>
        <v>0</v>
      </c>
      <c r="BB384" s="3" t="b">
        <f t="shared" si="23"/>
        <v>0</v>
      </c>
      <c r="BC384" s="3"/>
      <c r="BD384" s="3" t="s">
        <v>225</v>
      </c>
      <c r="BE384" s="3" t="b">
        <v>1</v>
      </c>
      <c r="BF384" s="3" t="b">
        <v>1</v>
      </c>
      <c r="BG384" s="3" t="b">
        <v>1</v>
      </c>
      <c r="BH384" s="3" t="b">
        <v>1</v>
      </c>
      <c r="BI384" s="3" t="b">
        <v>1</v>
      </c>
      <c r="BJ384" s="3"/>
      <c r="BK384" s="3"/>
      <c r="BL384" s="3"/>
      <c r="BM384" s="3"/>
      <c r="BN384" s="3"/>
      <c r="BO384" s="3" t="s">
        <v>225</v>
      </c>
      <c r="BP384" s="3" t="b">
        <v>1</v>
      </c>
      <c r="BQ384" s="3" t="b">
        <v>1</v>
      </c>
      <c r="BR384" s="3" t="b">
        <v>1</v>
      </c>
      <c r="BS384" s="3" t="b">
        <v>1</v>
      </c>
      <c r="BT384" s="3" t="b">
        <v>1</v>
      </c>
      <c r="BU384" s="3"/>
      <c r="BV384" s="3"/>
      <c r="BW384" s="3"/>
      <c r="BX384" s="3"/>
    </row>
    <row r="385" spans="1:76" x14ac:dyDescent="0.35">
      <c r="A385" s="3"/>
      <c r="B385" s="3"/>
      <c r="C385" s="3" t="s">
        <v>1007</v>
      </c>
      <c r="D385" s="3"/>
      <c r="E385" s="3"/>
      <c r="F385" s="3"/>
      <c r="G385" s="3" t="s">
        <v>3799</v>
      </c>
      <c r="H385" s="3" t="s">
        <v>1009</v>
      </c>
      <c r="I385" s="3" t="b">
        <v>1</v>
      </c>
      <c r="J385" s="3" t="b">
        <v>1</v>
      </c>
      <c r="K385" s="3" t="b">
        <v>0</v>
      </c>
      <c r="L385" s="3" t="b">
        <v>1</v>
      </c>
      <c r="M385" s="3" t="b">
        <v>0</v>
      </c>
      <c r="N385" s="3" t="b">
        <f t="shared" si="12"/>
        <v>0</v>
      </c>
      <c r="O385" s="3" t="b">
        <f t="shared" si="13"/>
        <v>0</v>
      </c>
      <c r="P385" s="3" t="b">
        <f t="shared" si="14"/>
        <v>1</v>
      </c>
      <c r="Q385" s="3" t="b">
        <f t="shared" si="15"/>
        <v>0</v>
      </c>
      <c r="R385" s="3" t="b">
        <f t="shared" si="16"/>
        <v>0</v>
      </c>
      <c r="S385" s="3" t="b">
        <f t="shared" si="17"/>
        <v>0</v>
      </c>
      <c r="U385" s="3" t="s">
        <v>1010</v>
      </c>
      <c r="V385" s="3" t="b">
        <v>1</v>
      </c>
      <c r="W385" s="3" t="b">
        <v>1</v>
      </c>
      <c r="X385" s="3" t="b">
        <v>0</v>
      </c>
      <c r="Y385" s="3" t="b">
        <v>1</v>
      </c>
      <c r="Z385" s="3" t="b">
        <v>0</v>
      </c>
      <c r="AA385" s="3"/>
      <c r="AB385" s="3"/>
      <c r="AC385" s="3"/>
      <c r="AD385" s="3"/>
      <c r="AE385" s="3"/>
      <c r="AF385" s="3" t="s">
        <v>1010</v>
      </c>
      <c r="AG385" s="3" t="b">
        <v>1</v>
      </c>
      <c r="AH385" s="3" t="b">
        <v>1</v>
      </c>
      <c r="AI385" s="3" t="b">
        <v>0</v>
      </c>
      <c r="AJ385" s="3" t="b">
        <v>1</v>
      </c>
      <c r="AK385" s="3" t="b">
        <v>0</v>
      </c>
      <c r="AL385" s="3"/>
      <c r="AM385" s="3"/>
      <c r="AN385" s="3"/>
      <c r="AO385" s="3"/>
      <c r="AP385" s="3"/>
      <c r="AQ385" s="3" t="s">
        <v>1011</v>
      </c>
      <c r="AR385" s="3" t="b">
        <v>1</v>
      </c>
      <c r="AS385" s="3" t="b">
        <v>1</v>
      </c>
      <c r="AT385" s="3" t="b">
        <v>0</v>
      </c>
      <c r="AU385" s="3" t="b">
        <v>1</v>
      </c>
      <c r="AV385" s="3" t="b">
        <v>0</v>
      </c>
      <c r="AW385" s="3" t="b">
        <f t="shared" si="18"/>
        <v>0</v>
      </c>
      <c r="AX385" s="3" t="b">
        <f t="shared" si="19"/>
        <v>0</v>
      </c>
      <c r="AY385" s="3" t="b">
        <f t="shared" si="20"/>
        <v>1</v>
      </c>
      <c r="AZ385" s="3" t="b">
        <f t="shared" si="21"/>
        <v>0</v>
      </c>
      <c r="BA385" s="3" t="b">
        <f t="shared" si="22"/>
        <v>0</v>
      </c>
      <c r="BB385" s="3" t="b">
        <f t="shared" si="23"/>
        <v>0</v>
      </c>
      <c r="BC385" s="3"/>
      <c r="BD385" s="3" t="s">
        <v>1011</v>
      </c>
      <c r="BE385" s="3" t="b">
        <v>1</v>
      </c>
      <c r="BF385" s="3" t="b">
        <v>1</v>
      </c>
      <c r="BG385" s="3" t="b">
        <v>0</v>
      </c>
      <c r="BH385" s="3" t="b">
        <v>1</v>
      </c>
      <c r="BI385" s="3" t="b">
        <v>0</v>
      </c>
      <c r="BJ385" s="3"/>
      <c r="BK385" s="3"/>
      <c r="BL385" s="3"/>
      <c r="BM385" s="3"/>
      <c r="BN385" s="3"/>
      <c r="BO385" s="3" t="s">
        <v>1012</v>
      </c>
      <c r="BP385" s="3" t="b">
        <v>1</v>
      </c>
      <c r="BQ385" s="3" t="b">
        <v>0</v>
      </c>
      <c r="BR385" s="3" t="b">
        <v>0</v>
      </c>
      <c r="BS385" s="3" t="b">
        <v>1</v>
      </c>
      <c r="BT385" s="3" t="b">
        <v>0</v>
      </c>
      <c r="BU385" s="3"/>
      <c r="BV385" s="3"/>
      <c r="BW385" s="3"/>
      <c r="BX385" s="3"/>
    </row>
    <row r="386" spans="1:76" x14ac:dyDescent="0.35">
      <c r="A386" s="3"/>
      <c r="B386" s="3"/>
      <c r="C386" s="3" t="s">
        <v>1013</v>
      </c>
      <c r="D386" s="3"/>
      <c r="E386" s="3"/>
      <c r="F386" s="3"/>
      <c r="G386" s="3" t="s">
        <v>3800</v>
      </c>
      <c r="H386" s="3" t="s">
        <v>1014</v>
      </c>
      <c r="I386" s="3" t="b">
        <v>1</v>
      </c>
      <c r="J386" s="3" t="b">
        <v>1</v>
      </c>
      <c r="K386" s="3" t="b">
        <v>1</v>
      </c>
      <c r="L386" s="3" t="b">
        <v>1</v>
      </c>
      <c r="M386" s="3" t="b">
        <v>0</v>
      </c>
      <c r="N386" s="3" t="b">
        <f t="shared" si="12"/>
        <v>0</v>
      </c>
      <c r="O386" s="3" t="b">
        <f t="shared" si="13"/>
        <v>1</v>
      </c>
      <c r="P386" s="3" t="b">
        <f t="shared" si="14"/>
        <v>0</v>
      </c>
      <c r="Q386" s="3" t="b">
        <f t="shared" si="15"/>
        <v>0</v>
      </c>
      <c r="R386" s="3" t="b">
        <f t="shared" si="16"/>
        <v>1</v>
      </c>
      <c r="S386" s="3" t="b">
        <f t="shared" si="17"/>
        <v>0</v>
      </c>
      <c r="U386" s="3" t="s">
        <v>1015</v>
      </c>
      <c r="V386" s="3" t="b">
        <v>1</v>
      </c>
      <c r="W386" s="3" t="b">
        <v>0</v>
      </c>
      <c r="X386" s="3" t="b">
        <v>0</v>
      </c>
      <c r="Y386" s="3" t="b">
        <v>1</v>
      </c>
      <c r="Z386" s="3" t="b">
        <v>0</v>
      </c>
      <c r="AA386" s="3"/>
      <c r="AB386" s="3"/>
      <c r="AC386" s="3"/>
      <c r="AD386" s="3"/>
      <c r="AE386" s="3"/>
      <c r="AF386" s="3" t="s">
        <v>1016</v>
      </c>
      <c r="AG386" s="3" t="b">
        <v>1</v>
      </c>
      <c r="AH386" s="3" t="b">
        <v>1</v>
      </c>
      <c r="AI386" s="3" t="b">
        <v>1</v>
      </c>
      <c r="AJ386" s="3" t="b">
        <v>1</v>
      </c>
      <c r="AK386" s="3" t="b">
        <v>0</v>
      </c>
      <c r="AL386" s="3"/>
      <c r="AM386" s="3"/>
      <c r="AN386" s="3"/>
      <c r="AO386" s="3"/>
      <c r="AP386" s="3"/>
      <c r="AQ386" s="3" t="s">
        <v>1017</v>
      </c>
      <c r="AR386" s="3" t="b">
        <v>1</v>
      </c>
      <c r="AS386" s="3" t="b">
        <v>0</v>
      </c>
      <c r="AT386" s="3" t="b">
        <v>0</v>
      </c>
      <c r="AU386" s="3" t="b">
        <v>1</v>
      </c>
      <c r="AV386" s="3" t="b">
        <v>0</v>
      </c>
      <c r="AW386" s="3" t="b">
        <f t="shared" si="18"/>
        <v>0</v>
      </c>
      <c r="AX386" s="3" t="b">
        <f t="shared" si="19"/>
        <v>0</v>
      </c>
      <c r="AY386" s="3" t="b">
        <f t="shared" si="20"/>
        <v>1</v>
      </c>
      <c r="AZ386" s="3" t="b">
        <f t="shared" si="21"/>
        <v>0</v>
      </c>
      <c r="BA386" s="3" t="b">
        <f t="shared" si="22"/>
        <v>0</v>
      </c>
      <c r="BB386" s="3" t="b">
        <f t="shared" si="23"/>
        <v>0</v>
      </c>
      <c r="BC386" s="3"/>
      <c r="BD386" s="3" t="s">
        <v>1017</v>
      </c>
      <c r="BE386" s="3" t="b">
        <v>1</v>
      </c>
      <c r="BF386" s="3" t="b">
        <v>0</v>
      </c>
      <c r="BG386" s="3" t="b">
        <v>0</v>
      </c>
      <c r="BH386" s="3" t="b">
        <v>1</v>
      </c>
      <c r="BI386" s="3" t="b">
        <v>0</v>
      </c>
      <c r="BJ386" s="3"/>
      <c r="BK386" s="3"/>
      <c r="BL386" s="3"/>
      <c r="BM386" s="3"/>
      <c r="BN386" s="3"/>
      <c r="BO386" s="3" t="s">
        <v>1017</v>
      </c>
      <c r="BP386" s="3" t="b">
        <v>1</v>
      </c>
      <c r="BQ386" s="3" t="b">
        <v>0</v>
      </c>
      <c r="BR386" s="3" t="b">
        <v>0</v>
      </c>
      <c r="BS386" s="3" t="b">
        <v>1</v>
      </c>
      <c r="BT386" s="3" t="b">
        <v>0</v>
      </c>
      <c r="BU386" s="3"/>
      <c r="BV386" s="3"/>
      <c r="BW386" s="3"/>
      <c r="BX386" s="3"/>
    </row>
    <row r="387" spans="1:76" x14ac:dyDescent="0.35">
      <c r="A387" s="3"/>
      <c r="B387" s="3" t="s">
        <v>254</v>
      </c>
      <c r="C387" s="3"/>
      <c r="D387" s="3"/>
      <c r="E387" s="3"/>
      <c r="F387" s="3"/>
      <c r="G387" s="3"/>
      <c r="H387" s="3"/>
      <c r="I387" s="3"/>
      <c r="J387" s="3"/>
      <c r="K387" s="3"/>
      <c r="L387" s="3"/>
      <c r="M387" s="3"/>
      <c r="N387" s="3">
        <f t="shared" si="12"/>
        <v>0</v>
      </c>
      <c r="O387" s="3">
        <f t="shared" si="13"/>
        <v>0</v>
      </c>
      <c r="P387" s="3">
        <f t="shared" si="14"/>
        <v>0</v>
      </c>
      <c r="Q387" s="3">
        <f t="shared" si="15"/>
        <v>0</v>
      </c>
      <c r="R387" s="3">
        <f t="shared" si="16"/>
        <v>0</v>
      </c>
      <c r="S387" s="3">
        <f t="shared" si="17"/>
        <v>0</v>
      </c>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f t="shared" si="18"/>
        <v>0</v>
      </c>
      <c r="AX387" s="3">
        <f t="shared" si="19"/>
        <v>0</v>
      </c>
      <c r="AY387" s="3">
        <f t="shared" si="20"/>
        <v>0</v>
      </c>
      <c r="AZ387" s="3">
        <f t="shared" si="21"/>
        <v>0</v>
      </c>
      <c r="BA387" s="3">
        <f t="shared" si="22"/>
        <v>0</v>
      </c>
      <c r="BB387" s="3">
        <f t="shared" si="23"/>
        <v>0</v>
      </c>
      <c r="BC387" s="3"/>
      <c r="BD387" s="3"/>
      <c r="BE387" s="3"/>
      <c r="BF387" s="3"/>
      <c r="BG387" s="3"/>
      <c r="BH387" s="3"/>
      <c r="BI387" s="3"/>
      <c r="BJ387" s="3"/>
      <c r="BK387" s="3"/>
      <c r="BL387" s="3"/>
      <c r="BM387" s="3"/>
      <c r="BN387" s="3"/>
      <c r="BO387" s="3"/>
      <c r="BP387" s="3"/>
      <c r="BQ387" s="3"/>
      <c r="BR387" s="3"/>
      <c r="BS387" s="3"/>
      <c r="BT387" s="3"/>
      <c r="BU387" s="3"/>
      <c r="BV387" s="3"/>
      <c r="BW387" s="3"/>
      <c r="BX387" s="3"/>
    </row>
    <row r="388" spans="1:76" x14ac:dyDescent="0.35">
      <c r="A388" s="3"/>
      <c r="B388" s="3" t="s">
        <v>257</v>
      </c>
      <c r="C388" s="3" t="s">
        <v>1018</v>
      </c>
      <c r="D388" s="3"/>
      <c r="E388" s="3"/>
      <c r="F388" s="3"/>
      <c r="G388" s="3" t="s">
        <v>3801</v>
      </c>
      <c r="H388" s="3" t="s">
        <v>1020</v>
      </c>
      <c r="I388" s="3" t="b">
        <v>1</v>
      </c>
      <c r="J388" s="3" t="b">
        <v>1</v>
      </c>
      <c r="K388" s="3" t="b">
        <v>1</v>
      </c>
      <c r="L388" s="3" t="b">
        <v>1</v>
      </c>
      <c r="M388" s="3" t="b">
        <v>1</v>
      </c>
      <c r="N388" s="3" t="b">
        <f t="shared" si="12"/>
        <v>1</v>
      </c>
      <c r="O388" s="3" t="b">
        <f t="shared" si="13"/>
        <v>0</v>
      </c>
      <c r="P388" s="3" t="b">
        <f t="shared" si="14"/>
        <v>0</v>
      </c>
      <c r="Q388" s="3" t="b">
        <f t="shared" si="15"/>
        <v>0</v>
      </c>
      <c r="R388" s="3" t="b">
        <f t="shared" si="16"/>
        <v>0</v>
      </c>
      <c r="S388" s="3" t="b">
        <f t="shared" si="17"/>
        <v>0</v>
      </c>
      <c r="U388" s="3" t="s">
        <v>1020</v>
      </c>
      <c r="V388" s="3" t="b">
        <v>1</v>
      </c>
      <c r="W388" s="3" t="b">
        <v>1</v>
      </c>
      <c r="X388" s="3" t="b">
        <v>1</v>
      </c>
      <c r="Y388" s="3" t="b">
        <v>1</v>
      </c>
      <c r="Z388" s="3" t="b">
        <v>1</v>
      </c>
      <c r="AA388" s="3"/>
      <c r="AB388" s="3"/>
      <c r="AC388" s="3"/>
      <c r="AD388" s="3"/>
      <c r="AE388" s="3"/>
      <c r="AF388" s="3" t="s">
        <v>1021</v>
      </c>
      <c r="AG388" s="3" t="b">
        <v>1</v>
      </c>
      <c r="AH388" s="3" t="b">
        <v>1</v>
      </c>
      <c r="AI388" s="3" t="b">
        <v>1</v>
      </c>
      <c r="AJ388" s="3" t="b">
        <v>1</v>
      </c>
      <c r="AK388" s="3" t="b">
        <v>1</v>
      </c>
      <c r="AL388" s="3"/>
      <c r="AM388" s="3"/>
      <c r="AN388" s="3"/>
      <c r="AO388" s="3"/>
      <c r="AP388" s="3"/>
      <c r="AQ388" s="3" t="s">
        <v>1022</v>
      </c>
      <c r="AR388" s="3" t="b">
        <v>1</v>
      </c>
      <c r="AS388" s="3" t="b">
        <v>1</v>
      </c>
      <c r="AT388" s="3" t="b">
        <v>0</v>
      </c>
      <c r="AU388" s="3" t="b">
        <v>1</v>
      </c>
      <c r="AV388" s="3" t="b">
        <v>1</v>
      </c>
      <c r="AW388" s="3" t="b">
        <f t="shared" si="18"/>
        <v>0</v>
      </c>
      <c r="AX388" s="3" t="b">
        <f t="shared" si="19"/>
        <v>0</v>
      </c>
      <c r="AY388" s="3" t="b">
        <f t="shared" si="20"/>
        <v>0</v>
      </c>
      <c r="AZ388" s="3" t="b">
        <f t="shared" si="21"/>
        <v>1</v>
      </c>
      <c r="BA388" s="3" t="b">
        <f t="shared" si="22"/>
        <v>0</v>
      </c>
      <c r="BB388" s="3" t="b">
        <f t="shared" si="23"/>
        <v>1</v>
      </c>
      <c r="BC388" s="3"/>
      <c r="BD388" s="3" t="s">
        <v>1021</v>
      </c>
      <c r="BE388" s="3" t="b">
        <v>1</v>
      </c>
      <c r="BF388" s="3" t="b">
        <v>1</v>
      </c>
      <c r="BG388" s="3" t="b">
        <v>1</v>
      </c>
      <c r="BH388" s="3" t="b">
        <v>1</v>
      </c>
      <c r="BI388" s="3" t="b">
        <v>1</v>
      </c>
      <c r="BJ388" s="3"/>
      <c r="BK388" s="3"/>
      <c r="BL388" s="3"/>
      <c r="BM388" s="3"/>
      <c r="BN388" s="3"/>
      <c r="BO388" s="3" t="s">
        <v>1021</v>
      </c>
      <c r="BP388" s="3" t="b">
        <v>1</v>
      </c>
      <c r="BQ388" s="3" t="b">
        <v>1</v>
      </c>
      <c r="BR388" s="3" t="b">
        <v>1</v>
      </c>
      <c r="BS388" s="3" t="b">
        <v>1</v>
      </c>
      <c r="BT388" s="3" t="b">
        <v>1</v>
      </c>
      <c r="BU388" s="3"/>
      <c r="BV388" s="3"/>
      <c r="BW388" s="3"/>
      <c r="BX388" s="3"/>
    </row>
    <row r="389" spans="1:76" x14ac:dyDescent="0.35">
      <c r="A389" s="3"/>
      <c r="B389" s="3"/>
      <c r="C389" s="3" t="s">
        <v>1023</v>
      </c>
      <c r="D389" s="3"/>
      <c r="E389" s="3"/>
      <c r="F389" s="3"/>
      <c r="G389" s="3" t="s">
        <v>3802</v>
      </c>
      <c r="H389" s="3" t="s">
        <v>1025</v>
      </c>
      <c r="I389" s="3" t="b">
        <v>1</v>
      </c>
      <c r="J389" s="3" t="b">
        <v>1</v>
      </c>
      <c r="K389" s="3" t="b">
        <v>1</v>
      </c>
      <c r="L389" s="3" t="b">
        <v>1</v>
      </c>
      <c r="M389" s="3" t="b">
        <v>1</v>
      </c>
      <c r="N389" s="3" t="b">
        <f t="shared" si="12"/>
        <v>1</v>
      </c>
      <c r="O389" s="3" t="b">
        <f t="shared" si="13"/>
        <v>0</v>
      </c>
      <c r="P389" s="3" t="b">
        <f t="shared" si="14"/>
        <v>0</v>
      </c>
      <c r="Q389" s="3" t="b">
        <f t="shared" si="15"/>
        <v>0</v>
      </c>
      <c r="R389" s="3" t="b">
        <f t="shared" si="16"/>
        <v>0</v>
      </c>
      <c r="S389" s="3" t="b">
        <f t="shared" si="17"/>
        <v>0</v>
      </c>
      <c r="U389" s="3" t="s">
        <v>1025</v>
      </c>
      <c r="V389" s="3" t="b">
        <v>1</v>
      </c>
      <c r="W389" s="3" t="b">
        <v>1</v>
      </c>
      <c r="X389" s="3" t="b">
        <v>1</v>
      </c>
      <c r="Y389" s="3" t="b">
        <v>1</v>
      </c>
      <c r="Z389" s="3" t="b">
        <v>1</v>
      </c>
      <c r="AA389" s="3"/>
      <c r="AB389" s="3"/>
      <c r="AC389" s="3"/>
      <c r="AD389" s="3"/>
      <c r="AE389" s="3"/>
      <c r="AF389" s="3" t="s">
        <v>1026</v>
      </c>
      <c r="AG389" s="3" t="b">
        <v>1</v>
      </c>
      <c r="AH389" s="3" t="b">
        <v>1</v>
      </c>
      <c r="AI389" s="3" t="b">
        <v>1</v>
      </c>
      <c r="AJ389" s="3" t="b">
        <v>1</v>
      </c>
      <c r="AK389" s="3" t="b">
        <v>1</v>
      </c>
      <c r="AL389" s="3"/>
      <c r="AM389" s="3"/>
      <c r="AN389" s="3"/>
      <c r="AO389" s="3"/>
      <c r="AP389" s="3"/>
      <c r="AQ389" s="3" t="s">
        <v>1026</v>
      </c>
      <c r="AR389" s="3" t="b">
        <v>1</v>
      </c>
      <c r="AS389" s="3" t="b">
        <v>1</v>
      </c>
      <c r="AT389" s="3" t="b">
        <v>1</v>
      </c>
      <c r="AU389" s="3" t="b">
        <v>1</v>
      </c>
      <c r="AV389" s="3" t="b">
        <v>1</v>
      </c>
      <c r="AW389" s="3" t="b">
        <f t="shared" si="18"/>
        <v>1</v>
      </c>
      <c r="AX389" s="3" t="b">
        <f t="shared" si="19"/>
        <v>0</v>
      </c>
      <c r="AY389" s="3" t="b">
        <f t="shared" si="20"/>
        <v>0</v>
      </c>
      <c r="AZ389" s="3" t="b">
        <f t="shared" si="21"/>
        <v>0</v>
      </c>
      <c r="BA389" s="3" t="b">
        <f t="shared" si="22"/>
        <v>0</v>
      </c>
      <c r="BB389" s="3" t="b">
        <f t="shared" si="23"/>
        <v>0</v>
      </c>
      <c r="BC389" s="3"/>
      <c r="BD389" s="3" t="s">
        <v>1026</v>
      </c>
      <c r="BE389" s="3" t="b">
        <v>1</v>
      </c>
      <c r="BF389" s="3" t="b">
        <v>1</v>
      </c>
      <c r="BG389" s="3" t="b">
        <v>1</v>
      </c>
      <c r="BH389" s="3" t="b">
        <v>1</v>
      </c>
      <c r="BI389" s="3" t="b">
        <v>1</v>
      </c>
      <c r="BJ389" s="3"/>
      <c r="BK389" s="3"/>
      <c r="BL389" s="3"/>
      <c r="BM389" s="3"/>
      <c r="BN389" s="3"/>
      <c r="BO389" s="3" t="s">
        <v>1026</v>
      </c>
      <c r="BP389" s="3" t="b">
        <v>1</v>
      </c>
      <c r="BQ389" s="3" t="b">
        <v>1</v>
      </c>
      <c r="BR389" s="3" t="b">
        <v>1</v>
      </c>
      <c r="BS389" s="3" t="b">
        <v>1</v>
      </c>
      <c r="BT389" s="3" t="b">
        <v>1</v>
      </c>
      <c r="BU389" s="3"/>
      <c r="BV389" s="3"/>
      <c r="BW389" s="3"/>
      <c r="BX389" s="3"/>
    </row>
    <row r="390" spans="1:76" x14ac:dyDescent="0.35">
      <c r="A390" s="3"/>
      <c r="B390" s="3"/>
      <c r="C390" s="3" t="s">
        <v>1027</v>
      </c>
      <c r="D390" s="3"/>
      <c r="E390" s="3"/>
      <c r="F390" s="3"/>
      <c r="G390" s="3" t="s">
        <v>3803</v>
      </c>
      <c r="H390" s="3" t="s">
        <v>1029</v>
      </c>
      <c r="I390" s="3" t="b">
        <v>1</v>
      </c>
      <c r="J390" s="3" t="b">
        <v>1</v>
      </c>
      <c r="K390" s="3" t="b">
        <v>1</v>
      </c>
      <c r="L390" s="3" t="b">
        <v>1</v>
      </c>
      <c r="M390" s="3" t="b">
        <v>1</v>
      </c>
      <c r="N390" s="3" t="b">
        <f t="shared" si="12"/>
        <v>1</v>
      </c>
      <c r="O390" s="3" t="b">
        <f t="shared" si="13"/>
        <v>0</v>
      </c>
      <c r="P390" s="3" t="b">
        <f t="shared" si="14"/>
        <v>0</v>
      </c>
      <c r="Q390" s="3" t="b">
        <f t="shared" si="15"/>
        <v>0</v>
      </c>
      <c r="R390" s="3" t="b">
        <f t="shared" si="16"/>
        <v>0</v>
      </c>
      <c r="S390" s="3" t="b">
        <f t="shared" si="17"/>
        <v>0</v>
      </c>
      <c r="U390" s="3" t="s">
        <v>1030</v>
      </c>
      <c r="V390" s="3" t="b">
        <v>1</v>
      </c>
      <c r="W390" s="3" t="b">
        <v>1</v>
      </c>
      <c r="X390" s="3" t="b">
        <v>1</v>
      </c>
      <c r="Y390" s="3" t="b">
        <v>1</v>
      </c>
      <c r="Z390" s="3" t="b">
        <v>1</v>
      </c>
      <c r="AA390" s="3"/>
      <c r="AB390" s="3"/>
      <c r="AC390" s="3"/>
      <c r="AD390" s="3"/>
      <c r="AE390" s="3"/>
      <c r="AF390" s="3" t="s">
        <v>1030</v>
      </c>
      <c r="AG390" s="3" t="b">
        <v>1</v>
      </c>
      <c r="AH390" s="3" t="b">
        <v>1</v>
      </c>
      <c r="AI390" s="3" t="b">
        <v>1</v>
      </c>
      <c r="AJ390" s="3" t="b">
        <v>1</v>
      </c>
      <c r="AK390" s="3" t="b">
        <v>1</v>
      </c>
      <c r="AL390" s="3"/>
      <c r="AM390" s="3"/>
      <c r="AN390" s="3"/>
      <c r="AO390" s="3"/>
      <c r="AP390" s="3"/>
      <c r="AQ390" s="3" t="s">
        <v>1031</v>
      </c>
      <c r="AR390" s="3" t="b">
        <v>1</v>
      </c>
      <c r="AS390" s="3" t="b">
        <v>1</v>
      </c>
      <c r="AT390" s="3" t="b">
        <v>1</v>
      </c>
      <c r="AU390" s="3" t="b">
        <v>1</v>
      </c>
      <c r="AV390" s="3" t="b">
        <v>1</v>
      </c>
      <c r="AW390" s="3" t="b">
        <f t="shared" si="18"/>
        <v>1</v>
      </c>
      <c r="AX390" s="3" t="b">
        <f t="shared" si="19"/>
        <v>0</v>
      </c>
      <c r="AY390" s="3" t="b">
        <f t="shared" si="20"/>
        <v>0</v>
      </c>
      <c r="AZ390" s="3" t="b">
        <f t="shared" si="21"/>
        <v>0</v>
      </c>
      <c r="BA390" s="3" t="b">
        <f t="shared" si="22"/>
        <v>0</v>
      </c>
      <c r="BB390" s="3" t="b">
        <f t="shared" si="23"/>
        <v>0</v>
      </c>
      <c r="BC390" s="3"/>
      <c r="BD390" s="3" t="s">
        <v>1031</v>
      </c>
      <c r="BE390" s="3" t="b">
        <v>1</v>
      </c>
      <c r="BF390" s="3" t="b">
        <v>1</v>
      </c>
      <c r="BG390" s="3" t="b">
        <v>1</v>
      </c>
      <c r="BH390" s="3" t="b">
        <v>1</v>
      </c>
      <c r="BI390" s="3" t="b">
        <v>1</v>
      </c>
      <c r="BJ390" s="3"/>
      <c r="BK390" s="3"/>
      <c r="BL390" s="3"/>
      <c r="BM390" s="3"/>
      <c r="BN390" s="3"/>
      <c r="BO390" s="3" t="s">
        <v>1031</v>
      </c>
      <c r="BP390" s="3" t="b">
        <v>1</v>
      </c>
      <c r="BQ390" s="3" t="b">
        <v>1</v>
      </c>
      <c r="BR390" s="3" t="b">
        <v>1</v>
      </c>
      <c r="BS390" s="3" t="b">
        <v>1</v>
      </c>
      <c r="BT390" s="3" t="b">
        <v>1</v>
      </c>
      <c r="BU390" s="3"/>
      <c r="BV390" s="3"/>
      <c r="BW390" s="3"/>
      <c r="BX390" s="3"/>
    </row>
    <row r="391" spans="1:76" x14ac:dyDescent="0.35">
      <c r="A391" s="3"/>
      <c r="B391" s="3"/>
      <c r="C391" s="3" t="s">
        <v>1032</v>
      </c>
      <c r="D391" s="3"/>
      <c r="E391" s="3"/>
      <c r="F391" s="3"/>
      <c r="G391" s="3" t="s">
        <v>3804</v>
      </c>
      <c r="H391" s="3" t="s">
        <v>1033</v>
      </c>
      <c r="I391" s="3" t="b">
        <v>1</v>
      </c>
      <c r="J391" s="3" t="b">
        <v>0</v>
      </c>
      <c r="K391" s="3" t="b">
        <v>0</v>
      </c>
      <c r="L391" s="3" t="b">
        <v>1</v>
      </c>
      <c r="M391" s="3" t="b">
        <v>0</v>
      </c>
      <c r="N391" s="3" t="b">
        <f t="shared" si="12"/>
        <v>0</v>
      </c>
      <c r="O391" s="3" t="b">
        <f t="shared" si="13"/>
        <v>0</v>
      </c>
      <c r="P391" s="3" t="b">
        <f t="shared" si="14"/>
        <v>1</v>
      </c>
      <c r="Q391" s="3" t="b">
        <f t="shared" si="15"/>
        <v>0</v>
      </c>
      <c r="R391" s="3" t="b">
        <f t="shared" si="16"/>
        <v>0</v>
      </c>
      <c r="S391" s="3" t="b">
        <f t="shared" si="17"/>
        <v>0</v>
      </c>
      <c r="U391" s="3" t="s">
        <v>1034</v>
      </c>
      <c r="V391" s="3" t="b">
        <v>1</v>
      </c>
      <c r="W391" s="3" t="b">
        <v>0</v>
      </c>
      <c r="X391" s="3" t="b">
        <v>0</v>
      </c>
      <c r="Y391" s="3" t="b">
        <v>1</v>
      </c>
      <c r="Z391" s="3" t="b">
        <v>0</v>
      </c>
      <c r="AA391" s="3"/>
      <c r="AB391" s="3"/>
      <c r="AC391" s="3"/>
      <c r="AD391" s="3"/>
      <c r="AE391" s="3"/>
      <c r="AF391" s="3" t="s">
        <v>1035</v>
      </c>
      <c r="AG391" s="3" t="b">
        <v>1</v>
      </c>
      <c r="AH391" s="3" t="b">
        <v>1</v>
      </c>
      <c r="AI391" s="3" t="b">
        <v>1</v>
      </c>
      <c r="AJ391" s="3" t="b">
        <v>0</v>
      </c>
      <c r="AK391" s="3" t="b">
        <v>0</v>
      </c>
      <c r="AL391" s="3"/>
      <c r="AM391" s="3"/>
      <c r="AN391" s="3"/>
      <c r="AO391" s="3"/>
      <c r="AP391" s="3"/>
      <c r="AQ391" s="3" t="s">
        <v>1036</v>
      </c>
      <c r="AR391" s="3" t="b">
        <v>1</v>
      </c>
      <c r="AS391" s="3" t="b">
        <v>0</v>
      </c>
      <c r="AT391" s="3" t="b">
        <v>0</v>
      </c>
      <c r="AU391" s="3" t="b">
        <v>0</v>
      </c>
      <c r="AV391" s="3" t="b">
        <v>0</v>
      </c>
      <c r="AW391" s="3" t="b">
        <f t="shared" si="18"/>
        <v>0</v>
      </c>
      <c r="AX391" s="3" t="b">
        <f t="shared" si="19"/>
        <v>0</v>
      </c>
      <c r="AY391" s="3" t="b">
        <f t="shared" si="20"/>
        <v>1</v>
      </c>
      <c r="AZ391" s="3" t="b">
        <f t="shared" si="21"/>
        <v>0</v>
      </c>
      <c r="BA391" s="3" t="b">
        <f t="shared" si="22"/>
        <v>0</v>
      </c>
      <c r="BB391" s="3" t="b">
        <f t="shared" si="23"/>
        <v>0</v>
      </c>
      <c r="BC391" s="3"/>
      <c r="BD391" s="3" t="s">
        <v>1037</v>
      </c>
      <c r="BE391" s="3" t="b">
        <v>1</v>
      </c>
      <c r="BF391" s="3" t="b">
        <v>0</v>
      </c>
      <c r="BG391" s="3" t="b">
        <v>0</v>
      </c>
      <c r="BH391" s="3" t="b">
        <v>0</v>
      </c>
      <c r="BI391" s="3" t="b">
        <v>0</v>
      </c>
      <c r="BJ391" s="3"/>
      <c r="BK391" s="3"/>
      <c r="BL391" s="3"/>
      <c r="BM391" s="3"/>
      <c r="BN391" s="3"/>
      <c r="BO391" s="3" t="s">
        <v>1038</v>
      </c>
      <c r="BP391" s="3" t="b">
        <v>1</v>
      </c>
      <c r="BQ391" s="3" t="b">
        <v>0</v>
      </c>
      <c r="BR391" s="3" t="b">
        <v>0</v>
      </c>
      <c r="BS391" s="3" t="b">
        <v>0</v>
      </c>
      <c r="BT391" s="3" t="b">
        <v>0</v>
      </c>
      <c r="BU391" s="3"/>
      <c r="BV391" s="3"/>
      <c r="BW391" s="3"/>
      <c r="BX391" s="3"/>
    </row>
    <row r="392" spans="1:76" x14ac:dyDescent="0.35">
      <c r="A392" s="3"/>
      <c r="B392" s="3" t="s">
        <v>162</v>
      </c>
      <c r="C392" s="3" t="s">
        <v>1039</v>
      </c>
      <c r="D392" s="3"/>
      <c r="E392" s="3"/>
      <c r="F392" s="3"/>
      <c r="G392" s="3" t="s">
        <v>3805</v>
      </c>
      <c r="H392" s="3" t="s">
        <v>1041</v>
      </c>
      <c r="I392" s="3" t="b">
        <v>1</v>
      </c>
      <c r="J392" s="3" t="b">
        <v>1</v>
      </c>
      <c r="K392" s="3" t="b">
        <v>1</v>
      </c>
      <c r="L392" s="3" t="b">
        <v>1</v>
      </c>
      <c r="M392" s="3" t="b">
        <v>1</v>
      </c>
      <c r="N392" s="3" t="b">
        <f t="shared" si="12"/>
        <v>1</v>
      </c>
      <c r="O392" s="3" t="b">
        <f t="shared" si="13"/>
        <v>0</v>
      </c>
      <c r="P392" s="3" t="b">
        <f t="shared" si="14"/>
        <v>0</v>
      </c>
      <c r="Q392" s="3" t="b">
        <f t="shared" si="15"/>
        <v>0</v>
      </c>
      <c r="R392" s="3" t="b">
        <f t="shared" si="16"/>
        <v>0</v>
      </c>
      <c r="S392" s="3" t="b">
        <f t="shared" si="17"/>
        <v>0</v>
      </c>
      <c r="U392" s="3" t="s">
        <v>1042</v>
      </c>
      <c r="V392" s="3" t="b">
        <v>1</v>
      </c>
      <c r="W392" s="3" t="b">
        <v>1</v>
      </c>
      <c r="X392" s="3" t="b">
        <v>1</v>
      </c>
      <c r="Y392" s="3" t="b">
        <v>1</v>
      </c>
      <c r="Z392" s="3" t="b">
        <v>1</v>
      </c>
      <c r="AA392" s="3"/>
      <c r="AB392" s="3"/>
      <c r="AC392" s="3"/>
      <c r="AD392" s="3"/>
      <c r="AE392" s="3"/>
      <c r="AF392" s="3" t="s">
        <v>1041</v>
      </c>
      <c r="AG392" s="3" t="b">
        <v>1</v>
      </c>
      <c r="AH392" s="3" t="b">
        <v>1</v>
      </c>
      <c r="AI392" s="3" t="b">
        <v>1</v>
      </c>
      <c r="AJ392" s="3" t="b">
        <v>1</v>
      </c>
      <c r="AK392" s="3" t="b">
        <v>1</v>
      </c>
      <c r="AL392" s="3"/>
      <c r="AM392" s="3"/>
      <c r="AN392" s="3"/>
      <c r="AO392" s="3"/>
      <c r="AP392" s="3"/>
      <c r="AQ392" s="3" t="s">
        <v>1043</v>
      </c>
      <c r="AR392" s="3" t="b">
        <v>1</v>
      </c>
      <c r="AS392" s="3" t="b">
        <v>1</v>
      </c>
      <c r="AT392" s="3" t="b">
        <v>1</v>
      </c>
      <c r="AU392" s="3" t="b">
        <v>1</v>
      </c>
      <c r="AV392" s="3" t="b">
        <v>1</v>
      </c>
      <c r="AW392" s="3" t="b">
        <f t="shared" si="18"/>
        <v>1</v>
      </c>
      <c r="AX392" s="3" t="b">
        <f t="shared" si="19"/>
        <v>0</v>
      </c>
      <c r="AY392" s="3" t="b">
        <f t="shared" si="20"/>
        <v>0</v>
      </c>
      <c r="AZ392" s="3" t="b">
        <f t="shared" si="21"/>
        <v>0</v>
      </c>
      <c r="BA392" s="3" t="b">
        <f t="shared" si="22"/>
        <v>0</v>
      </c>
      <c r="BB392" s="3" t="b">
        <f t="shared" si="23"/>
        <v>0</v>
      </c>
      <c r="BC392" s="3"/>
      <c r="BD392" s="3" t="s">
        <v>1044</v>
      </c>
      <c r="BE392" s="3" t="b">
        <v>1</v>
      </c>
      <c r="BF392" s="3" t="b">
        <v>1</v>
      </c>
      <c r="BG392" s="3" t="b">
        <v>1</v>
      </c>
      <c r="BH392" s="3" t="b">
        <v>1</v>
      </c>
      <c r="BI392" s="3" t="b">
        <v>1</v>
      </c>
      <c r="BJ392" s="3"/>
      <c r="BK392" s="3"/>
      <c r="BL392" s="3"/>
      <c r="BM392" s="3"/>
      <c r="BN392" s="3"/>
      <c r="BO392" s="3" t="s">
        <v>1043</v>
      </c>
      <c r="BP392" s="3" t="b">
        <v>1</v>
      </c>
      <c r="BQ392" s="3" t="b">
        <v>1</v>
      </c>
      <c r="BR392" s="3" t="b">
        <v>1</v>
      </c>
      <c r="BS392" s="3" t="b">
        <v>1</v>
      </c>
      <c r="BT392" s="3" t="b">
        <v>1</v>
      </c>
      <c r="BU392" s="3"/>
      <c r="BV392" s="3"/>
      <c r="BW392" s="3"/>
      <c r="BX392" s="3"/>
    </row>
    <row r="393" spans="1:76" x14ac:dyDescent="0.35">
      <c r="A393" s="3"/>
      <c r="B393" s="3"/>
      <c r="C393" s="3" t="s">
        <v>163</v>
      </c>
      <c r="D393" s="3"/>
      <c r="E393" s="3"/>
      <c r="F393" s="3"/>
      <c r="G393" s="3" t="s">
        <v>3806</v>
      </c>
      <c r="H393" s="3" t="s">
        <v>165</v>
      </c>
      <c r="I393" s="3" t="b">
        <v>1</v>
      </c>
      <c r="J393" s="3" t="b">
        <v>1</v>
      </c>
      <c r="K393" s="3" t="b">
        <v>1</v>
      </c>
      <c r="L393" s="3" t="b">
        <v>1</v>
      </c>
      <c r="M393" s="3" t="b">
        <v>1</v>
      </c>
      <c r="N393" s="3" t="b">
        <f t="shared" si="12"/>
        <v>1</v>
      </c>
      <c r="O393" s="3" t="b">
        <f t="shared" si="13"/>
        <v>0</v>
      </c>
      <c r="P393" s="3" t="b">
        <f t="shared" si="14"/>
        <v>0</v>
      </c>
      <c r="Q393" s="3" t="b">
        <f t="shared" si="15"/>
        <v>0</v>
      </c>
      <c r="R393" s="3" t="b">
        <f t="shared" si="16"/>
        <v>0</v>
      </c>
      <c r="S393" s="3" t="b">
        <f t="shared" si="17"/>
        <v>0</v>
      </c>
      <c r="U393" s="3" t="s">
        <v>165</v>
      </c>
      <c r="V393" s="3" t="b">
        <v>1</v>
      </c>
      <c r="W393" s="3" t="b">
        <v>1</v>
      </c>
      <c r="X393" s="3" t="b">
        <v>1</v>
      </c>
      <c r="Y393" s="3" t="b">
        <v>1</v>
      </c>
      <c r="Z393" s="3" t="b">
        <v>1</v>
      </c>
      <c r="AA393" s="3"/>
      <c r="AB393" s="3"/>
      <c r="AC393" s="3"/>
      <c r="AD393" s="3"/>
      <c r="AE393" s="3"/>
      <c r="AF393" s="3" t="s">
        <v>165</v>
      </c>
      <c r="AG393" s="3" t="b">
        <v>1</v>
      </c>
      <c r="AH393" s="3" t="b">
        <v>1</v>
      </c>
      <c r="AI393" s="3" t="b">
        <v>1</v>
      </c>
      <c r="AJ393" s="3" t="b">
        <v>1</v>
      </c>
      <c r="AK393" s="3" t="b">
        <v>1</v>
      </c>
      <c r="AL393" s="3"/>
      <c r="AM393" s="3"/>
      <c r="AN393" s="3"/>
      <c r="AO393" s="3"/>
      <c r="AP393" s="3"/>
      <c r="AQ393" s="3" t="s">
        <v>1046</v>
      </c>
      <c r="AR393" s="3" t="b">
        <v>1</v>
      </c>
      <c r="AS393" s="3" t="b">
        <v>0</v>
      </c>
      <c r="AT393" s="3" t="b">
        <v>0</v>
      </c>
      <c r="AU393" s="3" t="b">
        <v>1</v>
      </c>
      <c r="AV393" s="3" t="b">
        <v>0</v>
      </c>
      <c r="AW393" s="3" t="b">
        <f t="shared" si="18"/>
        <v>0</v>
      </c>
      <c r="AX393" s="3" t="b">
        <f t="shared" si="19"/>
        <v>0</v>
      </c>
      <c r="AY393" s="3" t="b">
        <f t="shared" si="20"/>
        <v>1</v>
      </c>
      <c r="AZ393" s="3" t="b">
        <f t="shared" si="21"/>
        <v>0</v>
      </c>
      <c r="BA393" s="3" t="b">
        <f t="shared" si="22"/>
        <v>0</v>
      </c>
      <c r="BB393" s="3" t="b">
        <f t="shared" si="23"/>
        <v>0</v>
      </c>
      <c r="BC393" s="3"/>
      <c r="BD393" s="3" t="s">
        <v>167</v>
      </c>
      <c r="BE393" s="3" t="b">
        <v>1</v>
      </c>
      <c r="BF393" s="3" t="b">
        <v>1</v>
      </c>
      <c r="BG393" s="3" t="b">
        <v>1</v>
      </c>
      <c r="BH393" s="3" t="b">
        <v>1</v>
      </c>
      <c r="BI393" s="3" t="b">
        <v>1</v>
      </c>
      <c r="BJ393" s="3"/>
      <c r="BK393" s="3"/>
      <c r="BL393" s="3"/>
      <c r="BM393" s="3"/>
      <c r="BN393" s="3"/>
      <c r="BO393" s="3" t="s">
        <v>1046</v>
      </c>
      <c r="BP393" s="3" t="b">
        <v>1</v>
      </c>
      <c r="BQ393" s="3" t="b">
        <v>0</v>
      </c>
      <c r="BR393" s="3" t="b">
        <v>0</v>
      </c>
      <c r="BS393" s="3" t="b">
        <v>1</v>
      </c>
      <c r="BT393" s="3" t="b">
        <v>0</v>
      </c>
      <c r="BU393" s="3"/>
      <c r="BV393" s="3"/>
      <c r="BW393" s="3"/>
      <c r="BX393" s="3"/>
    </row>
    <row r="394" spans="1:76" x14ac:dyDescent="0.35">
      <c r="A394" s="3"/>
      <c r="B394" s="3"/>
      <c r="C394" s="3" t="s">
        <v>1047</v>
      </c>
      <c r="D394" s="3"/>
      <c r="E394" s="3"/>
      <c r="F394" s="3"/>
      <c r="G394" s="3" t="s">
        <v>3807</v>
      </c>
      <c r="H394" s="3" t="s">
        <v>1049</v>
      </c>
      <c r="I394" s="3" t="b">
        <v>1</v>
      </c>
      <c r="J394" s="3" t="b">
        <v>1</v>
      </c>
      <c r="K394" s="3" t="b">
        <v>1</v>
      </c>
      <c r="L394" s="3" t="b">
        <v>1</v>
      </c>
      <c r="M394" s="3" t="b">
        <v>1</v>
      </c>
      <c r="N394" s="3" t="b">
        <f t="shared" si="12"/>
        <v>1</v>
      </c>
      <c r="O394" s="3" t="b">
        <f t="shared" si="13"/>
        <v>0</v>
      </c>
      <c r="P394" s="3" t="b">
        <f t="shared" si="14"/>
        <v>0</v>
      </c>
      <c r="Q394" s="3" t="b">
        <f t="shared" si="15"/>
        <v>0</v>
      </c>
      <c r="R394" s="3" t="b">
        <f t="shared" si="16"/>
        <v>0</v>
      </c>
      <c r="S394" s="3" t="b">
        <f t="shared" si="17"/>
        <v>0</v>
      </c>
      <c r="U394" s="3" t="s">
        <v>1049</v>
      </c>
      <c r="V394" s="3" t="b">
        <v>1</v>
      </c>
      <c r="W394" s="3" t="b">
        <v>1</v>
      </c>
      <c r="X394" s="3" t="b">
        <v>1</v>
      </c>
      <c r="Y394" s="3" t="b">
        <v>1</v>
      </c>
      <c r="Z394" s="3" t="b">
        <v>1</v>
      </c>
      <c r="AA394" s="3"/>
      <c r="AB394" s="3"/>
      <c r="AC394" s="3"/>
      <c r="AD394" s="3"/>
      <c r="AE394" s="3"/>
      <c r="AF394" s="3" t="s">
        <v>1050</v>
      </c>
      <c r="AG394" s="3" t="b">
        <v>1</v>
      </c>
      <c r="AH394" s="3" t="b">
        <v>1</v>
      </c>
      <c r="AI394" s="3" t="b">
        <v>1</v>
      </c>
      <c r="AJ394" s="3" t="b">
        <v>1</v>
      </c>
      <c r="AK394" s="3" t="b">
        <v>1</v>
      </c>
      <c r="AL394" s="3"/>
      <c r="AM394" s="3"/>
      <c r="AN394" s="3"/>
      <c r="AO394" s="3"/>
      <c r="AP394" s="3"/>
      <c r="AQ394" s="3" t="s">
        <v>1050</v>
      </c>
      <c r="AR394" s="3" t="b">
        <v>1</v>
      </c>
      <c r="AS394" s="3" t="b">
        <v>1</v>
      </c>
      <c r="AT394" s="3" t="b">
        <v>1</v>
      </c>
      <c r="AU394" s="3" t="b">
        <v>1</v>
      </c>
      <c r="AV394" s="3" t="b">
        <v>1</v>
      </c>
      <c r="AW394" s="3" t="b">
        <f t="shared" si="18"/>
        <v>1</v>
      </c>
      <c r="AX394" s="3" t="b">
        <f t="shared" si="19"/>
        <v>0</v>
      </c>
      <c r="AY394" s="3" t="b">
        <f t="shared" si="20"/>
        <v>0</v>
      </c>
      <c r="AZ394" s="3" t="b">
        <f t="shared" si="21"/>
        <v>0</v>
      </c>
      <c r="BA394" s="3" t="b">
        <f t="shared" si="22"/>
        <v>0</v>
      </c>
      <c r="BB394" s="3" t="b">
        <f t="shared" si="23"/>
        <v>0</v>
      </c>
      <c r="BC394" s="3"/>
      <c r="BD394" s="3" t="s">
        <v>1050</v>
      </c>
      <c r="BE394" s="3" t="b">
        <v>1</v>
      </c>
      <c r="BF394" s="3" t="b">
        <v>1</v>
      </c>
      <c r="BG394" s="3" t="b">
        <v>1</v>
      </c>
      <c r="BH394" s="3" t="b">
        <v>1</v>
      </c>
      <c r="BI394" s="3" t="b">
        <v>1</v>
      </c>
      <c r="BJ394" s="3"/>
      <c r="BK394" s="3"/>
      <c r="BL394" s="3"/>
      <c r="BM394" s="3"/>
      <c r="BN394" s="3"/>
      <c r="BO394" s="3" t="s">
        <v>1049</v>
      </c>
      <c r="BP394" s="3" t="b">
        <v>1</v>
      </c>
      <c r="BQ394" s="3" t="b">
        <v>1</v>
      </c>
      <c r="BR394" s="3" t="b">
        <v>1</v>
      </c>
      <c r="BS394" s="3" t="b">
        <v>1</v>
      </c>
      <c r="BT394" s="3" t="b">
        <v>1</v>
      </c>
      <c r="BU394" s="3"/>
      <c r="BV394" s="3"/>
      <c r="BW394" s="3"/>
      <c r="BX394" s="3"/>
    </row>
    <row r="395" spans="1:76" x14ac:dyDescent="0.35">
      <c r="A395" s="3"/>
      <c r="B395" s="3"/>
      <c r="C395" s="3" t="s">
        <v>1032</v>
      </c>
      <c r="D395" s="3"/>
      <c r="E395" s="3"/>
      <c r="F395" s="3"/>
      <c r="G395" s="3" t="s">
        <v>3808</v>
      </c>
      <c r="H395" s="3"/>
      <c r="I395" s="3" t="b">
        <v>1</v>
      </c>
      <c r="J395" s="3" t="b">
        <v>0</v>
      </c>
      <c r="K395" s="3" t="b">
        <v>0</v>
      </c>
      <c r="L395" s="3" t="b">
        <v>0</v>
      </c>
      <c r="M395" s="3" t="b">
        <v>0</v>
      </c>
      <c r="N395" s="3" t="b">
        <f t="shared" si="12"/>
        <v>0</v>
      </c>
      <c r="O395" s="3" t="b">
        <f t="shared" si="13"/>
        <v>0</v>
      </c>
      <c r="P395" s="3" t="b">
        <f t="shared" si="14"/>
        <v>1</v>
      </c>
      <c r="Q395" s="3" t="b">
        <f t="shared" si="15"/>
        <v>0</v>
      </c>
      <c r="R395" s="3" t="b">
        <f t="shared" si="16"/>
        <v>0</v>
      </c>
      <c r="S395" s="3" t="b">
        <f t="shared" si="17"/>
        <v>0</v>
      </c>
      <c r="U395" s="3" t="s">
        <v>1051</v>
      </c>
      <c r="V395" s="3" t="b">
        <v>1</v>
      </c>
      <c r="W395" s="3" t="b">
        <v>1</v>
      </c>
      <c r="X395" s="3" t="b">
        <v>1</v>
      </c>
      <c r="Y395" s="3" t="b">
        <v>0</v>
      </c>
      <c r="Z395" s="3" t="b">
        <v>0</v>
      </c>
      <c r="AA395" s="3"/>
      <c r="AB395" s="3"/>
      <c r="AC395" s="3"/>
      <c r="AD395" s="3"/>
      <c r="AE395" s="3"/>
      <c r="AF395" s="3" t="s">
        <v>1052</v>
      </c>
      <c r="AG395" s="3" t="b">
        <v>1</v>
      </c>
      <c r="AH395" s="3" t="b">
        <v>0</v>
      </c>
      <c r="AI395" s="3" t="b">
        <v>0</v>
      </c>
      <c r="AJ395" s="3" t="b">
        <v>1</v>
      </c>
      <c r="AK395" s="3" t="b">
        <v>0</v>
      </c>
      <c r="AL395" s="3"/>
      <c r="AM395" s="3"/>
      <c r="AN395" s="3"/>
      <c r="AO395" s="3"/>
      <c r="AP395" s="3"/>
      <c r="AQ395" s="3" t="s">
        <v>1053</v>
      </c>
      <c r="AR395" s="3" t="b">
        <v>1</v>
      </c>
      <c r="AS395" s="3" t="b">
        <v>0</v>
      </c>
      <c r="AT395" s="3" t="b">
        <v>0</v>
      </c>
      <c r="AU395" s="3" t="b">
        <v>0</v>
      </c>
      <c r="AV395" s="3" t="b">
        <v>0</v>
      </c>
      <c r="AW395" s="3" t="b">
        <f t="shared" si="18"/>
        <v>0</v>
      </c>
      <c r="AX395" s="3" t="b">
        <f t="shared" si="19"/>
        <v>0</v>
      </c>
      <c r="AY395" s="3" t="b">
        <f t="shared" si="20"/>
        <v>1</v>
      </c>
      <c r="AZ395" s="3" t="b">
        <f t="shared" si="21"/>
        <v>0</v>
      </c>
      <c r="BA395" s="3" t="b">
        <f t="shared" si="22"/>
        <v>0</v>
      </c>
      <c r="BB395" s="3" t="b">
        <f t="shared" si="23"/>
        <v>0</v>
      </c>
      <c r="BC395" s="3"/>
      <c r="BD395" s="3" t="s">
        <v>1053</v>
      </c>
      <c r="BE395" s="3" t="b">
        <v>1</v>
      </c>
      <c r="BF395" s="3" t="b">
        <v>0</v>
      </c>
      <c r="BG395" s="3" t="b">
        <v>0</v>
      </c>
      <c r="BH395" s="3" t="b">
        <v>0</v>
      </c>
      <c r="BI395" s="3" t="b">
        <v>0</v>
      </c>
      <c r="BJ395" s="3"/>
      <c r="BK395" s="3"/>
      <c r="BL395" s="3"/>
      <c r="BM395" s="3"/>
      <c r="BN395" s="3"/>
      <c r="BO395" s="3" t="s">
        <v>1053</v>
      </c>
      <c r="BP395" s="3" t="b">
        <v>1</v>
      </c>
      <c r="BQ395" s="3" t="b">
        <v>0</v>
      </c>
      <c r="BR395" s="3" t="b">
        <v>0</v>
      </c>
      <c r="BS395" s="3" t="b">
        <v>0</v>
      </c>
      <c r="BT395" s="3" t="b">
        <v>0</v>
      </c>
      <c r="BU395" s="3"/>
      <c r="BV395" s="3"/>
      <c r="BW395" s="3"/>
      <c r="BX395" s="3"/>
    </row>
    <row r="396" spans="1:76" x14ac:dyDescent="0.35">
      <c r="A396" s="3"/>
      <c r="B396" s="3" t="s">
        <v>1054</v>
      </c>
      <c r="C396" s="3" t="s">
        <v>1055</v>
      </c>
      <c r="D396" s="2" t="s">
        <v>34</v>
      </c>
      <c r="E396" s="2" t="s">
        <v>35</v>
      </c>
      <c r="F396" s="3"/>
      <c r="G396" s="3" t="s">
        <v>3809</v>
      </c>
      <c r="H396" s="3" t="s">
        <v>1057</v>
      </c>
      <c r="I396" s="3" t="b">
        <v>1</v>
      </c>
      <c r="J396" s="3" t="b">
        <v>1</v>
      </c>
      <c r="K396" s="3" t="b">
        <v>1</v>
      </c>
      <c r="L396" s="3" t="b">
        <v>0</v>
      </c>
      <c r="M396" s="3" t="b">
        <v>1</v>
      </c>
      <c r="N396" s="3" t="b">
        <f t="shared" si="12"/>
        <v>0</v>
      </c>
      <c r="O396" s="3" t="b">
        <f t="shared" si="13"/>
        <v>0</v>
      </c>
      <c r="P396" s="3" t="b">
        <f t="shared" si="14"/>
        <v>0</v>
      </c>
      <c r="Q396" s="3" t="b">
        <f t="shared" si="15"/>
        <v>1</v>
      </c>
      <c r="R396" s="3" t="b">
        <f t="shared" si="16"/>
        <v>0</v>
      </c>
      <c r="S396" s="3" t="b">
        <f t="shared" si="17"/>
        <v>0</v>
      </c>
      <c r="U396" s="3" t="s">
        <v>1058</v>
      </c>
      <c r="V396" s="3" t="b">
        <v>1</v>
      </c>
      <c r="W396" s="3" t="b">
        <v>1</v>
      </c>
      <c r="X396" s="3" t="b">
        <v>1</v>
      </c>
      <c r="Y396" s="3" t="b">
        <v>1</v>
      </c>
      <c r="Z396" s="3" t="b">
        <v>1</v>
      </c>
      <c r="AA396" s="3"/>
      <c r="AB396" s="3"/>
      <c r="AC396" s="3"/>
      <c r="AD396" s="3"/>
      <c r="AE396" s="3"/>
      <c r="AF396" s="3"/>
      <c r="AG396" s="3" t="b">
        <v>1</v>
      </c>
      <c r="AH396" s="3" t="b">
        <v>0</v>
      </c>
      <c r="AI396" s="3" t="b">
        <v>0</v>
      </c>
      <c r="AJ396" s="3" t="b">
        <v>0</v>
      </c>
      <c r="AK396" s="3" t="b">
        <v>0</v>
      </c>
      <c r="AL396" s="3"/>
      <c r="AM396" s="3"/>
      <c r="AN396" s="3"/>
      <c r="AO396" s="3"/>
      <c r="AP396" s="3"/>
      <c r="AQ396" s="3" t="s">
        <v>1059</v>
      </c>
      <c r="AR396" s="3" t="b">
        <v>1</v>
      </c>
      <c r="AS396" s="3" t="b">
        <v>0</v>
      </c>
      <c r="AT396" s="3" t="b">
        <v>0</v>
      </c>
      <c r="AU396" s="3" t="b">
        <v>1</v>
      </c>
      <c r="AV396" s="3" t="b">
        <v>0</v>
      </c>
      <c r="AW396" s="3" t="b">
        <f t="shared" si="18"/>
        <v>0</v>
      </c>
      <c r="AX396" s="3" t="b">
        <f t="shared" si="19"/>
        <v>0</v>
      </c>
      <c r="AY396" s="3" t="b">
        <f t="shared" si="20"/>
        <v>1</v>
      </c>
      <c r="AZ396" s="3" t="b">
        <f t="shared" si="21"/>
        <v>0</v>
      </c>
      <c r="BA396" s="3" t="b">
        <f t="shared" si="22"/>
        <v>0</v>
      </c>
      <c r="BB396" s="3" t="b">
        <f t="shared" si="23"/>
        <v>0</v>
      </c>
      <c r="BC396" s="3"/>
      <c r="BD396" s="3" t="s">
        <v>1060</v>
      </c>
      <c r="BE396" s="3" t="b">
        <v>1</v>
      </c>
      <c r="BF396" s="3" t="b">
        <v>0</v>
      </c>
      <c r="BG396" s="3" t="b">
        <v>0</v>
      </c>
      <c r="BH396" s="3" t="b">
        <v>0</v>
      </c>
      <c r="BI396" s="3" t="b">
        <v>0</v>
      </c>
      <c r="BJ396" s="3"/>
      <c r="BK396" s="3"/>
      <c r="BL396" s="3"/>
      <c r="BM396" s="3"/>
      <c r="BN396" s="3"/>
      <c r="BO396" s="3" t="s">
        <v>1061</v>
      </c>
      <c r="BP396" s="3" t="b">
        <v>1</v>
      </c>
      <c r="BQ396" s="3" t="b">
        <v>1</v>
      </c>
      <c r="BR396" s="3" t="b">
        <v>1</v>
      </c>
      <c r="BS396" s="3" t="b">
        <v>1</v>
      </c>
      <c r="BT396" s="3" t="b">
        <v>1</v>
      </c>
      <c r="BU396" s="3"/>
      <c r="BV396" s="3"/>
      <c r="BW396" s="3"/>
      <c r="BX396" s="3"/>
    </row>
    <row r="397" spans="1:76" x14ac:dyDescent="0.35">
      <c r="A397" s="3"/>
      <c r="B397" s="3" t="s">
        <v>1062</v>
      </c>
      <c r="C397" s="3" t="s">
        <v>1063</v>
      </c>
      <c r="D397" s="2" t="s">
        <v>34</v>
      </c>
      <c r="E397" s="2" t="s">
        <v>35</v>
      </c>
      <c r="F397" s="3"/>
      <c r="G397" s="3" t="s">
        <v>3810</v>
      </c>
      <c r="H397" s="3"/>
      <c r="I397" s="3" t="b">
        <v>1</v>
      </c>
      <c r="J397" s="3" t="b">
        <v>0</v>
      </c>
      <c r="K397" s="3" t="b">
        <v>0</v>
      </c>
      <c r="L397" s="3" t="b">
        <v>0</v>
      </c>
      <c r="M397" s="3" t="b">
        <v>0</v>
      </c>
      <c r="N397" s="3" t="b">
        <f t="shared" si="12"/>
        <v>0</v>
      </c>
      <c r="O397" s="3" t="b">
        <f t="shared" si="13"/>
        <v>0</v>
      </c>
      <c r="P397" s="3" t="b">
        <f t="shared" si="14"/>
        <v>1</v>
      </c>
      <c r="Q397" s="3" t="b">
        <f t="shared" si="15"/>
        <v>0</v>
      </c>
      <c r="R397" s="3" t="b">
        <f t="shared" si="16"/>
        <v>0</v>
      </c>
      <c r="S397" s="3" t="b">
        <f t="shared" si="17"/>
        <v>0</v>
      </c>
      <c r="U397" s="3" t="s">
        <v>1065</v>
      </c>
      <c r="V397" s="3" t="b">
        <v>1</v>
      </c>
      <c r="W397" s="3" t="b">
        <v>1</v>
      </c>
      <c r="X397" s="3" t="b">
        <v>1</v>
      </c>
      <c r="Y397" s="3" t="b">
        <v>1</v>
      </c>
      <c r="Z397" s="3" t="b">
        <v>1</v>
      </c>
      <c r="AA397" s="3"/>
      <c r="AB397" s="3"/>
      <c r="AC397" s="3"/>
      <c r="AD397" s="3"/>
      <c r="AE397" s="3"/>
      <c r="AF397" s="3" t="s">
        <v>1065</v>
      </c>
      <c r="AG397" s="3" t="b">
        <v>1</v>
      </c>
      <c r="AH397" s="3" t="b">
        <v>1</v>
      </c>
      <c r="AI397" s="3" t="b">
        <v>1</v>
      </c>
      <c r="AJ397" s="3" t="b">
        <v>1</v>
      </c>
      <c r="AK397" s="3" t="b">
        <v>1</v>
      </c>
      <c r="AL397" s="3"/>
      <c r="AM397" s="3"/>
      <c r="AN397" s="3"/>
      <c r="AO397" s="3"/>
      <c r="AP397" s="3"/>
      <c r="AQ397" s="3" t="s">
        <v>1066</v>
      </c>
      <c r="AR397" s="3" t="b">
        <v>1</v>
      </c>
      <c r="AS397" s="3" t="b">
        <v>0</v>
      </c>
      <c r="AT397" s="3" t="b">
        <v>0</v>
      </c>
      <c r="AU397" s="3" t="b">
        <v>1</v>
      </c>
      <c r="AV397" s="3" t="b">
        <v>0</v>
      </c>
      <c r="AW397" s="3" t="b">
        <f t="shared" si="18"/>
        <v>0</v>
      </c>
      <c r="AX397" s="3" t="b">
        <f t="shared" si="19"/>
        <v>0</v>
      </c>
      <c r="AY397" s="3" t="b">
        <f t="shared" si="20"/>
        <v>1</v>
      </c>
      <c r="AZ397" s="3" t="b">
        <f t="shared" si="21"/>
        <v>0</v>
      </c>
      <c r="BA397" s="3" t="b">
        <f t="shared" si="22"/>
        <v>0</v>
      </c>
      <c r="BB397" s="3" t="b">
        <f t="shared" si="23"/>
        <v>0</v>
      </c>
      <c r="BC397" s="3"/>
      <c r="BD397" s="3" t="s">
        <v>1066</v>
      </c>
      <c r="BE397" s="3" t="b">
        <v>1</v>
      </c>
      <c r="BF397" s="3" t="b">
        <v>0</v>
      </c>
      <c r="BG397" s="3" t="b">
        <v>0</v>
      </c>
      <c r="BH397" s="3" t="b">
        <v>1</v>
      </c>
      <c r="BI397" s="3" t="b">
        <v>0</v>
      </c>
      <c r="BJ397" s="3"/>
      <c r="BK397" s="3"/>
      <c r="BL397" s="3"/>
      <c r="BM397" s="3"/>
      <c r="BN397" s="3"/>
      <c r="BO397" s="3" t="s">
        <v>1066</v>
      </c>
      <c r="BP397" s="3" t="b">
        <v>1</v>
      </c>
      <c r="BQ397" s="3" t="b">
        <v>0</v>
      </c>
      <c r="BR397" s="3" t="b">
        <v>0</v>
      </c>
      <c r="BS397" s="3" t="b">
        <v>1</v>
      </c>
      <c r="BT397" s="3" t="b">
        <v>0</v>
      </c>
      <c r="BU397" s="3"/>
      <c r="BV397" s="3"/>
      <c r="BW397" s="3"/>
      <c r="BX397" s="3"/>
    </row>
    <row r="398" spans="1:76" x14ac:dyDescent="0.35">
      <c r="A398" s="3"/>
      <c r="B398" s="3" t="s">
        <v>188</v>
      </c>
      <c r="C398" s="3"/>
      <c r="D398" s="3"/>
      <c r="E398" s="3"/>
      <c r="F398" s="3"/>
      <c r="G398" s="3"/>
      <c r="H398" s="3"/>
      <c r="I398" s="3"/>
      <c r="J398" s="3"/>
      <c r="K398" s="3"/>
      <c r="L398" s="3"/>
      <c r="M398" s="3"/>
      <c r="N398" s="3">
        <f t="shared" si="12"/>
        <v>0</v>
      </c>
      <c r="O398" s="3">
        <f t="shared" si="13"/>
        <v>0</v>
      </c>
      <c r="P398" s="3">
        <f t="shared" si="14"/>
        <v>0</v>
      </c>
      <c r="Q398" s="3">
        <f t="shared" si="15"/>
        <v>0</v>
      </c>
      <c r="R398" s="3">
        <f t="shared" si="16"/>
        <v>0</v>
      </c>
      <c r="S398" s="3">
        <f t="shared" si="17"/>
        <v>0</v>
      </c>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f t="shared" si="18"/>
        <v>0</v>
      </c>
      <c r="AX398" s="3">
        <f t="shared" si="19"/>
        <v>0</v>
      </c>
      <c r="AY398" s="3">
        <f t="shared" si="20"/>
        <v>0</v>
      </c>
      <c r="AZ398" s="3">
        <f t="shared" si="21"/>
        <v>0</v>
      </c>
      <c r="BA398" s="3">
        <f t="shared" si="22"/>
        <v>0</v>
      </c>
      <c r="BB398" s="3">
        <f t="shared" si="23"/>
        <v>0</v>
      </c>
      <c r="BC398" s="3"/>
      <c r="BD398" s="3"/>
      <c r="BE398" s="3"/>
      <c r="BF398" s="3"/>
      <c r="BG398" s="3"/>
      <c r="BH398" s="3"/>
      <c r="BI398" s="3"/>
      <c r="BJ398" s="3"/>
      <c r="BK398" s="3"/>
      <c r="BL398" s="3"/>
      <c r="BM398" s="3"/>
      <c r="BN398" s="3"/>
      <c r="BO398" s="3"/>
      <c r="BP398" s="3"/>
      <c r="BQ398" s="3"/>
      <c r="BR398" s="3"/>
      <c r="BS398" s="3"/>
      <c r="BT398" s="3"/>
      <c r="BU398" s="3"/>
      <c r="BV398" s="3"/>
      <c r="BW398" s="3"/>
      <c r="BX398" s="3"/>
    </row>
    <row r="399" spans="1:76" x14ac:dyDescent="0.35">
      <c r="A399" s="3"/>
      <c r="B399" s="3" t="s">
        <v>195</v>
      </c>
      <c r="C399" s="3" t="s">
        <v>131</v>
      </c>
      <c r="D399" s="3"/>
      <c r="E399" s="3"/>
      <c r="F399" s="3"/>
      <c r="G399" s="3" t="s">
        <v>3811</v>
      </c>
      <c r="H399" s="3" t="s">
        <v>133</v>
      </c>
      <c r="I399" s="3" t="b">
        <v>1</v>
      </c>
      <c r="J399" s="3" t="b">
        <v>1</v>
      </c>
      <c r="K399" s="3" t="b">
        <v>1</v>
      </c>
      <c r="L399" s="3" t="b">
        <v>1</v>
      </c>
      <c r="M399" s="3" t="b">
        <v>1</v>
      </c>
      <c r="N399" s="3" t="b">
        <f t="shared" si="12"/>
        <v>1</v>
      </c>
      <c r="O399" s="3" t="b">
        <f t="shared" si="13"/>
        <v>0</v>
      </c>
      <c r="P399" s="3" t="b">
        <f t="shared" si="14"/>
        <v>0</v>
      </c>
      <c r="Q399" s="3" t="b">
        <f t="shared" si="15"/>
        <v>0</v>
      </c>
      <c r="R399" s="3" t="b">
        <f t="shared" si="16"/>
        <v>0</v>
      </c>
      <c r="S399" s="3" t="b">
        <f t="shared" si="17"/>
        <v>0</v>
      </c>
      <c r="U399" s="3" t="s">
        <v>133</v>
      </c>
      <c r="V399" s="3" t="b">
        <v>1</v>
      </c>
      <c r="W399" s="3" t="b">
        <v>1</v>
      </c>
      <c r="X399" s="3" t="b">
        <v>1</v>
      </c>
      <c r="Y399" s="3" t="b">
        <v>1</v>
      </c>
      <c r="Z399" s="3" t="b">
        <v>1</v>
      </c>
      <c r="AA399" s="3"/>
      <c r="AB399" s="3"/>
      <c r="AC399" s="3"/>
      <c r="AD399" s="3"/>
      <c r="AE399" s="3"/>
      <c r="AF399" s="3" t="s">
        <v>133</v>
      </c>
      <c r="AG399" s="3" t="b">
        <v>1</v>
      </c>
      <c r="AH399" s="3" t="b">
        <v>1</v>
      </c>
      <c r="AI399" s="3" t="b">
        <v>1</v>
      </c>
      <c r="AJ399" s="3" t="b">
        <v>1</v>
      </c>
      <c r="AK399" s="3" t="b">
        <v>1</v>
      </c>
      <c r="AL399" s="3"/>
      <c r="AM399" s="3"/>
      <c r="AN399" s="3"/>
      <c r="AO399" s="3"/>
      <c r="AP399" s="3"/>
      <c r="AQ399" s="3" t="s">
        <v>133</v>
      </c>
      <c r="AR399" s="3" t="b">
        <v>1</v>
      </c>
      <c r="AS399" s="3" t="b">
        <v>1</v>
      </c>
      <c r="AT399" s="3" t="b">
        <v>1</v>
      </c>
      <c r="AU399" s="3" t="b">
        <v>1</v>
      </c>
      <c r="AV399" s="3" t="b">
        <v>1</v>
      </c>
      <c r="AW399" s="3" t="b">
        <f t="shared" si="18"/>
        <v>1</v>
      </c>
      <c r="AX399" s="3" t="b">
        <f t="shared" si="19"/>
        <v>0</v>
      </c>
      <c r="AY399" s="3" t="b">
        <f t="shared" si="20"/>
        <v>0</v>
      </c>
      <c r="AZ399" s="3" t="b">
        <f t="shared" si="21"/>
        <v>0</v>
      </c>
      <c r="BA399" s="3" t="b">
        <f t="shared" si="22"/>
        <v>0</v>
      </c>
      <c r="BB399" s="3" t="b">
        <f t="shared" si="23"/>
        <v>0</v>
      </c>
      <c r="BC399" s="3"/>
      <c r="BD399" s="3" t="s">
        <v>133</v>
      </c>
      <c r="BE399" s="3" t="b">
        <v>1</v>
      </c>
      <c r="BF399" s="3" t="b">
        <v>1</v>
      </c>
      <c r="BG399" s="3" t="b">
        <v>1</v>
      </c>
      <c r="BH399" s="3" t="b">
        <v>1</v>
      </c>
      <c r="BI399" s="3" t="b">
        <v>1</v>
      </c>
      <c r="BJ399" s="3"/>
      <c r="BK399" s="3"/>
      <c r="BL399" s="3"/>
      <c r="BM399" s="3"/>
      <c r="BN399" s="3"/>
      <c r="BO399" s="3" t="s">
        <v>133</v>
      </c>
      <c r="BP399" s="3" t="b">
        <v>1</v>
      </c>
      <c r="BQ399" s="3" t="b">
        <v>1</v>
      </c>
      <c r="BR399" s="3" t="b">
        <v>1</v>
      </c>
      <c r="BS399" s="3" t="b">
        <v>1</v>
      </c>
      <c r="BT399" s="3" t="b">
        <v>1</v>
      </c>
      <c r="BU399" s="3"/>
      <c r="BV399" s="3"/>
      <c r="BW399" s="3"/>
      <c r="BX399" s="3"/>
    </row>
    <row r="400" spans="1:76" x14ac:dyDescent="0.35">
      <c r="A400" s="3"/>
      <c r="B400" s="3"/>
      <c r="C400" s="3" t="s">
        <v>197</v>
      </c>
      <c r="D400" s="3"/>
      <c r="E400" s="3"/>
      <c r="F400" s="3"/>
      <c r="G400" s="3" t="s">
        <v>3812</v>
      </c>
      <c r="H400" s="3" t="s">
        <v>199</v>
      </c>
      <c r="I400" s="3" t="b">
        <v>1</v>
      </c>
      <c r="J400" s="3" t="b">
        <v>1</v>
      </c>
      <c r="K400" s="3" t="b">
        <v>1</v>
      </c>
      <c r="L400" s="3" t="b">
        <v>1</v>
      </c>
      <c r="M400" s="3" t="b">
        <v>1</v>
      </c>
      <c r="N400" s="3" t="b">
        <f t="shared" si="12"/>
        <v>1</v>
      </c>
      <c r="O400" s="3" t="b">
        <f t="shared" si="13"/>
        <v>0</v>
      </c>
      <c r="P400" s="3" t="b">
        <f t="shared" si="14"/>
        <v>0</v>
      </c>
      <c r="Q400" s="3" t="b">
        <f t="shared" si="15"/>
        <v>0</v>
      </c>
      <c r="R400" s="3" t="b">
        <f t="shared" si="16"/>
        <v>0</v>
      </c>
      <c r="S400" s="3" t="b">
        <f t="shared" si="17"/>
        <v>0</v>
      </c>
      <c r="U400" s="3" t="s">
        <v>199</v>
      </c>
      <c r="V400" s="3" t="b">
        <v>1</v>
      </c>
      <c r="W400" s="3" t="b">
        <v>1</v>
      </c>
      <c r="X400" s="3" t="b">
        <v>1</v>
      </c>
      <c r="Y400" s="3" t="b">
        <v>1</v>
      </c>
      <c r="Z400" s="3" t="b">
        <v>1</v>
      </c>
      <c r="AA400" s="3"/>
      <c r="AB400" s="3"/>
      <c r="AC400" s="3"/>
      <c r="AD400" s="3"/>
      <c r="AE400" s="3"/>
      <c r="AF400" s="3" t="s">
        <v>199</v>
      </c>
      <c r="AG400" s="3" t="b">
        <v>1</v>
      </c>
      <c r="AH400" s="3" t="b">
        <v>1</v>
      </c>
      <c r="AI400" s="3" t="b">
        <v>1</v>
      </c>
      <c r="AJ400" s="3" t="b">
        <v>1</v>
      </c>
      <c r="AK400" s="3" t="b">
        <v>1</v>
      </c>
      <c r="AL400" s="3"/>
      <c r="AM400" s="3"/>
      <c r="AN400" s="3"/>
      <c r="AO400" s="3"/>
      <c r="AP400" s="3"/>
      <c r="AQ400" s="3" t="s">
        <v>199</v>
      </c>
      <c r="AR400" s="3" t="b">
        <v>1</v>
      </c>
      <c r="AS400" s="3" t="b">
        <v>1</v>
      </c>
      <c r="AT400" s="3" t="b">
        <v>1</v>
      </c>
      <c r="AU400" s="3" t="b">
        <v>1</v>
      </c>
      <c r="AV400" s="3" t="b">
        <v>1</v>
      </c>
      <c r="AW400" s="3" t="b">
        <f t="shared" si="18"/>
        <v>1</v>
      </c>
      <c r="AX400" s="3" t="b">
        <f t="shared" si="19"/>
        <v>0</v>
      </c>
      <c r="AY400" s="3" t="b">
        <f t="shared" si="20"/>
        <v>0</v>
      </c>
      <c r="AZ400" s="3" t="b">
        <f t="shared" si="21"/>
        <v>0</v>
      </c>
      <c r="BA400" s="3" t="b">
        <f t="shared" si="22"/>
        <v>0</v>
      </c>
      <c r="BB400" s="3" t="b">
        <f t="shared" si="23"/>
        <v>0</v>
      </c>
      <c r="BC400" s="3"/>
      <c r="BD400" s="3" t="s">
        <v>199</v>
      </c>
      <c r="BE400" s="3" t="b">
        <v>1</v>
      </c>
      <c r="BF400" s="3" t="b">
        <v>1</v>
      </c>
      <c r="BG400" s="3" t="b">
        <v>1</v>
      </c>
      <c r="BH400" s="3" t="b">
        <v>1</v>
      </c>
      <c r="BI400" s="3" t="b">
        <v>1</v>
      </c>
      <c r="BJ400" s="3"/>
      <c r="BK400" s="3"/>
      <c r="BL400" s="3"/>
      <c r="BM400" s="3"/>
      <c r="BN400" s="3"/>
      <c r="BO400" s="3" t="s">
        <v>199</v>
      </c>
      <c r="BP400" s="3" t="b">
        <v>1</v>
      </c>
      <c r="BQ400" s="3" t="b">
        <v>1</v>
      </c>
      <c r="BR400" s="3" t="b">
        <v>1</v>
      </c>
      <c r="BS400" s="3" t="b">
        <v>1</v>
      </c>
      <c r="BT400" s="3" t="b">
        <v>1</v>
      </c>
      <c r="BU400" s="3"/>
      <c r="BV400" s="3"/>
      <c r="BW400" s="3"/>
      <c r="BX400" s="3"/>
    </row>
    <row r="401" spans="1:76" x14ac:dyDescent="0.35">
      <c r="A401" s="3"/>
      <c r="B401" s="3"/>
      <c r="C401" s="3" t="s">
        <v>200</v>
      </c>
      <c r="D401" s="3"/>
      <c r="E401" s="3"/>
      <c r="F401" s="3"/>
      <c r="G401" s="3" t="s">
        <v>3813</v>
      </c>
      <c r="H401" s="3" t="s">
        <v>202</v>
      </c>
      <c r="I401" s="3" t="b">
        <v>1</v>
      </c>
      <c r="J401" s="3" t="b">
        <v>1</v>
      </c>
      <c r="K401" s="3" t="b">
        <v>1</v>
      </c>
      <c r="L401" s="3" t="b">
        <v>1</v>
      </c>
      <c r="M401" s="3" t="b">
        <v>1</v>
      </c>
      <c r="N401" s="3" t="b">
        <f t="shared" si="12"/>
        <v>1</v>
      </c>
      <c r="O401" s="3" t="b">
        <f t="shared" si="13"/>
        <v>0</v>
      </c>
      <c r="P401" s="3" t="b">
        <f t="shared" si="14"/>
        <v>0</v>
      </c>
      <c r="Q401" s="3" t="b">
        <f t="shared" si="15"/>
        <v>0</v>
      </c>
      <c r="R401" s="3" t="b">
        <f t="shared" si="16"/>
        <v>0</v>
      </c>
      <c r="S401" s="3" t="b">
        <f t="shared" si="17"/>
        <v>0</v>
      </c>
      <c r="U401" s="3" t="s">
        <v>452</v>
      </c>
      <c r="V401" s="3" t="b">
        <v>1</v>
      </c>
      <c r="W401" s="3" t="b">
        <v>1</v>
      </c>
      <c r="X401" s="3" t="b">
        <v>1</v>
      </c>
      <c r="Y401" s="3" t="b">
        <v>1</v>
      </c>
      <c r="Z401" s="3" t="b">
        <v>1</v>
      </c>
      <c r="AA401" s="3"/>
      <c r="AB401" s="3"/>
      <c r="AC401" s="3"/>
      <c r="AD401" s="3"/>
      <c r="AE401" s="3"/>
      <c r="AF401" s="3" t="s">
        <v>202</v>
      </c>
      <c r="AG401" s="3" t="b">
        <v>1</v>
      </c>
      <c r="AH401" s="3" t="b">
        <v>1</v>
      </c>
      <c r="AI401" s="3" t="b">
        <v>1</v>
      </c>
      <c r="AJ401" s="3" t="b">
        <v>1</v>
      </c>
      <c r="AK401" s="3" t="b">
        <v>1</v>
      </c>
      <c r="AL401" s="3"/>
      <c r="AM401" s="3"/>
      <c r="AN401" s="3"/>
      <c r="AO401" s="3"/>
      <c r="AP401" s="3"/>
      <c r="AQ401" s="3" t="s">
        <v>1069</v>
      </c>
      <c r="AR401" s="3" t="b">
        <v>1</v>
      </c>
      <c r="AS401" s="3" t="b">
        <v>0</v>
      </c>
      <c r="AT401" s="3" t="b">
        <v>0</v>
      </c>
      <c r="AU401" s="3" t="b">
        <v>1</v>
      </c>
      <c r="AV401" s="3" t="b">
        <v>0</v>
      </c>
      <c r="AW401" s="3" t="b">
        <f t="shared" si="18"/>
        <v>0</v>
      </c>
      <c r="AX401" s="3" t="b">
        <f t="shared" si="19"/>
        <v>0</v>
      </c>
      <c r="AY401" s="3" t="b">
        <f t="shared" si="20"/>
        <v>1</v>
      </c>
      <c r="AZ401" s="3" t="b">
        <f t="shared" si="21"/>
        <v>0</v>
      </c>
      <c r="BA401" s="3" t="b">
        <f t="shared" si="22"/>
        <v>0</v>
      </c>
      <c r="BB401" s="3" t="b">
        <f t="shared" si="23"/>
        <v>0</v>
      </c>
      <c r="BC401" s="3"/>
      <c r="BD401" s="3" t="s">
        <v>1069</v>
      </c>
      <c r="BE401" s="3" t="b">
        <v>1</v>
      </c>
      <c r="BF401" s="3" t="b">
        <v>0</v>
      </c>
      <c r="BG401" s="3" t="b">
        <v>0</v>
      </c>
      <c r="BH401" s="3" t="b">
        <v>1</v>
      </c>
      <c r="BI401" s="3" t="b">
        <v>0</v>
      </c>
      <c r="BJ401" s="3"/>
      <c r="BK401" s="3"/>
      <c r="BL401" s="3"/>
      <c r="BM401" s="3"/>
      <c r="BN401" s="3"/>
      <c r="BO401" s="3" t="s">
        <v>1069</v>
      </c>
      <c r="BP401" s="3" t="b">
        <v>1</v>
      </c>
      <c r="BQ401" s="3" t="b">
        <v>0</v>
      </c>
      <c r="BR401" s="3" t="b">
        <v>0</v>
      </c>
      <c r="BS401" s="3" t="b">
        <v>1</v>
      </c>
      <c r="BT401" s="3" t="b">
        <v>0</v>
      </c>
      <c r="BU401" s="3"/>
      <c r="BV401" s="3"/>
      <c r="BW401" s="3"/>
      <c r="BX401" s="3"/>
    </row>
    <row r="402" spans="1:76" x14ac:dyDescent="0.35">
      <c r="A402" s="3"/>
      <c r="B402" s="3" t="s">
        <v>206</v>
      </c>
      <c r="C402" s="3" t="s">
        <v>207</v>
      </c>
      <c r="D402" s="2" t="s">
        <v>208</v>
      </c>
      <c r="E402" s="2" t="s">
        <v>209</v>
      </c>
      <c r="F402" s="3"/>
      <c r="G402" s="3" t="s">
        <v>3814</v>
      </c>
      <c r="H402" s="3" t="s">
        <v>210</v>
      </c>
      <c r="I402" s="3" t="b">
        <v>1</v>
      </c>
      <c r="J402" s="3" t="b">
        <v>1</v>
      </c>
      <c r="K402" s="3" t="b">
        <v>0</v>
      </c>
      <c r="L402" s="3" t="b">
        <v>1</v>
      </c>
      <c r="M402" s="3" t="b">
        <v>1</v>
      </c>
      <c r="N402" s="3" t="b">
        <f t="shared" si="12"/>
        <v>0</v>
      </c>
      <c r="O402" s="3" t="b">
        <f t="shared" si="13"/>
        <v>0</v>
      </c>
      <c r="P402" s="3" t="b">
        <f t="shared" si="14"/>
        <v>0</v>
      </c>
      <c r="Q402" s="3" t="b">
        <f t="shared" si="15"/>
        <v>1</v>
      </c>
      <c r="R402" s="3" t="b">
        <f t="shared" si="16"/>
        <v>0</v>
      </c>
      <c r="S402" s="3" t="b">
        <f t="shared" si="17"/>
        <v>1</v>
      </c>
      <c r="U402" s="3" t="s">
        <v>210</v>
      </c>
      <c r="V402" s="3" t="b">
        <v>1</v>
      </c>
      <c r="W402" s="3" t="b">
        <v>1</v>
      </c>
      <c r="X402" s="3" t="b">
        <v>0</v>
      </c>
      <c r="Y402" s="3" t="b">
        <v>1</v>
      </c>
      <c r="Z402" s="3" t="b">
        <v>1</v>
      </c>
      <c r="AA402" s="3"/>
      <c r="AB402" s="3"/>
      <c r="AC402" s="3"/>
      <c r="AD402" s="3"/>
      <c r="AE402" s="3"/>
      <c r="AF402" s="3" t="s">
        <v>210</v>
      </c>
      <c r="AG402" s="3" t="b">
        <v>1</v>
      </c>
      <c r="AH402" s="3" t="b">
        <v>1</v>
      </c>
      <c r="AI402" s="3" t="b">
        <v>0</v>
      </c>
      <c r="AJ402" s="3" t="b">
        <v>1</v>
      </c>
      <c r="AK402" s="3" t="b">
        <v>1</v>
      </c>
      <c r="AL402" s="3"/>
      <c r="AM402" s="3"/>
      <c r="AN402" s="3"/>
      <c r="AO402" s="3"/>
      <c r="AP402" s="3"/>
      <c r="AQ402" s="3" t="s">
        <v>210</v>
      </c>
      <c r="AR402" s="3" t="b">
        <v>1</v>
      </c>
      <c r="AS402" s="3" t="b">
        <v>1</v>
      </c>
      <c r="AT402" s="3" t="b">
        <v>0</v>
      </c>
      <c r="AU402" s="3" t="b">
        <v>1</v>
      </c>
      <c r="AV402" s="3" t="b">
        <v>1</v>
      </c>
      <c r="AW402" s="3" t="b">
        <f t="shared" si="18"/>
        <v>0</v>
      </c>
      <c r="AX402" s="3" t="b">
        <f t="shared" si="19"/>
        <v>0</v>
      </c>
      <c r="AY402" s="3" t="b">
        <f t="shared" si="20"/>
        <v>0</v>
      </c>
      <c r="AZ402" s="3" t="b">
        <f t="shared" si="21"/>
        <v>1</v>
      </c>
      <c r="BA402" s="3" t="b">
        <f t="shared" si="22"/>
        <v>0</v>
      </c>
      <c r="BB402" s="3" t="b">
        <f t="shared" si="23"/>
        <v>1</v>
      </c>
      <c r="BC402" s="3"/>
      <c r="BD402" s="3" t="s">
        <v>210</v>
      </c>
      <c r="BE402" s="3" t="b">
        <v>1</v>
      </c>
      <c r="BF402" s="3" t="b">
        <v>1</v>
      </c>
      <c r="BG402" s="3" t="b">
        <v>0</v>
      </c>
      <c r="BH402" s="3" t="b">
        <v>1</v>
      </c>
      <c r="BI402" s="3" t="b">
        <v>1</v>
      </c>
      <c r="BJ402" s="3"/>
      <c r="BK402" s="3"/>
      <c r="BL402" s="3"/>
      <c r="BM402" s="3"/>
      <c r="BN402" s="3"/>
      <c r="BO402" s="3" t="s">
        <v>210</v>
      </c>
      <c r="BP402" s="3" t="b">
        <v>1</v>
      </c>
      <c r="BQ402" s="3" t="b">
        <v>1</v>
      </c>
      <c r="BR402" s="3" t="b">
        <v>0</v>
      </c>
      <c r="BS402" s="3" t="b">
        <v>1</v>
      </c>
      <c r="BT402" s="3" t="b">
        <v>1</v>
      </c>
      <c r="BU402" s="3"/>
      <c r="BV402" s="3"/>
      <c r="BW402" s="3"/>
      <c r="BX402" s="3"/>
    </row>
    <row r="403" spans="1:76" x14ac:dyDescent="0.35">
      <c r="A403" s="3"/>
      <c r="B403" s="3"/>
      <c r="C403" s="3"/>
      <c r="D403" s="3"/>
      <c r="E403" s="3"/>
      <c r="F403" s="3"/>
      <c r="G403" s="3"/>
      <c r="H403" s="3"/>
      <c r="I403" s="3"/>
      <c r="J403" s="3"/>
      <c r="K403" s="3"/>
      <c r="L403" s="3"/>
      <c r="M403" s="3"/>
      <c r="N403" s="3">
        <f t="shared" si="12"/>
        <v>0</v>
      </c>
      <c r="O403" s="3">
        <f t="shared" si="13"/>
        <v>0</v>
      </c>
      <c r="P403" s="3">
        <f t="shared" si="14"/>
        <v>0</v>
      </c>
      <c r="Q403" s="3">
        <f t="shared" si="15"/>
        <v>0</v>
      </c>
      <c r="R403" s="3">
        <f t="shared" si="16"/>
        <v>0</v>
      </c>
      <c r="S403" s="3">
        <f t="shared" si="17"/>
        <v>0</v>
      </c>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f t="shared" si="18"/>
        <v>0</v>
      </c>
      <c r="AX403" s="3">
        <f t="shared" si="19"/>
        <v>0</v>
      </c>
      <c r="AY403" s="3">
        <f t="shared" si="20"/>
        <v>0</v>
      </c>
      <c r="AZ403" s="3">
        <f t="shared" si="21"/>
        <v>0</v>
      </c>
      <c r="BA403" s="3">
        <f t="shared" si="22"/>
        <v>0</v>
      </c>
      <c r="BB403" s="3">
        <f t="shared" si="23"/>
        <v>0</v>
      </c>
      <c r="BC403" s="3"/>
      <c r="BD403" s="3"/>
      <c r="BE403" s="3"/>
      <c r="BF403" s="3"/>
      <c r="BG403" s="3"/>
      <c r="BH403" s="3"/>
      <c r="BI403" s="3"/>
      <c r="BJ403" s="3"/>
      <c r="BK403" s="3"/>
      <c r="BL403" s="3"/>
      <c r="BM403" s="3"/>
      <c r="BN403" s="3"/>
      <c r="BO403" s="3"/>
      <c r="BP403" s="3"/>
      <c r="BQ403" s="3"/>
      <c r="BR403" s="3"/>
      <c r="BS403" s="3"/>
      <c r="BT403" s="3"/>
      <c r="BU403" s="3"/>
      <c r="BV403" s="3"/>
      <c r="BW403" s="3"/>
      <c r="BX403" s="3"/>
    </row>
    <row r="404" spans="1:76" x14ac:dyDescent="0.35">
      <c r="A404" s="3" t="s">
        <v>1070</v>
      </c>
      <c r="B404" s="3" t="s">
        <v>1071</v>
      </c>
      <c r="C404" s="3" t="s">
        <v>1072</v>
      </c>
      <c r="D404" s="3"/>
      <c r="E404" s="3"/>
      <c r="F404" s="3"/>
      <c r="G404" s="3" t="s">
        <v>3815</v>
      </c>
      <c r="H404" s="3" t="s">
        <v>1074</v>
      </c>
      <c r="I404" s="3" t="b">
        <v>1</v>
      </c>
      <c r="J404" s="3" t="b">
        <v>1</v>
      </c>
      <c r="K404" s="3" t="b">
        <v>1</v>
      </c>
      <c r="L404" s="3" t="b">
        <v>1</v>
      </c>
      <c r="M404" s="3" t="b">
        <v>1</v>
      </c>
      <c r="N404" s="3" t="b">
        <f t="shared" si="12"/>
        <v>1</v>
      </c>
      <c r="O404" s="3" t="b">
        <f t="shared" si="13"/>
        <v>0</v>
      </c>
      <c r="P404" s="3" t="b">
        <f t="shared" si="14"/>
        <v>0</v>
      </c>
      <c r="Q404" s="3" t="b">
        <f t="shared" si="15"/>
        <v>0</v>
      </c>
      <c r="R404" s="3" t="b">
        <f t="shared" si="16"/>
        <v>0</v>
      </c>
      <c r="S404" s="3" t="b">
        <f t="shared" si="17"/>
        <v>0</v>
      </c>
      <c r="U404" s="3" t="s">
        <v>1074</v>
      </c>
      <c r="V404" s="3" t="b">
        <v>1</v>
      </c>
      <c r="W404" s="3" t="b">
        <v>1</v>
      </c>
      <c r="X404" s="3" t="b">
        <v>1</v>
      </c>
      <c r="Y404" s="3" t="b">
        <v>1</v>
      </c>
      <c r="Z404" s="3" t="b">
        <v>1</v>
      </c>
      <c r="AA404" s="3"/>
      <c r="AB404" s="3"/>
      <c r="AC404" s="3"/>
      <c r="AD404" s="3"/>
      <c r="AE404" s="3"/>
      <c r="AF404" s="3" t="s">
        <v>1074</v>
      </c>
      <c r="AG404" s="3" t="b">
        <v>1</v>
      </c>
      <c r="AH404" s="3" t="b">
        <v>1</v>
      </c>
      <c r="AI404" s="3" t="b">
        <v>1</v>
      </c>
      <c r="AJ404" s="3" t="b">
        <v>1</v>
      </c>
      <c r="AK404" s="3" t="b">
        <v>1</v>
      </c>
      <c r="AL404" s="3"/>
      <c r="AM404" s="3"/>
      <c r="AN404" s="3"/>
      <c r="AO404" s="3"/>
      <c r="AP404" s="3"/>
      <c r="AQ404" s="3" t="s">
        <v>1074</v>
      </c>
      <c r="AR404" s="3" t="b">
        <v>1</v>
      </c>
      <c r="AS404" s="3" t="b">
        <v>1</v>
      </c>
      <c r="AT404" s="3" t="b">
        <v>1</v>
      </c>
      <c r="AU404" s="3" t="b">
        <v>1</v>
      </c>
      <c r="AV404" s="3" t="b">
        <v>1</v>
      </c>
      <c r="AW404" s="3" t="b">
        <f t="shared" si="18"/>
        <v>1</v>
      </c>
      <c r="AX404" s="3" t="b">
        <f t="shared" si="19"/>
        <v>0</v>
      </c>
      <c r="AY404" s="3" t="b">
        <f t="shared" si="20"/>
        <v>0</v>
      </c>
      <c r="AZ404" s="3" t="b">
        <f t="shared" si="21"/>
        <v>0</v>
      </c>
      <c r="BA404" s="3" t="b">
        <f t="shared" si="22"/>
        <v>0</v>
      </c>
      <c r="BB404" s="3" t="b">
        <f t="shared" si="23"/>
        <v>0</v>
      </c>
      <c r="BC404" s="3"/>
      <c r="BD404" s="3" t="s">
        <v>1074</v>
      </c>
      <c r="BE404" s="3" t="b">
        <v>1</v>
      </c>
      <c r="BF404" s="3" t="b">
        <v>1</v>
      </c>
      <c r="BG404" s="3" t="b">
        <v>1</v>
      </c>
      <c r="BH404" s="3" t="b">
        <v>1</v>
      </c>
      <c r="BI404" s="3" t="b">
        <v>1</v>
      </c>
      <c r="BJ404" s="3"/>
      <c r="BK404" s="3"/>
      <c r="BL404" s="3"/>
      <c r="BM404" s="3"/>
      <c r="BN404" s="3"/>
      <c r="BO404" s="3" t="s">
        <v>1074</v>
      </c>
      <c r="BP404" s="3" t="b">
        <v>1</v>
      </c>
      <c r="BQ404" s="3" t="b">
        <v>1</v>
      </c>
      <c r="BR404" s="3" t="b">
        <v>1</v>
      </c>
      <c r="BS404" s="3" t="b">
        <v>1</v>
      </c>
      <c r="BT404" s="3" t="b">
        <v>1</v>
      </c>
      <c r="BU404" s="3"/>
      <c r="BV404" s="3"/>
      <c r="BW404" s="3"/>
      <c r="BX404" s="3"/>
    </row>
    <row r="405" spans="1:76" x14ac:dyDescent="0.35">
      <c r="A405" s="3"/>
      <c r="B405" s="3"/>
      <c r="C405" s="4" t="s">
        <v>1075</v>
      </c>
      <c r="D405" s="3"/>
      <c r="E405" s="3"/>
      <c r="F405" s="3"/>
      <c r="G405" s="3" t="s">
        <v>3816</v>
      </c>
      <c r="H405" s="3" t="s">
        <v>1077</v>
      </c>
      <c r="I405" s="3" t="b">
        <v>1</v>
      </c>
      <c r="J405" s="3" t="b">
        <v>1</v>
      </c>
      <c r="K405" s="3" t="b">
        <v>1</v>
      </c>
      <c r="L405" s="3" t="b">
        <v>1</v>
      </c>
      <c r="M405" s="3" t="b">
        <v>1</v>
      </c>
      <c r="N405" s="3" t="b">
        <f t="shared" si="12"/>
        <v>1</v>
      </c>
      <c r="O405" s="3" t="b">
        <f t="shared" si="13"/>
        <v>0</v>
      </c>
      <c r="P405" s="3" t="b">
        <f t="shared" si="14"/>
        <v>0</v>
      </c>
      <c r="Q405" s="3" t="b">
        <f t="shared" si="15"/>
        <v>0</v>
      </c>
      <c r="R405" s="3" t="b">
        <f t="shared" si="16"/>
        <v>0</v>
      </c>
      <c r="S405" s="3" t="b">
        <f t="shared" si="17"/>
        <v>0</v>
      </c>
      <c r="U405" s="3" t="s">
        <v>1077</v>
      </c>
      <c r="V405" s="3" t="b">
        <v>1</v>
      </c>
      <c r="W405" s="3" t="b">
        <v>1</v>
      </c>
      <c r="X405" s="3" t="b">
        <v>1</v>
      </c>
      <c r="Y405" s="3" t="b">
        <v>1</v>
      </c>
      <c r="Z405" s="3" t="b">
        <v>1</v>
      </c>
      <c r="AA405" s="3"/>
      <c r="AB405" s="3"/>
      <c r="AC405" s="3"/>
      <c r="AD405" s="3"/>
      <c r="AE405" s="3"/>
      <c r="AF405" s="3" t="s">
        <v>1077</v>
      </c>
      <c r="AG405" s="3" t="b">
        <v>1</v>
      </c>
      <c r="AH405" s="3" t="b">
        <v>1</v>
      </c>
      <c r="AI405" s="3" t="b">
        <v>1</v>
      </c>
      <c r="AJ405" s="3" t="b">
        <v>1</v>
      </c>
      <c r="AK405" s="3" t="b">
        <v>1</v>
      </c>
      <c r="AL405" s="3"/>
      <c r="AM405" s="3"/>
      <c r="AN405" s="3"/>
      <c r="AO405" s="3"/>
      <c r="AP405" s="3"/>
      <c r="AQ405" s="3" t="s">
        <v>1077</v>
      </c>
      <c r="AR405" s="3" t="b">
        <v>1</v>
      </c>
      <c r="AS405" s="3" t="b">
        <v>1</v>
      </c>
      <c r="AT405" s="3" t="b">
        <v>1</v>
      </c>
      <c r="AU405" s="3" t="b">
        <v>1</v>
      </c>
      <c r="AV405" s="3" t="b">
        <v>1</v>
      </c>
      <c r="AW405" s="3" t="b">
        <f t="shared" si="18"/>
        <v>1</v>
      </c>
      <c r="AX405" s="3" t="b">
        <f t="shared" si="19"/>
        <v>0</v>
      </c>
      <c r="AY405" s="3" t="b">
        <f t="shared" si="20"/>
        <v>0</v>
      </c>
      <c r="AZ405" s="3" t="b">
        <f t="shared" si="21"/>
        <v>0</v>
      </c>
      <c r="BA405" s="3" t="b">
        <f t="shared" si="22"/>
        <v>0</v>
      </c>
      <c r="BB405" s="3" t="b">
        <f t="shared" si="23"/>
        <v>0</v>
      </c>
      <c r="BC405" s="3"/>
      <c r="BD405" s="3" t="s">
        <v>1077</v>
      </c>
      <c r="BE405" s="3" t="b">
        <v>1</v>
      </c>
      <c r="BF405" s="3" t="b">
        <v>1</v>
      </c>
      <c r="BG405" s="3" t="b">
        <v>1</v>
      </c>
      <c r="BH405" s="3" t="b">
        <v>1</v>
      </c>
      <c r="BI405" s="3" t="b">
        <v>1</v>
      </c>
      <c r="BJ405" s="3"/>
      <c r="BK405" s="3"/>
      <c r="BL405" s="3"/>
      <c r="BM405" s="3"/>
      <c r="BN405" s="3"/>
      <c r="BO405" s="3" t="s">
        <v>1077</v>
      </c>
      <c r="BP405" s="3" t="b">
        <v>1</v>
      </c>
      <c r="BQ405" s="3" t="b">
        <v>1</v>
      </c>
      <c r="BR405" s="3" t="b">
        <v>1</v>
      </c>
      <c r="BS405" s="3" t="b">
        <v>1</v>
      </c>
      <c r="BT405" s="3" t="b">
        <v>1</v>
      </c>
      <c r="BU405" s="3"/>
      <c r="BV405" s="3"/>
      <c r="BW405" s="3"/>
      <c r="BX405" s="3"/>
    </row>
    <row r="406" spans="1:76" x14ac:dyDescent="0.35">
      <c r="A406" s="3"/>
      <c r="B406" s="3"/>
      <c r="C406" s="3" t="s">
        <v>25</v>
      </c>
      <c r="D406" s="3"/>
      <c r="E406" s="3"/>
      <c r="F406" s="3"/>
      <c r="G406" s="3" t="s">
        <v>3817</v>
      </c>
      <c r="H406" s="3" t="s">
        <v>28</v>
      </c>
      <c r="I406" s="3" t="b">
        <v>1</v>
      </c>
      <c r="J406" s="3" t="b">
        <v>1</v>
      </c>
      <c r="K406" s="3" t="b">
        <v>1</v>
      </c>
      <c r="L406" s="3" t="b">
        <v>1</v>
      </c>
      <c r="M406" s="3" t="b">
        <v>1</v>
      </c>
      <c r="N406" s="3" t="b">
        <f t="shared" si="12"/>
        <v>1</v>
      </c>
      <c r="O406" s="3" t="b">
        <f t="shared" si="13"/>
        <v>0</v>
      </c>
      <c r="P406" s="3" t="b">
        <f t="shared" si="14"/>
        <v>0</v>
      </c>
      <c r="Q406" s="3" t="b">
        <f t="shared" si="15"/>
        <v>0</v>
      </c>
      <c r="R406" s="3" t="b">
        <f t="shared" si="16"/>
        <v>0</v>
      </c>
      <c r="S406" s="3" t="b">
        <f t="shared" si="17"/>
        <v>0</v>
      </c>
      <c r="U406" s="3" t="s">
        <v>28</v>
      </c>
      <c r="V406" s="3" t="b">
        <v>1</v>
      </c>
      <c r="W406" s="3" t="b">
        <v>1</v>
      </c>
      <c r="X406" s="3" t="b">
        <v>1</v>
      </c>
      <c r="Y406" s="3" t="b">
        <v>1</v>
      </c>
      <c r="Z406" s="3" t="b">
        <v>1</v>
      </c>
      <c r="AA406" s="3"/>
      <c r="AB406" s="3"/>
      <c r="AC406" s="3"/>
      <c r="AD406" s="3"/>
      <c r="AE406" s="3"/>
      <c r="AF406" s="3" t="s">
        <v>28</v>
      </c>
      <c r="AG406" s="3" t="b">
        <v>1</v>
      </c>
      <c r="AH406" s="3" t="b">
        <v>1</v>
      </c>
      <c r="AI406" s="3" t="b">
        <v>1</v>
      </c>
      <c r="AJ406" s="3" t="b">
        <v>1</v>
      </c>
      <c r="AK406" s="3" t="b">
        <v>1</v>
      </c>
      <c r="AL406" s="3"/>
      <c r="AM406" s="3"/>
      <c r="AN406" s="3"/>
      <c r="AO406" s="3"/>
      <c r="AP406" s="3"/>
      <c r="AQ406" s="3" t="s">
        <v>28</v>
      </c>
      <c r="AR406" s="3" t="b">
        <v>1</v>
      </c>
      <c r="AS406" s="3" t="b">
        <v>1</v>
      </c>
      <c r="AT406" s="3" t="b">
        <v>1</v>
      </c>
      <c r="AU406" s="3" t="b">
        <v>1</v>
      </c>
      <c r="AV406" s="3" t="b">
        <v>1</v>
      </c>
      <c r="AW406" s="3" t="b">
        <f t="shared" si="18"/>
        <v>1</v>
      </c>
      <c r="AX406" s="3" t="b">
        <f t="shared" si="19"/>
        <v>0</v>
      </c>
      <c r="AY406" s="3" t="b">
        <f t="shared" si="20"/>
        <v>0</v>
      </c>
      <c r="AZ406" s="3" t="b">
        <f t="shared" si="21"/>
        <v>0</v>
      </c>
      <c r="BA406" s="3" t="b">
        <f t="shared" si="22"/>
        <v>0</v>
      </c>
      <c r="BB406" s="3" t="b">
        <f t="shared" si="23"/>
        <v>0</v>
      </c>
      <c r="BC406" s="3"/>
      <c r="BD406" s="3" t="s">
        <v>28</v>
      </c>
      <c r="BE406" s="3" t="b">
        <v>1</v>
      </c>
      <c r="BF406" s="3" t="b">
        <v>1</v>
      </c>
      <c r="BG406" s="3" t="b">
        <v>1</v>
      </c>
      <c r="BH406" s="3" t="b">
        <v>1</v>
      </c>
      <c r="BI406" s="3" t="b">
        <v>1</v>
      </c>
      <c r="BJ406" s="3"/>
      <c r="BK406" s="3"/>
      <c r="BL406" s="3"/>
      <c r="BM406" s="3"/>
      <c r="BN406" s="3"/>
      <c r="BO406" s="3" t="s">
        <v>28</v>
      </c>
      <c r="BP406" s="3" t="b">
        <v>1</v>
      </c>
      <c r="BQ406" s="3" t="b">
        <v>1</v>
      </c>
      <c r="BR406" s="3" t="b">
        <v>1</v>
      </c>
      <c r="BS406" s="3" t="b">
        <v>1</v>
      </c>
      <c r="BT406" s="3" t="b">
        <v>1</v>
      </c>
      <c r="BU406" s="3"/>
      <c r="BV406" s="3"/>
      <c r="BW406" s="3"/>
      <c r="BX406" s="3"/>
    </row>
    <row r="407" spans="1:76" x14ac:dyDescent="0.35">
      <c r="A407" s="3"/>
      <c r="B407" s="3" t="s">
        <v>1079</v>
      </c>
      <c r="C407" s="3" t="s">
        <v>1080</v>
      </c>
      <c r="D407" s="3" t="s">
        <v>1081</v>
      </c>
      <c r="E407" s="3" t="s">
        <v>1082</v>
      </c>
      <c r="F407" s="3"/>
      <c r="G407" s="3" t="s">
        <v>3818</v>
      </c>
      <c r="H407" s="3" t="s">
        <v>1084</v>
      </c>
      <c r="I407" s="3" t="b">
        <v>1</v>
      </c>
      <c r="J407" s="3" t="b">
        <v>1</v>
      </c>
      <c r="K407" s="3" t="b">
        <v>1</v>
      </c>
      <c r="L407" s="3" t="b">
        <v>1</v>
      </c>
      <c r="M407" s="3" t="b">
        <v>1</v>
      </c>
      <c r="N407" s="3" t="b">
        <f t="shared" si="12"/>
        <v>1</v>
      </c>
      <c r="O407" s="3" t="b">
        <f t="shared" si="13"/>
        <v>0</v>
      </c>
      <c r="P407" s="3" t="b">
        <f t="shared" si="14"/>
        <v>0</v>
      </c>
      <c r="Q407" s="3" t="b">
        <f t="shared" si="15"/>
        <v>0</v>
      </c>
      <c r="R407" s="3" t="b">
        <f t="shared" si="16"/>
        <v>0</v>
      </c>
      <c r="S407" s="3" t="b">
        <f t="shared" si="17"/>
        <v>0</v>
      </c>
      <c r="U407" s="3" t="s">
        <v>1085</v>
      </c>
      <c r="V407" s="3" t="b">
        <v>1</v>
      </c>
      <c r="W407" s="3" t="b">
        <v>1</v>
      </c>
      <c r="X407" s="3" t="b">
        <v>1</v>
      </c>
      <c r="Y407" s="3" t="b">
        <v>1</v>
      </c>
      <c r="Z407" s="3" t="b">
        <v>1</v>
      </c>
      <c r="AA407" s="3"/>
      <c r="AB407" s="3"/>
      <c r="AC407" s="3"/>
      <c r="AD407" s="3"/>
      <c r="AE407" s="3"/>
      <c r="AF407" s="3" t="s">
        <v>1084</v>
      </c>
      <c r="AG407" s="3" t="b">
        <v>1</v>
      </c>
      <c r="AH407" s="3" t="b">
        <v>1</v>
      </c>
      <c r="AI407" s="3" t="b">
        <v>1</v>
      </c>
      <c r="AJ407" s="3" t="b">
        <v>1</v>
      </c>
      <c r="AK407" s="3" t="b">
        <v>1</v>
      </c>
      <c r="AL407" s="3"/>
      <c r="AM407" s="3"/>
      <c r="AN407" s="3"/>
      <c r="AO407" s="3"/>
      <c r="AP407" s="3"/>
      <c r="AQ407" s="3" t="s">
        <v>1084</v>
      </c>
      <c r="AR407" s="3" t="b">
        <v>1</v>
      </c>
      <c r="AS407" s="3" t="b">
        <v>1</v>
      </c>
      <c r="AT407" s="3" t="b">
        <v>1</v>
      </c>
      <c r="AU407" s="3" t="b">
        <v>1</v>
      </c>
      <c r="AV407" s="3" t="b">
        <v>1</v>
      </c>
      <c r="AW407" s="3" t="b">
        <f t="shared" si="18"/>
        <v>1</v>
      </c>
      <c r="AX407" s="3" t="b">
        <f t="shared" si="19"/>
        <v>0</v>
      </c>
      <c r="AY407" s="3" t="b">
        <f t="shared" si="20"/>
        <v>0</v>
      </c>
      <c r="AZ407" s="3" t="b">
        <f t="shared" si="21"/>
        <v>0</v>
      </c>
      <c r="BA407" s="3" t="b">
        <f t="shared" si="22"/>
        <v>0</v>
      </c>
      <c r="BB407" s="3" t="b">
        <f t="shared" si="23"/>
        <v>0</v>
      </c>
      <c r="BC407" s="3"/>
      <c r="BD407" s="3" t="s">
        <v>1084</v>
      </c>
      <c r="BE407" s="3" t="b">
        <v>1</v>
      </c>
      <c r="BF407" s="3" t="b">
        <v>1</v>
      </c>
      <c r="BG407" s="3" t="b">
        <v>1</v>
      </c>
      <c r="BH407" s="3" t="b">
        <v>1</v>
      </c>
      <c r="BI407" s="3" t="b">
        <v>1</v>
      </c>
      <c r="BJ407" s="3"/>
      <c r="BK407" s="3"/>
      <c r="BL407" s="3"/>
      <c r="BM407" s="3"/>
      <c r="BN407" s="3"/>
      <c r="BO407" s="3" t="s">
        <v>1084</v>
      </c>
      <c r="BP407" s="3" t="b">
        <v>1</v>
      </c>
      <c r="BQ407" s="3" t="b">
        <v>1</v>
      </c>
      <c r="BR407" s="3" t="b">
        <v>1</v>
      </c>
      <c r="BS407" s="3" t="b">
        <v>1</v>
      </c>
      <c r="BT407" s="3" t="b">
        <v>1</v>
      </c>
      <c r="BU407" s="3"/>
      <c r="BV407" s="3"/>
      <c r="BW407" s="3"/>
      <c r="BX407" s="3"/>
    </row>
    <row r="408" spans="1:76" x14ac:dyDescent="0.35">
      <c r="A408" s="3"/>
      <c r="B408" s="3"/>
      <c r="C408" s="4" t="s">
        <v>1086</v>
      </c>
      <c r="D408" s="3"/>
      <c r="E408" s="3"/>
      <c r="F408" s="3"/>
      <c r="G408" s="3" t="s">
        <v>3819</v>
      </c>
      <c r="H408" s="3" t="s">
        <v>1088</v>
      </c>
      <c r="I408" s="3" t="b">
        <v>1</v>
      </c>
      <c r="J408" s="3" t="b">
        <v>1</v>
      </c>
      <c r="K408" s="3" t="b">
        <v>1</v>
      </c>
      <c r="L408" s="3" t="b">
        <v>1</v>
      </c>
      <c r="M408" s="3" t="b">
        <v>1</v>
      </c>
      <c r="N408" s="3" t="b">
        <f t="shared" si="12"/>
        <v>1</v>
      </c>
      <c r="O408" s="3" t="b">
        <f t="shared" si="13"/>
        <v>0</v>
      </c>
      <c r="P408" s="3" t="b">
        <f t="shared" si="14"/>
        <v>0</v>
      </c>
      <c r="Q408" s="3" t="b">
        <f t="shared" si="15"/>
        <v>0</v>
      </c>
      <c r="R408" s="3" t="b">
        <f t="shared" si="16"/>
        <v>0</v>
      </c>
      <c r="S408" s="3" t="b">
        <f t="shared" si="17"/>
        <v>0</v>
      </c>
      <c r="U408" s="3" t="s">
        <v>1088</v>
      </c>
      <c r="V408" s="3" t="b">
        <v>1</v>
      </c>
      <c r="W408" s="3" t="b">
        <v>1</v>
      </c>
      <c r="X408" s="3" t="b">
        <v>1</v>
      </c>
      <c r="Y408" s="3" t="b">
        <v>1</v>
      </c>
      <c r="Z408" s="3" t="b">
        <v>1</v>
      </c>
      <c r="AA408" s="3"/>
      <c r="AB408" s="3"/>
      <c r="AC408" s="3"/>
      <c r="AD408" s="3"/>
      <c r="AE408" s="3"/>
      <c r="AF408" s="3" t="s">
        <v>1089</v>
      </c>
      <c r="AG408" s="3" t="b">
        <v>1</v>
      </c>
      <c r="AH408" s="3" t="b">
        <v>1</v>
      </c>
      <c r="AI408" s="3" t="b">
        <v>1</v>
      </c>
      <c r="AJ408" s="3" t="b">
        <v>1</v>
      </c>
      <c r="AK408" s="3" t="b">
        <v>1</v>
      </c>
      <c r="AL408" s="3"/>
      <c r="AM408" s="3"/>
      <c r="AN408" s="3"/>
      <c r="AO408" s="3"/>
      <c r="AP408" s="3"/>
      <c r="AQ408" s="3" t="s">
        <v>1077</v>
      </c>
      <c r="AR408" s="3" t="b">
        <v>1</v>
      </c>
      <c r="AS408" s="3" t="b">
        <v>1</v>
      </c>
      <c r="AT408" s="3" t="b">
        <v>1</v>
      </c>
      <c r="AU408" s="3" t="b">
        <v>1</v>
      </c>
      <c r="AV408" s="3" t="b">
        <v>1</v>
      </c>
      <c r="AW408" s="3" t="b">
        <f t="shared" si="18"/>
        <v>1</v>
      </c>
      <c r="AX408" s="3" t="b">
        <f t="shared" si="19"/>
        <v>0</v>
      </c>
      <c r="AY408" s="3" t="b">
        <f t="shared" si="20"/>
        <v>0</v>
      </c>
      <c r="AZ408" s="3" t="b">
        <f t="shared" si="21"/>
        <v>0</v>
      </c>
      <c r="BA408" s="3" t="b">
        <f t="shared" si="22"/>
        <v>0</v>
      </c>
      <c r="BB408" s="3" t="b">
        <f t="shared" si="23"/>
        <v>0</v>
      </c>
      <c r="BC408" s="3"/>
      <c r="BD408" s="3" t="s">
        <v>1090</v>
      </c>
      <c r="BE408" s="3" t="b">
        <v>1</v>
      </c>
      <c r="BF408" s="3" t="b">
        <v>0</v>
      </c>
      <c r="BG408" s="3" t="b">
        <v>0</v>
      </c>
      <c r="BH408" s="3" t="b">
        <v>1</v>
      </c>
      <c r="BI408" s="3" t="b">
        <v>0</v>
      </c>
      <c r="BJ408" s="3"/>
      <c r="BK408" s="3"/>
      <c r="BL408" s="3"/>
      <c r="BM408" s="3"/>
      <c r="BN408" s="3"/>
      <c r="BO408" s="3" t="s">
        <v>1077</v>
      </c>
      <c r="BP408" s="3" t="b">
        <v>1</v>
      </c>
      <c r="BQ408" s="3" t="b">
        <v>1</v>
      </c>
      <c r="BR408" s="3" t="b">
        <v>1</v>
      </c>
      <c r="BS408" s="3" t="b">
        <v>1</v>
      </c>
      <c r="BT408" s="3" t="b">
        <v>1</v>
      </c>
      <c r="BU408" s="3"/>
      <c r="BV408" s="3"/>
      <c r="BW408" s="3"/>
      <c r="BX408" s="3"/>
    </row>
    <row r="409" spans="1:76" x14ac:dyDescent="0.35">
      <c r="A409" s="3"/>
      <c r="B409" s="3"/>
      <c r="C409" s="3" t="s">
        <v>1091</v>
      </c>
      <c r="D409" s="3"/>
      <c r="E409" s="3"/>
      <c r="F409" s="3"/>
      <c r="G409" s="3" t="s">
        <v>3820</v>
      </c>
      <c r="H409" s="3"/>
      <c r="I409" s="3" t="b">
        <v>1</v>
      </c>
      <c r="J409" s="3" t="b">
        <v>0</v>
      </c>
      <c r="K409" s="3" t="b">
        <v>0</v>
      </c>
      <c r="L409" s="3" t="b">
        <v>0</v>
      </c>
      <c r="M409" s="3" t="b">
        <v>0</v>
      </c>
      <c r="N409" s="3" t="b">
        <f t="shared" si="12"/>
        <v>0</v>
      </c>
      <c r="O409" s="3" t="b">
        <f t="shared" si="13"/>
        <v>0</v>
      </c>
      <c r="P409" s="3" t="b">
        <f t="shared" si="14"/>
        <v>1</v>
      </c>
      <c r="Q409" s="3" t="b">
        <f t="shared" si="15"/>
        <v>0</v>
      </c>
      <c r="R409" s="3" t="b">
        <f t="shared" si="16"/>
        <v>0</v>
      </c>
      <c r="S409" s="3" t="b">
        <f t="shared" si="17"/>
        <v>0</v>
      </c>
      <c r="U409" s="3" t="s">
        <v>1093</v>
      </c>
      <c r="V409" s="3" t="b">
        <v>1</v>
      </c>
      <c r="W409" s="3" t="b">
        <v>1</v>
      </c>
      <c r="X409" s="3" t="b">
        <v>1</v>
      </c>
      <c r="Y409" s="3" t="b">
        <v>1</v>
      </c>
      <c r="Z409" s="3" t="b">
        <v>1</v>
      </c>
      <c r="AA409" s="3"/>
      <c r="AB409" s="3"/>
      <c r="AC409" s="3"/>
      <c r="AD409" s="3"/>
      <c r="AE409" s="3"/>
      <c r="AF409" s="3" t="s">
        <v>1093</v>
      </c>
      <c r="AG409" s="3" t="b">
        <v>1</v>
      </c>
      <c r="AH409" s="3" t="b">
        <v>1</v>
      </c>
      <c r="AI409" s="3" t="b">
        <v>1</v>
      </c>
      <c r="AJ409" s="3" t="b">
        <v>1</v>
      </c>
      <c r="AK409" s="3" t="b">
        <v>1</v>
      </c>
      <c r="AL409" s="3"/>
      <c r="AM409" s="3"/>
      <c r="AN409" s="3"/>
      <c r="AO409" s="3"/>
      <c r="AP409" s="3"/>
      <c r="AQ409" s="3" t="s">
        <v>1093</v>
      </c>
      <c r="AR409" s="3" t="b">
        <v>1</v>
      </c>
      <c r="AS409" s="3" t="b">
        <v>1</v>
      </c>
      <c r="AT409" s="3" t="b">
        <v>1</v>
      </c>
      <c r="AU409" s="3" t="b">
        <v>1</v>
      </c>
      <c r="AV409" s="3" t="b">
        <v>1</v>
      </c>
      <c r="AW409" s="3" t="b">
        <f t="shared" si="18"/>
        <v>1</v>
      </c>
      <c r="AX409" s="3" t="b">
        <f t="shared" si="19"/>
        <v>0</v>
      </c>
      <c r="AY409" s="3" t="b">
        <f t="shared" si="20"/>
        <v>0</v>
      </c>
      <c r="AZ409" s="3" t="b">
        <f t="shared" si="21"/>
        <v>0</v>
      </c>
      <c r="BA409" s="3" t="b">
        <f t="shared" si="22"/>
        <v>0</v>
      </c>
      <c r="BB409" s="3" t="b">
        <f t="shared" si="23"/>
        <v>0</v>
      </c>
      <c r="BC409" s="3"/>
      <c r="BD409" s="3" t="s">
        <v>1093</v>
      </c>
      <c r="BE409" s="3" t="b">
        <v>1</v>
      </c>
      <c r="BF409" s="3" t="b">
        <v>1</v>
      </c>
      <c r="BG409" s="3" t="b">
        <v>1</v>
      </c>
      <c r="BH409" s="3" t="b">
        <v>1</v>
      </c>
      <c r="BI409" s="3" t="b">
        <v>1</v>
      </c>
      <c r="BJ409" s="3"/>
      <c r="BK409" s="3"/>
      <c r="BL409" s="3"/>
      <c r="BM409" s="3"/>
      <c r="BN409" s="3"/>
      <c r="BO409" s="3" t="s">
        <v>1093</v>
      </c>
      <c r="BP409" s="3" t="b">
        <v>1</v>
      </c>
      <c r="BQ409" s="3" t="b">
        <v>1</v>
      </c>
      <c r="BR409" s="3" t="b">
        <v>1</v>
      </c>
      <c r="BS409" s="3" t="b">
        <v>1</v>
      </c>
      <c r="BT409" s="3" t="b">
        <v>1</v>
      </c>
      <c r="BU409" s="3"/>
      <c r="BV409" s="3"/>
      <c r="BW409" s="3"/>
      <c r="BX409" s="3"/>
    </row>
    <row r="410" spans="1:76" x14ac:dyDescent="0.35">
      <c r="A410" s="3"/>
      <c r="B410" s="3" t="s">
        <v>1094</v>
      </c>
      <c r="C410" s="3" t="s">
        <v>1095</v>
      </c>
      <c r="D410" s="3"/>
      <c r="E410" s="3"/>
      <c r="F410" s="3"/>
      <c r="G410" s="3" t="s">
        <v>3821</v>
      </c>
      <c r="H410" s="3" t="s">
        <v>1097</v>
      </c>
      <c r="I410" s="3" t="b">
        <v>1</v>
      </c>
      <c r="J410" s="3" t="b">
        <v>1</v>
      </c>
      <c r="K410" s="3" t="b">
        <v>1</v>
      </c>
      <c r="L410" s="3" t="b">
        <v>1</v>
      </c>
      <c r="M410" s="3" t="b">
        <v>1</v>
      </c>
      <c r="N410" s="3" t="b">
        <f t="shared" si="12"/>
        <v>1</v>
      </c>
      <c r="O410" s="3" t="b">
        <f t="shared" si="13"/>
        <v>0</v>
      </c>
      <c r="P410" s="3" t="b">
        <f t="shared" si="14"/>
        <v>0</v>
      </c>
      <c r="Q410" s="3" t="b">
        <f t="shared" si="15"/>
        <v>0</v>
      </c>
      <c r="R410" s="3" t="b">
        <f t="shared" si="16"/>
        <v>0</v>
      </c>
      <c r="S410" s="3" t="b">
        <f t="shared" si="17"/>
        <v>0</v>
      </c>
      <c r="U410" s="3" t="s">
        <v>1097</v>
      </c>
      <c r="V410" s="3" t="b">
        <v>1</v>
      </c>
      <c r="W410" s="3" t="b">
        <v>1</v>
      </c>
      <c r="X410" s="3" t="b">
        <v>1</v>
      </c>
      <c r="Y410" s="3" t="b">
        <v>1</v>
      </c>
      <c r="Z410" s="3" t="b">
        <v>1</v>
      </c>
      <c r="AA410" s="3"/>
      <c r="AB410" s="3"/>
      <c r="AC410" s="3"/>
      <c r="AD410" s="3"/>
      <c r="AE410" s="3"/>
      <c r="AF410" s="3" t="s">
        <v>1097</v>
      </c>
      <c r="AG410" s="3" t="b">
        <v>1</v>
      </c>
      <c r="AH410" s="3" t="b">
        <v>1</v>
      </c>
      <c r="AI410" s="3" t="b">
        <v>1</v>
      </c>
      <c r="AJ410" s="3" t="b">
        <v>1</v>
      </c>
      <c r="AK410" s="3" t="b">
        <v>1</v>
      </c>
      <c r="AL410" s="3"/>
      <c r="AM410" s="3"/>
      <c r="AN410" s="3"/>
      <c r="AO410" s="3"/>
      <c r="AP410" s="3"/>
      <c r="AQ410" s="3" t="s">
        <v>1097</v>
      </c>
      <c r="AR410" s="3" t="b">
        <v>1</v>
      </c>
      <c r="AS410" s="3" t="b">
        <v>1</v>
      </c>
      <c r="AT410" s="3" t="b">
        <v>1</v>
      </c>
      <c r="AU410" s="3" t="b">
        <v>1</v>
      </c>
      <c r="AV410" s="3" t="b">
        <v>1</v>
      </c>
      <c r="AW410" s="3" t="b">
        <f t="shared" si="18"/>
        <v>1</v>
      </c>
      <c r="AX410" s="3" t="b">
        <f t="shared" si="19"/>
        <v>0</v>
      </c>
      <c r="AY410" s="3" t="b">
        <f t="shared" si="20"/>
        <v>0</v>
      </c>
      <c r="AZ410" s="3" t="b">
        <f t="shared" si="21"/>
        <v>0</v>
      </c>
      <c r="BA410" s="3" t="b">
        <f t="shared" si="22"/>
        <v>0</v>
      </c>
      <c r="BB410" s="3" t="b">
        <f t="shared" si="23"/>
        <v>0</v>
      </c>
      <c r="BC410" s="3"/>
      <c r="BD410" s="3" t="s">
        <v>1097</v>
      </c>
      <c r="BE410" s="3" t="b">
        <v>1</v>
      </c>
      <c r="BF410" s="3" t="b">
        <v>1</v>
      </c>
      <c r="BG410" s="3" t="b">
        <v>1</v>
      </c>
      <c r="BH410" s="3" t="b">
        <v>1</v>
      </c>
      <c r="BI410" s="3" t="b">
        <v>1</v>
      </c>
      <c r="BJ410" s="3"/>
      <c r="BK410" s="3"/>
      <c r="BL410" s="3"/>
      <c r="BM410" s="3"/>
      <c r="BN410" s="3"/>
      <c r="BO410" s="3" t="s">
        <v>1097</v>
      </c>
      <c r="BP410" s="3" t="b">
        <v>1</v>
      </c>
      <c r="BQ410" s="3" t="b">
        <v>1</v>
      </c>
      <c r="BR410" s="3" t="b">
        <v>1</v>
      </c>
      <c r="BS410" s="3" t="b">
        <v>1</v>
      </c>
      <c r="BT410" s="3" t="b">
        <v>1</v>
      </c>
      <c r="BU410" s="3"/>
      <c r="BV410" s="3"/>
      <c r="BW410" s="3"/>
      <c r="BX410" s="3"/>
    </row>
    <row r="411" spans="1:76" x14ac:dyDescent="0.35">
      <c r="A411" s="3"/>
      <c r="B411" s="3" t="s">
        <v>1098</v>
      </c>
      <c r="C411" s="3" t="s">
        <v>1099</v>
      </c>
      <c r="D411" s="3"/>
      <c r="E411" s="3"/>
      <c r="F411" s="3"/>
      <c r="G411" s="3" t="s">
        <v>3822</v>
      </c>
      <c r="H411" s="3" t="s">
        <v>1101</v>
      </c>
      <c r="I411" s="3" t="b">
        <v>1</v>
      </c>
      <c r="J411" s="3" t="b">
        <v>1</v>
      </c>
      <c r="K411" s="3" t="b">
        <v>1</v>
      </c>
      <c r="L411" s="3" t="b">
        <v>1</v>
      </c>
      <c r="M411" s="3" t="b">
        <v>0</v>
      </c>
      <c r="N411" s="3" t="b">
        <f t="shared" si="12"/>
        <v>0</v>
      </c>
      <c r="O411" s="3" t="b">
        <f t="shared" si="13"/>
        <v>1</v>
      </c>
      <c r="P411" s="3" t="b">
        <f t="shared" si="14"/>
        <v>0</v>
      </c>
      <c r="Q411" s="3" t="b">
        <f t="shared" si="15"/>
        <v>0</v>
      </c>
      <c r="R411" s="3" t="b">
        <f t="shared" si="16"/>
        <v>1</v>
      </c>
      <c r="S411" s="3" t="b">
        <f t="shared" si="17"/>
        <v>0</v>
      </c>
      <c r="U411" s="3" t="s">
        <v>1102</v>
      </c>
      <c r="V411" s="3" t="b">
        <v>1</v>
      </c>
      <c r="W411" s="3" t="b">
        <v>1</v>
      </c>
      <c r="X411" s="3" t="b">
        <v>1</v>
      </c>
      <c r="Y411" s="3" t="b">
        <v>1</v>
      </c>
      <c r="Z411" s="3" t="b">
        <v>0</v>
      </c>
      <c r="AA411" s="3"/>
      <c r="AB411" s="3"/>
      <c r="AC411" s="3"/>
      <c r="AD411" s="3"/>
      <c r="AE411" s="3"/>
      <c r="AF411" s="3" t="s">
        <v>1102</v>
      </c>
      <c r="AG411" s="3" t="b">
        <v>1</v>
      </c>
      <c r="AH411" s="3" t="b">
        <v>1</v>
      </c>
      <c r="AI411" s="3" t="b">
        <v>1</v>
      </c>
      <c r="AJ411" s="3" t="b">
        <v>1</v>
      </c>
      <c r="AK411" s="3" t="b">
        <v>0</v>
      </c>
      <c r="AL411" s="3"/>
      <c r="AM411" s="3"/>
      <c r="AN411" s="3"/>
      <c r="AO411" s="3"/>
      <c r="AP411" s="3"/>
      <c r="AQ411" s="3" t="s">
        <v>1103</v>
      </c>
      <c r="AR411" s="3" t="b">
        <v>1</v>
      </c>
      <c r="AS411" s="3" t="b">
        <v>0</v>
      </c>
      <c r="AT411" s="3" t="b">
        <v>0</v>
      </c>
      <c r="AU411" s="3" t="b">
        <v>0</v>
      </c>
      <c r="AV411" s="3" t="b">
        <v>0</v>
      </c>
      <c r="AW411" s="3" t="b">
        <f t="shared" si="18"/>
        <v>0</v>
      </c>
      <c r="AX411" s="3" t="b">
        <f t="shared" si="19"/>
        <v>0</v>
      </c>
      <c r="AY411" s="3" t="b">
        <f t="shared" si="20"/>
        <v>1</v>
      </c>
      <c r="AZ411" s="3" t="b">
        <f t="shared" si="21"/>
        <v>0</v>
      </c>
      <c r="BA411" s="3" t="b">
        <f t="shared" si="22"/>
        <v>0</v>
      </c>
      <c r="BB411" s="3" t="b">
        <f t="shared" si="23"/>
        <v>0</v>
      </c>
      <c r="BC411" s="3"/>
      <c r="BD411" s="3" t="s">
        <v>1103</v>
      </c>
      <c r="BE411" s="3" t="b">
        <v>1</v>
      </c>
      <c r="BF411" s="3" t="b">
        <v>0</v>
      </c>
      <c r="BG411" s="3" t="b">
        <v>0</v>
      </c>
      <c r="BH411" s="3" t="b">
        <v>0</v>
      </c>
      <c r="BI411" s="3" t="b">
        <v>0</v>
      </c>
      <c r="BJ411" s="3"/>
      <c r="BK411" s="3"/>
      <c r="BL411" s="3"/>
      <c r="BM411" s="3"/>
      <c r="BN411" s="3"/>
      <c r="BO411" s="3" t="s">
        <v>1103</v>
      </c>
      <c r="BP411" s="3" t="b">
        <v>1</v>
      </c>
      <c r="BQ411" s="3" t="b">
        <v>0</v>
      </c>
      <c r="BR411" s="3" t="b">
        <v>0</v>
      </c>
      <c r="BS411" s="3" t="b">
        <v>0</v>
      </c>
      <c r="BT411" s="3" t="b">
        <v>0</v>
      </c>
      <c r="BU411" s="3"/>
      <c r="BV411" s="3"/>
      <c r="BW411" s="3"/>
      <c r="BX411" s="3"/>
    </row>
    <row r="412" spans="1:76" x14ac:dyDescent="0.35">
      <c r="A412" s="3"/>
      <c r="B412" s="3" t="s">
        <v>1104</v>
      </c>
      <c r="C412" s="3" t="s">
        <v>1105</v>
      </c>
      <c r="D412" s="3"/>
      <c r="E412" s="3"/>
      <c r="F412" s="3"/>
      <c r="G412" s="3" t="s">
        <v>3823</v>
      </c>
      <c r="H412" s="3" t="s">
        <v>1107</v>
      </c>
      <c r="I412" s="3" t="b">
        <v>1</v>
      </c>
      <c r="J412" s="3" t="b">
        <v>1</v>
      </c>
      <c r="K412" s="3" t="b">
        <v>1</v>
      </c>
      <c r="L412" s="3" t="b">
        <v>1</v>
      </c>
      <c r="M412" s="3" t="b">
        <v>1</v>
      </c>
      <c r="N412" s="3" t="b">
        <f t="shared" si="12"/>
        <v>1</v>
      </c>
      <c r="O412" s="3" t="b">
        <f t="shared" si="13"/>
        <v>0</v>
      </c>
      <c r="P412" s="3" t="b">
        <f t="shared" si="14"/>
        <v>0</v>
      </c>
      <c r="Q412" s="3" t="b">
        <f t="shared" si="15"/>
        <v>0</v>
      </c>
      <c r="R412" s="3" t="b">
        <f t="shared" si="16"/>
        <v>0</v>
      </c>
      <c r="S412" s="3" t="b">
        <f t="shared" si="17"/>
        <v>0</v>
      </c>
      <c r="U412" s="3" t="s">
        <v>1107</v>
      </c>
      <c r="V412" s="3" t="b">
        <v>1</v>
      </c>
      <c r="W412" s="3" t="b">
        <v>1</v>
      </c>
      <c r="X412" s="3" t="b">
        <v>1</v>
      </c>
      <c r="Y412" s="3" t="b">
        <v>1</v>
      </c>
      <c r="Z412" s="3" t="b">
        <v>1</v>
      </c>
      <c r="AA412" s="3"/>
      <c r="AB412" s="3"/>
      <c r="AC412" s="3"/>
      <c r="AD412" s="3"/>
      <c r="AE412" s="3"/>
      <c r="AF412" s="3" t="s">
        <v>1107</v>
      </c>
      <c r="AG412" s="3" t="b">
        <v>1</v>
      </c>
      <c r="AH412" s="3" t="b">
        <v>1</v>
      </c>
      <c r="AI412" s="3" t="b">
        <v>1</v>
      </c>
      <c r="AJ412" s="3" t="b">
        <v>1</v>
      </c>
      <c r="AK412" s="3" t="b">
        <v>1</v>
      </c>
      <c r="AL412" s="3"/>
      <c r="AM412" s="3"/>
      <c r="AN412" s="3"/>
      <c r="AO412" s="3"/>
      <c r="AP412" s="3"/>
      <c r="AQ412" s="3" t="s">
        <v>1107</v>
      </c>
      <c r="AR412" s="3" t="b">
        <v>1</v>
      </c>
      <c r="AS412" s="3" t="b">
        <v>1</v>
      </c>
      <c r="AT412" s="3" t="b">
        <v>1</v>
      </c>
      <c r="AU412" s="3" t="b">
        <v>1</v>
      </c>
      <c r="AV412" s="3" t="b">
        <v>1</v>
      </c>
      <c r="AW412" s="3" t="b">
        <f t="shared" si="18"/>
        <v>1</v>
      </c>
      <c r="AX412" s="3" t="b">
        <f t="shared" si="19"/>
        <v>0</v>
      </c>
      <c r="AY412" s="3" t="b">
        <f t="shared" si="20"/>
        <v>0</v>
      </c>
      <c r="AZ412" s="3" t="b">
        <f t="shared" si="21"/>
        <v>0</v>
      </c>
      <c r="BA412" s="3" t="b">
        <f t="shared" si="22"/>
        <v>0</v>
      </c>
      <c r="BB412" s="3" t="b">
        <f t="shared" si="23"/>
        <v>0</v>
      </c>
      <c r="BC412" s="3"/>
      <c r="BD412" s="3" t="s">
        <v>1107</v>
      </c>
      <c r="BE412" s="3" t="b">
        <v>1</v>
      </c>
      <c r="BF412" s="3" t="b">
        <v>1</v>
      </c>
      <c r="BG412" s="3" t="b">
        <v>1</v>
      </c>
      <c r="BH412" s="3" t="b">
        <v>1</v>
      </c>
      <c r="BI412" s="3" t="b">
        <v>1</v>
      </c>
      <c r="BJ412" s="3"/>
      <c r="BK412" s="3"/>
      <c r="BL412" s="3"/>
      <c r="BM412" s="3"/>
      <c r="BN412" s="3"/>
      <c r="BO412" s="3" t="s">
        <v>1107</v>
      </c>
      <c r="BP412" s="3" t="b">
        <v>1</v>
      </c>
      <c r="BQ412" s="3" t="b">
        <v>1</v>
      </c>
      <c r="BR412" s="3" t="b">
        <v>1</v>
      </c>
      <c r="BS412" s="3" t="b">
        <v>1</v>
      </c>
      <c r="BT412" s="3" t="b">
        <v>1</v>
      </c>
      <c r="BU412" s="3"/>
      <c r="BV412" s="3"/>
      <c r="BW412" s="3"/>
      <c r="BX412" s="3"/>
    </row>
    <row r="413" spans="1:76" x14ac:dyDescent="0.35">
      <c r="A413" s="3"/>
      <c r="B413" s="3" t="s">
        <v>1108</v>
      </c>
      <c r="C413" s="4" t="s">
        <v>1109</v>
      </c>
      <c r="D413" s="3" t="s">
        <v>1110</v>
      </c>
      <c r="E413" s="3" t="s">
        <v>1111</v>
      </c>
      <c r="F413" s="3"/>
      <c r="G413" s="3" t="s">
        <v>3824</v>
      </c>
      <c r="H413" s="3" t="s">
        <v>1113</v>
      </c>
      <c r="I413" s="3" t="b">
        <v>1</v>
      </c>
      <c r="J413" s="3" t="b">
        <v>1</v>
      </c>
      <c r="K413" s="3" t="b">
        <v>1</v>
      </c>
      <c r="L413" s="3" t="b">
        <v>1</v>
      </c>
      <c r="M413" s="3" t="b">
        <v>1</v>
      </c>
      <c r="N413" s="3" t="b">
        <f t="shared" si="12"/>
        <v>1</v>
      </c>
      <c r="O413" s="3" t="b">
        <f t="shared" si="13"/>
        <v>0</v>
      </c>
      <c r="P413" s="3" t="b">
        <f t="shared" si="14"/>
        <v>0</v>
      </c>
      <c r="Q413" s="3" t="b">
        <f t="shared" si="15"/>
        <v>0</v>
      </c>
      <c r="R413" s="3" t="b">
        <f t="shared" si="16"/>
        <v>0</v>
      </c>
      <c r="S413" s="3" t="b">
        <f t="shared" si="17"/>
        <v>0</v>
      </c>
      <c r="U413" s="3" t="s">
        <v>1114</v>
      </c>
      <c r="V413" s="3" t="b">
        <v>1</v>
      </c>
      <c r="W413" s="3" t="b">
        <v>1</v>
      </c>
      <c r="X413" s="3" t="b">
        <v>1</v>
      </c>
      <c r="Y413" s="3" t="b">
        <v>1</v>
      </c>
      <c r="Z413" s="3" t="b">
        <v>1</v>
      </c>
      <c r="AA413" s="3"/>
      <c r="AB413" s="3"/>
      <c r="AC413" s="3"/>
      <c r="AD413" s="3"/>
      <c r="AE413" s="3"/>
      <c r="AF413" s="3"/>
      <c r="AG413" s="3" t="b">
        <v>1</v>
      </c>
      <c r="AH413" s="3" t="b">
        <v>0</v>
      </c>
      <c r="AI413" s="3" t="b">
        <v>0</v>
      </c>
      <c r="AJ413" s="3" t="b">
        <v>0</v>
      </c>
      <c r="AK413" s="3" t="b">
        <v>0</v>
      </c>
      <c r="AL413" s="3"/>
      <c r="AM413" s="3"/>
      <c r="AN413" s="3"/>
      <c r="AO413" s="3"/>
      <c r="AP413" s="3"/>
      <c r="AQ413" s="3" t="s">
        <v>1113</v>
      </c>
      <c r="AR413" s="3" t="b">
        <v>1</v>
      </c>
      <c r="AS413" s="3" t="b">
        <v>1</v>
      </c>
      <c r="AT413" s="3" t="b">
        <v>1</v>
      </c>
      <c r="AU413" s="3" t="b">
        <v>0</v>
      </c>
      <c r="AV413" s="3" t="b">
        <v>1</v>
      </c>
      <c r="AW413" s="3" t="b">
        <f t="shared" si="18"/>
        <v>0</v>
      </c>
      <c r="AX413" s="3" t="b">
        <f t="shared" si="19"/>
        <v>0</v>
      </c>
      <c r="AY413" s="3" t="b">
        <f t="shared" si="20"/>
        <v>0</v>
      </c>
      <c r="AZ413" s="3" t="b">
        <f t="shared" si="21"/>
        <v>1</v>
      </c>
      <c r="BA413" s="3" t="b">
        <f t="shared" si="22"/>
        <v>0</v>
      </c>
      <c r="BB413" s="3" t="b">
        <f t="shared" si="23"/>
        <v>0</v>
      </c>
      <c r="BC413" s="3"/>
      <c r="BD413" s="3" t="s">
        <v>1113</v>
      </c>
      <c r="BE413" s="3" t="b">
        <v>1</v>
      </c>
      <c r="BF413" s="3" t="b">
        <v>1</v>
      </c>
      <c r="BG413" s="3" t="b">
        <v>1</v>
      </c>
      <c r="BH413" s="3" t="b">
        <v>0</v>
      </c>
      <c r="BI413" s="3" t="b">
        <v>1</v>
      </c>
      <c r="BJ413" s="3"/>
      <c r="BK413" s="3"/>
      <c r="BL413" s="3"/>
      <c r="BM413" s="3"/>
      <c r="BN413" s="3"/>
      <c r="BO413" s="3" t="s">
        <v>1115</v>
      </c>
      <c r="BP413" s="3" t="b">
        <v>1</v>
      </c>
      <c r="BQ413" s="3" t="b">
        <v>1</v>
      </c>
      <c r="BR413" s="3" t="b">
        <v>1</v>
      </c>
      <c r="BS413" s="3" t="b">
        <v>0</v>
      </c>
      <c r="BT413" s="3" t="b">
        <v>1</v>
      </c>
      <c r="BU413" s="3"/>
      <c r="BV413" s="3"/>
      <c r="BW413" s="3"/>
      <c r="BX413" s="3"/>
    </row>
    <row r="414" spans="1:76" x14ac:dyDescent="0.35">
      <c r="A414" s="3"/>
      <c r="B414" s="3"/>
      <c r="C414" s="3" t="s">
        <v>1116</v>
      </c>
      <c r="D414" s="3"/>
      <c r="E414" s="3"/>
      <c r="F414" s="3"/>
      <c r="G414" s="3" t="s">
        <v>3825</v>
      </c>
      <c r="H414" s="3" t="s">
        <v>1118</v>
      </c>
      <c r="I414" s="3" t="b">
        <v>1</v>
      </c>
      <c r="J414" s="3" t="b">
        <v>1</v>
      </c>
      <c r="K414" s="3" t="b">
        <v>1</v>
      </c>
      <c r="L414" s="3" t="b">
        <v>1</v>
      </c>
      <c r="M414" s="3" t="b">
        <v>1</v>
      </c>
      <c r="N414" s="3" t="b">
        <f t="shared" si="12"/>
        <v>1</v>
      </c>
      <c r="O414" s="3" t="b">
        <f t="shared" si="13"/>
        <v>0</v>
      </c>
      <c r="P414" s="3" t="b">
        <f t="shared" si="14"/>
        <v>0</v>
      </c>
      <c r="Q414" s="3" t="b">
        <f t="shared" si="15"/>
        <v>0</v>
      </c>
      <c r="R414" s="3" t="b">
        <f t="shared" si="16"/>
        <v>0</v>
      </c>
      <c r="S414" s="3" t="b">
        <f t="shared" si="17"/>
        <v>0</v>
      </c>
      <c r="U414" s="3" t="s">
        <v>1118</v>
      </c>
      <c r="V414" s="3" t="b">
        <v>1</v>
      </c>
      <c r="W414" s="3" t="b">
        <v>1</v>
      </c>
      <c r="X414" s="3" t="b">
        <v>1</v>
      </c>
      <c r="Y414" s="3" t="b">
        <v>1</v>
      </c>
      <c r="Z414" s="3" t="b">
        <v>1</v>
      </c>
      <c r="AA414" s="3"/>
      <c r="AB414" s="3"/>
      <c r="AC414" s="3"/>
      <c r="AD414" s="3"/>
      <c r="AE414" s="3"/>
      <c r="AF414" s="3" t="s">
        <v>1119</v>
      </c>
      <c r="AG414" s="3" t="b">
        <v>1</v>
      </c>
      <c r="AH414" s="3" t="b">
        <v>1</v>
      </c>
      <c r="AI414" s="3" t="b">
        <v>1</v>
      </c>
      <c r="AJ414" s="3" t="b">
        <v>1</v>
      </c>
      <c r="AK414" s="3" t="b">
        <v>1</v>
      </c>
      <c r="AL414" s="3"/>
      <c r="AM414" s="3"/>
      <c r="AN414" s="3"/>
      <c r="AO414" s="3"/>
      <c r="AP414" s="3"/>
      <c r="AQ414" s="3" t="s">
        <v>1120</v>
      </c>
      <c r="AR414" s="3" t="b">
        <v>1</v>
      </c>
      <c r="AS414" s="3" t="b">
        <v>1</v>
      </c>
      <c r="AT414" s="3" t="b">
        <v>1</v>
      </c>
      <c r="AU414" s="3" t="b">
        <v>1</v>
      </c>
      <c r="AV414" s="3" t="b">
        <v>1</v>
      </c>
      <c r="AW414" s="3" t="b">
        <f t="shared" si="18"/>
        <v>1</v>
      </c>
      <c r="AX414" s="3" t="b">
        <f t="shared" si="19"/>
        <v>0</v>
      </c>
      <c r="AY414" s="3" t="b">
        <f t="shared" si="20"/>
        <v>0</v>
      </c>
      <c r="AZ414" s="3" t="b">
        <f t="shared" si="21"/>
        <v>0</v>
      </c>
      <c r="BA414" s="3" t="b">
        <f t="shared" si="22"/>
        <v>0</v>
      </c>
      <c r="BB414" s="3" t="b">
        <f t="shared" si="23"/>
        <v>0</v>
      </c>
      <c r="BC414" s="3"/>
      <c r="BD414" s="3" t="s">
        <v>1121</v>
      </c>
      <c r="BE414" s="3" t="b">
        <v>1</v>
      </c>
      <c r="BF414" s="3" t="b">
        <v>1</v>
      </c>
      <c r="BG414" s="3" t="b">
        <v>1</v>
      </c>
      <c r="BH414" s="3" t="b">
        <v>1</v>
      </c>
      <c r="BI414" s="3" t="b">
        <v>1</v>
      </c>
      <c r="BJ414" s="3"/>
      <c r="BK414" s="3"/>
      <c r="BL414" s="3"/>
      <c r="BM414" s="3"/>
      <c r="BN414" s="3"/>
      <c r="BO414" s="3" t="s">
        <v>1120</v>
      </c>
      <c r="BP414" s="3" t="b">
        <v>1</v>
      </c>
      <c r="BQ414" s="3" t="b">
        <v>1</v>
      </c>
      <c r="BR414" s="3" t="b">
        <v>1</v>
      </c>
      <c r="BS414" s="3" t="b">
        <v>1</v>
      </c>
      <c r="BT414" s="3" t="b">
        <v>1</v>
      </c>
      <c r="BU414" s="3"/>
      <c r="BV414" s="3"/>
      <c r="BW414" s="3"/>
      <c r="BX414" s="3"/>
    </row>
    <row r="415" spans="1:76" x14ac:dyDescent="0.35">
      <c r="A415" s="3"/>
      <c r="B415" s="3" t="s">
        <v>1122</v>
      </c>
      <c r="C415" s="3" t="s">
        <v>1123</v>
      </c>
      <c r="D415" s="3" t="s">
        <v>1124</v>
      </c>
      <c r="E415" s="3" t="s">
        <v>1125</v>
      </c>
      <c r="F415" s="3"/>
      <c r="G415" s="3" t="s">
        <v>3826</v>
      </c>
      <c r="H415" s="3" t="s">
        <v>1127</v>
      </c>
      <c r="I415" s="3" t="b">
        <v>1</v>
      </c>
      <c r="J415" s="3" t="b">
        <v>1</v>
      </c>
      <c r="K415" s="3" t="b">
        <v>1</v>
      </c>
      <c r="L415" s="3" t="b">
        <v>1</v>
      </c>
      <c r="M415" s="3" t="b">
        <v>1</v>
      </c>
      <c r="N415" s="3" t="b">
        <f t="shared" si="12"/>
        <v>1</v>
      </c>
      <c r="O415" s="3" t="b">
        <f t="shared" si="13"/>
        <v>0</v>
      </c>
      <c r="P415" s="3" t="b">
        <f t="shared" si="14"/>
        <v>0</v>
      </c>
      <c r="Q415" s="3" t="b">
        <f t="shared" si="15"/>
        <v>0</v>
      </c>
      <c r="R415" s="3" t="b">
        <f t="shared" si="16"/>
        <v>0</v>
      </c>
      <c r="S415" s="3" t="b">
        <f t="shared" si="17"/>
        <v>0</v>
      </c>
      <c r="U415" s="3" t="s">
        <v>1128</v>
      </c>
      <c r="V415" s="3" t="b">
        <v>1</v>
      </c>
      <c r="W415" s="3" t="b">
        <v>1</v>
      </c>
      <c r="X415" s="3" t="b">
        <v>1</v>
      </c>
      <c r="Y415" s="3" t="b">
        <v>1</v>
      </c>
      <c r="Z415" s="3" t="b">
        <v>1</v>
      </c>
      <c r="AA415" s="3"/>
      <c r="AB415" s="3"/>
      <c r="AC415" s="3"/>
      <c r="AD415" s="3"/>
      <c r="AE415" s="3"/>
      <c r="AF415" s="3" t="s">
        <v>1129</v>
      </c>
      <c r="AG415" s="3" t="b">
        <v>1</v>
      </c>
      <c r="AH415" s="3" t="b">
        <v>1</v>
      </c>
      <c r="AI415" s="3" t="b">
        <v>1</v>
      </c>
      <c r="AJ415" s="3" t="b">
        <v>1</v>
      </c>
      <c r="AK415" s="3" t="b">
        <v>1</v>
      </c>
      <c r="AL415" s="3"/>
      <c r="AM415" s="3"/>
      <c r="AN415" s="3"/>
      <c r="AO415" s="3"/>
      <c r="AP415" s="3"/>
      <c r="AQ415" s="3" t="s">
        <v>1130</v>
      </c>
      <c r="AR415" s="3" t="b">
        <v>1</v>
      </c>
      <c r="AS415" s="3" t="b">
        <v>1</v>
      </c>
      <c r="AT415" s="3" t="b">
        <v>1</v>
      </c>
      <c r="AU415" s="3" t="b">
        <v>1</v>
      </c>
      <c r="AV415" s="3" t="b">
        <v>1</v>
      </c>
      <c r="AW415" s="3" t="b">
        <f t="shared" si="18"/>
        <v>1</v>
      </c>
      <c r="AX415" s="3" t="b">
        <f t="shared" si="19"/>
        <v>0</v>
      </c>
      <c r="AY415" s="3" t="b">
        <f t="shared" si="20"/>
        <v>0</v>
      </c>
      <c r="AZ415" s="3" t="b">
        <f t="shared" si="21"/>
        <v>0</v>
      </c>
      <c r="BA415" s="3" t="b">
        <f t="shared" si="22"/>
        <v>0</v>
      </c>
      <c r="BB415" s="3" t="b">
        <f t="shared" si="23"/>
        <v>0</v>
      </c>
      <c r="BC415" s="3"/>
      <c r="BD415" s="3" t="s">
        <v>1130</v>
      </c>
      <c r="BE415" s="3" t="b">
        <v>1</v>
      </c>
      <c r="BF415" s="3" t="b">
        <v>1</v>
      </c>
      <c r="BG415" s="3" t="b">
        <v>1</v>
      </c>
      <c r="BH415" s="3" t="b">
        <v>1</v>
      </c>
      <c r="BI415" s="3" t="b">
        <v>1</v>
      </c>
      <c r="BJ415" s="3"/>
      <c r="BK415" s="3"/>
      <c r="BL415" s="3"/>
      <c r="BM415" s="3"/>
      <c r="BN415" s="3"/>
      <c r="BO415" s="3" t="s">
        <v>1130</v>
      </c>
      <c r="BP415" s="3" t="b">
        <v>1</v>
      </c>
      <c r="BQ415" s="3" t="b">
        <v>1</v>
      </c>
      <c r="BR415" s="3" t="b">
        <v>1</v>
      </c>
      <c r="BS415" s="3" t="b">
        <v>1</v>
      </c>
      <c r="BT415" s="3" t="b">
        <v>1</v>
      </c>
      <c r="BU415" s="3"/>
      <c r="BV415" s="3"/>
      <c r="BW415" s="3"/>
      <c r="BX415" s="3"/>
    </row>
    <row r="416" spans="1:76" x14ac:dyDescent="0.35">
      <c r="A416" s="3"/>
      <c r="B416" s="3"/>
      <c r="C416" s="3" t="s">
        <v>1131</v>
      </c>
      <c r="D416" s="3"/>
      <c r="E416" s="3"/>
      <c r="F416" s="3"/>
      <c r="G416" s="3" t="s">
        <v>3827</v>
      </c>
      <c r="H416" s="3" t="s">
        <v>1133</v>
      </c>
      <c r="I416" s="3" t="b">
        <v>1</v>
      </c>
      <c r="J416" s="3" t="b">
        <v>1</v>
      </c>
      <c r="K416" s="3" t="b">
        <v>1</v>
      </c>
      <c r="L416" s="3" t="b">
        <v>1</v>
      </c>
      <c r="M416" s="3" t="b">
        <v>1</v>
      </c>
      <c r="N416" s="3" t="b">
        <f t="shared" si="12"/>
        <v>1</v>
      </c>
      <c r="O416" s="3" t="b">
        <f t="shared" si="13"/>
        <v>0</v>
      </c>
      <c r="P416" s="3" t="b">
        <f t="shared" si="14"/>
        <v>0</v>
      </c>
      <c r="Q416" s="3" t="b">
        <f t="shared" si="15"/>
        <v>0</v>
      </c>
      <c r="R416" s="3" t="b">
        <f t="shared" si="16"/>
        <v>0</v>
      </c>
      <c r="S416" s="3" t="b">
        <f t="shared" si="17"/>
        <v>0</v>
      </c>
      <c r="U416" s="3" t="s">
        <v>1134</v>
      </c>
      <c r="V416" s="3" t="b">
        <v>1</v>
      </c>
      <c r="W416" s="3" t="b">
        <v>1</v>
      </c>
      <c r="X416" s="3" t="b">
        <v>1</v>
      </c>
      <c r="Y416" s="3" t="b">
        <v>1</v>
      </c>
      <c r="Z416" s="3" t="b">
        <v>1</v>
      </c>
      <c r="AA416" s="3"/>
      <c r="AB416" s="3"/>
      <c r="AC416" s="3"/>
      <c r="AD416" s="3"/>
      <c r="AE416" s="3"/>
      <c r="AF416" s="3" t="s">
        <v>1135</v>
      </c>
      <c r="AG416" s="3" t="b">
        <v>1</v>
      </c>
      <c r="AH416" s="3" t="b">
        <v>1</v>
      </c>
      <c r="AI416" s="3" t="b">
        <v>1</v>
      </c>
      <c r="AJ416" s="3" t="b">
        <v>1</v>
      </c>
      <c r="AK416" s="3" t="b">
        <v>1</v>
      </c>
      <c r="AL416" s="3"/>
      <c r="AM416" s="3"/>
      <c r="AN416" s="3"/>
      <c r="AO416" s="3"/>
      <c r="AP416" s="3"/>
      <c r="AQ416" s="3" t="s">
        <v>1136</v>
      </c>
      <c r="AR416" s="3" t="b">
        <v>1</v>
      </c>
      <c r="AS416" s="3" t="b">
        <v>0</v>
      </c>
      <c r="AT416" s="3" t="b">
        <v>0</v>
      </c>
      <c r="AU416" s="3" t="b">
        <v>1</v>
      </c>
      <c r="AV416" s="3" t="b">
        <v>0</v>
      </c>
      <c r="AW416" s="3" t="b">
        <f t="shared" si="18"/>
        <v>0</v>
      </c>
      <c r="AX416" s="3" t="b">
        <f t="shared" si="19"/>
        <v>0</v>
      </c>
      <c r="AY416" s="3" t="b">
        <f t="shared" si="20"/>
        <v>1</v>
      </c>
      <c r="AZ416" s="3" t="b">
        <f t="shared" si="21"/>
        <v>0</v>
      </c>
      <c r="BA416" s="3" t="b">
        <f t="shared" si="22"/>
        <v>0</v>
      </c>
      <c r="BB416" s="3" t="b">
        <f t="shared" si="23"/>
        <v>0</v>
      </c>
      <c r="BC416" s="3"/>
      <c r="BD416" s="3" t="s">
        <v>1137</v>
      </c>
      <c r="BE416" s="3" t="b">
        <v>1</v>
      </c>
      <c r="BF416" s="3" t="b">
        <v>0</v>
      </c>
      <c r="BG416" s="3" t="b">
        <v>0</v>
      </c>
      <c r="BH416" s="3" t="b">
        <v>1</v>
      </c>
      <c r="BI416" s="3" t="b">
        <v>0</v>
      </c>
      <c r="BJ416" s="3"/>
      <c r="BK416" s="3"/>
      <c r="BL416" s="3"/>
      <c r="BM416" s="3"/>
      <c r="BN416" s="3"/>
      <c r="BO416" s="3" t="s">
        <v>1138</v>
      </c>
      <c r="BP416" s="3" t="b">
        <v>1</v>
      </c>
      <c r="BQ416" s="3" t="b">
        <v>1</v>
      </c>
      <c r="BR416" s="3" t="b">
        <v>1</v>
      </c>
      <c r="BS416" s="3" t="b">
        <v>1</v>
      </c>
      <c r="BT416" s="3" t="b">
        <v>1</v>
      </c>
      <c r="BU416" s="3"/>
      <c r="BV416" s="3"/>
      <c r="BW416" s="3"/>
      <c r="BX416" s="3"/>
    </row>
    <row r="417" spans="1:76" x14ac:dyDescent="0.35">
      <c r="A417" s="3"/>
      <c r="B417" s="3" t="s">
        <v>105</v>
      </c>
      <c r="C417" s="3" t="s">
        <v>1072</v>
      </c>
      <c r="D417" s="3"/>
      <c r="E417" s="3"/>
      <c r="F417" s="3"/>
      <c r="G417" s="3" t="s">
        <v>3828</v>
      </c>
      <c r="H417" s="3" t="s">
        <v>1074</v>
      </c>
      <c r="I417" s="3" t="b">
        <v>1</v>
      </c>
      <c r="J417" s="3" t="b">
        <v>1</v>
      </c>
      <c r="K417" s="3" t="b">
        <v>1</v>
      </c>
      <c r="L417" s="3" t="b">
        <v>1</v>
      </c>
      <c r="M417" s="3" t="b">
        <v>1</v>
      </c>
      <c r="N417" s="3" t="b">
        <f t="shared" si="12"/>
        <v>1</v>
      </c>
      <c r="O417" s="3" t="b">
        <f t="shared" si="13"/>
        <v>0</v>
      </c>
      <c r="P417" s="3" t="b">
        <f t="shared" si="14"/>
        <v>0</v>
      </c>
      <c r="Q417" s="3" t="b">
        <f t="shared" si="15"/>
        <v>0</v>
      </c>
      <c r="R417" s="3" t="b">
        <f t="shared" si="16"/>
        <v>0</v>
      </c>
      <c r="S417" s="3" t="b">
        <f t="shared" si="17"/>
        <v>0</v>
      </c>
      <c r="U417" s="3" t="s">
        <v>1074</v>
      </c>
      <c r="V417" s="3" t="b">
        <v>1</v>
      </c>
      <c r="W417" s="3" t="b">
        <v>1</v>
      </c>
      <c r="X417" s="3" t="b">
        <v>1</v>
      </c>
      <c r="Y417" s="3" t="b">
        <v>1</v>
      </c>
      <c r="Z417" s="3" t="b">
        <v>1</v>
      </c>
      <c r="AA417" s="3"/>
      <c r="AB417" s="3"/>
      <c r="AC417" s="3"/>
      <c r="AD417" s="3"/>
      <c r="AE417" s="3"/>
      <c r="AF417" s="3" t="s">
        <v>1074</v>
      </c>
      <c r="AG417" s="3" t="b">
        <v>1</v>
      </c>
      <c r="AH417" s="3" t="b">
        <v>1</v>
      </c>
      <c r="AI417" s="3" t="b">
        <v>1</v>
      </c>
      <c r="AJ417" s="3" t="b">
        <v>1</v>
      </c>
      <c r="AK417" s="3" t="b">
        <v>1</v>
      </c>
      <c r="AL417" s="3"/>
      <c r="AM417" s="3"/>
      <c r="AN417" s="3"/>
      <c r="AO417" s="3"/>
      <c r="AP417" s="3"/>
      <c r="AQ417" s="3" t="s">
        <v>1074</v>
      </c>
      <c r="AR417" s="3" t="b">
        <v>1</v>
      </c>
      <c r="AS417" s="3" t="b">
        <v>1</v>
      </c>
      <c r="AT417" s="3" t="b">
        <v>1</v>
      </c>
      <c r="AU417" s="3" t="b">
        <v>1</v>
      </c>
      <c r="AV417" s="3" t="b">
        <v>1</v>
      </c>
      <c r="AW417" s="3" t="b">
        <f t="shared" si="18"/>
        <v>1</v>
      </c>
      <c r="AX417" s="3" t="b">
        <f t="shared" si="19"/>
        <v>0</v>
      </c>
      <c r="AY417" s="3" t="b">
        <f t="shared" si="20"/>
        <v>0</v>
      </c>
      <c r="AZ417" s="3" t="b">
        <f t="shared" si="21"/>
        <v>0</v>
      </c>
      <c r="BA417" s="3" t="b">
        <f t="shared" si="22"/>
        <v>0</v>
      </c>
      <c r="BB417" s="3" t="b">
        <f t="shared" si="23"/>
        <v>0</v>
      </c>
      <c r="BC417" s="3"/>
      <c r="BD417" s="3" t="s">
        <v>1074</v>
      </c>
      <c r="BE417" s="3" t="b">
        <v>1</v>
      </c>
      <c r="BF417" s="3" t="b">
        <v>1</v>
      </c>
      <c r="BG417" s="3" t="b">
        <v>1</v>
      </c>
      <c r="BH417" s="3" t="b">
        <v>1</v>
      </c>
      <c r="BI417" s="3" t="b">
        <v>1</v>
      </c>
      <c r="BJ417" s="3"/>
      <c r="BK417" s="3"/>
      <c r="BL417" s="3"/>
      <c r="BM417" s="3"/>
      <c r="BN417" s="3"/>
      <c r="BO417" s="3" t="s">
        <v>1074</v>
      </c>
      <c r="BP417" s="3" t="b">
        <v>1</v>
      </c>
      <c r="BQ417" s="3" t="b">
        <v>1</v>
      </c>
      <c r="BR417" s="3" t="b">
        <v>1</v>
      </c>
      <c r="BS417" s="3" t="b">
        <v>1</v>
      </c>
      <c r="BT417" s="3" t="b">
        <v>1</v>
      </c>
      <c r="BU417" s="3"/>
      <c r="BV417" s="3"/>
      <c r="BW417" s="3"/>
      <c r="BX417" s="3"/>
    </row>
    <row r="418" spans="1:76" x14ac:dyDescent="0.35">
      <c r="A418" s="3"/>
      <c r="B418" s="3"/>
      <c r="C418" s="3" t="s">
        <v>1075</v>
      </c>
      <c r="D418" s="3"/>
      <c r="E418" s="3"/>
      <c r="F418" s="3"/>
      <c r="G418" s="3" t="s">
        <v>3829</v>
      </c>
      <c r="H418" s="3" t="s">
        <v>1077</v>
      </c>
      <c r="I418" s="3" t="b">
        <v>1</v>
      </c>
      <c r="J418" s="3" t="b">
        <v>1</v>
      </c>
      <c r="K418" s="3" t="b">
        <v>1</v>
      </c>
      <c r="L418" s="3" t="b">
        <v>1</v>
      </c>
      <c r="M418" s="3" t="b">
        <v>1</v>
      </c>
      <c r="N418" s="3" t="b">
        <f t="shared" si="12"/>
        <v>1</v>
      </c>
      <c r="O418" s="3" t="b">
        <f t="shared" si="13"/>
        <v>0</v>
      </c>
      <c r="P418" s="3" t="b">
        <f t="shared" si="14"/>
        <v>0</v>
      </c>
      <c r="Q418" s="3" t="b">
        <f t="shared" si="15"/>
        <v>0</v>
      </c>
      <c r="R418" s="3" t="b">
        <f t="shared" si="16"/>
        <v>0</v>
      </c>
      <c r="S418" s="3" t="b">
        <f t="shared" si="17"/>
        <v>0</v>
      </c>
      <c r="U418" s="3" t="s">
        <v>1077</v>
      </c>
      <c r="V418" s="3" t="b">
        <v>1</v>
      </c>
      <c r="W418" s="3" t="b">
        <v>1</v>
      </c>
      <c r="X418" s="3" t="b">
        <v>1</v>
      </c>
      <c r="Y418" s="3" t="b">
        <v>1</v>
      </c>
      <c r="Z418" s="3" t="b">
        <v>1</v>
      </c>
      <c r="AA418" s="3"/>
      <c r="AB418" s="3"/>
      <c r="AC418" s="3"/>
      <c r="AD418" s="3"/>
      <c r="AE418" s="3"/>
      <c r="AF418" s="3" t="s">
        <v>1077</v>
      </c>
      <c r="AG418" s="3" t="b">
        <v>1</v>
      </c>
      <c r="AH418" s="3" t="b">
        <v>1</v>
      </c>
      <c r="AI418" s="3" t="b">
        <v>1</v>
      </c>
      <c r="AJ418" s="3" t="b">
        <v>1</v>
      </c>
      <c r="AK418" s="3" t="b">
        <v>1</v>
      </c>
      <c r="AL418" s="3"/>
      <c r="AM418" s="3"/>
      <c r="AN418" s="3"/>
      <c r="AO418" s="3"/>
      <c r="AP418" s="3"/>
      <c r="AQ418" s="3" t="s">
        <v>1077</v>
      </c>
      <c r="AR418" s="3" t="b">
        <v>1</v>
      </c>
      <c r="AS418" s="3" t="b">
        <v>1</v>
      </c>
      <c r="AT418" s="3" t="b">
        <v>1</v>
      </c>
      <c r="AU418" s="3" t="b">
        <v>1</v>
      </c>
      <c r="AV418" s="3" t="b">
        <v>1</v>
      </c>
      <c r="AW418" s="3" t="b">
        <f t="shared" si="18"/>
        <v>1</v>
      </c>
      <c r="AX418" s="3" t="b">
        <f t="shared" si="19"/>
        <v>0</v>
      </c>
      <c r="AY418" s="3" t="b">
        <f t="shared" si="20"/>
        <v>0</v>
      </c>
      <c r="AZ418" s="3" t="b">
        <f t="shared" si="21"/>
        <v>0</v>
      </c>
      <c r="BA418" s="3" t="b">
        <f t="shared" si="22"/>
        <v>0</v>
      </c>
      <c r="BB418" s="3" t="b">
        <f t="shared" si="23"/>
        <v>0</v>
      </c>
      <c r="BC418" s="3"/>
      <c r="BD418" s="3" t="s">
        <v>1077</v>
      </c>
      <c r="BE418" s="3" t="b">
        <v>1</v>
      </c>
      <c r="BF418" s="3" t="b">
        <v>1</v>
      </c>
      <c r="BG418" s="3" t="b">
        <v>1</v>
      </c>
      <c r="BH418" s="3" t="b">
        <v>1</v>
      </c>
      <c r="BI418" s="3" t="b">
        <v>1</v>
      </c>
      <c r="BJ418" s="3"/>
      <c r="BK418" s="3"/>
      <c r="BL418" s="3"/>
      <c r="BM418" s="3"/>
      <c r="BN418" s="3"/>
      <c r="BO418" s="3" t="s">
        <v>1077</v>
      </c>
      <c r="BP418" s="3" t="b">
        <v>1</v>
      </c>
      <c r="BQ418" s="3" t="b">
        <v>1</v>
      </c>
      <c r="BR418" s="3" t="b">
        <v>1</v>
      </c>
      <c r="BS418" s="3" t="b">
        <v>1</v>
      </c>
      <c r="BT418" s="3" t="b">
        <v>1</v>
      </c>
      <c r="BU418" s="3"/>
      <c r="BV418" s="3"/>
      <c r="BW418" s="3"/>
      <c r="BX418" s="3"/>
    </row>
    <row r="419" spans="1:76" x14ac:dyDescent="0.35">
      <c r="A419" s="3"/>
      <c r="B419" s="3"/>
      <c r="C419" s="3" t="s">
        <v>25</v>
      </c>
      <c r="D419" s="3"/>
      <c r="E419" s="3"/>
      <c r="F419" s="3"/>
      <c r="G419" s="3" t="s">
        <v>3830</v>
      </c>
      <c r="H419" s="3" t="s">
        <v>28</v>
      </c>
      <c r="I419" s="3" t="b">
        <v>1</v>
      </c>
      <c r="J419" s="3" t="b">
        <v>1</v>
      </c>
      <c r="K419" s="3" t="b">
        <v>1</v>
      </c>
      <c r="L419" s="3" t="b">
        <v>1</v>
      </c>
      <c r="M419" s="3" t="b">
        <v>1</v>
      </c>
      <c r="N419" s="3" t="b">
        <f t="shared" si="12"/>
        <v>1</v>
      </c>
      <c r="O419" s="3" t="b">
        <f t="shared" si="13"/>
        <v>0</v>
      </c>
      <c r="P419" s="3" t="b">
        <f t="shared" si="14"/>
        <v>0</v>
      </c>
      <c r="Q419" s="3" t="b">
        <f t="shared" si="15"/>
        <v>0</v>
      </c>
      <c r="R419" s="3" t="b">
        <f t="shared" si="16"/>
        <v>0</v>
      </c>
      <c r="S419" s="3" t="b">
        <f t="shared" si="17"/>
        <v>0</v>
      </c>
      <c r="U419" s="3" t="s">
        <v>28</v>
      </c>
      <c r="V419" s="3" t="b">
        <v>1</v>
      </c>
      <c r="W419" s="3" t="b">
        <v>1</v>
      </c>
      <c r="X419" s="3" t="b">
        <v>1</v>
      </c>
      <c r="Y419" s="3" t="b">
        <v>1</v>
      </c>
      <c r="Z419" s="3" t="b">
        <v>1</v>
      </c>
      <c r="AA419" s="3"/>
      <c r="AB419" s="3"/>
      <c r="AC419" s="3"/>
      <c r="AD419" s="3"/>
      <c r="AE419" s="3"/>
      <c r="AF419" s="3" t="s">
        <v>28</v>
      </c>
      <c r="AG419" s="3" t="b">
        <v>1</v>
      </c>
      <c r="AH419" s="3" t="b">
        <v>1</v>
      </c>
      <c r="AI419" s="3" t="b">
        <v>1</v>
      </c>
      <c r="AJ419" s="3" t="b">
        <v>1</v>
      </c>
      <c r="AK419" s="3" t="b">
        <v>1</v>
      </c>
      <c r="AL419" s="3"/>
      <c r="AM419" s="3"/>
      <c r="AN419" s="3"/>
      <c r="AO419" s="3"/>
      <c r="AP419" s="3"/>
      <c r="AQ419" s="3" t="s">
        <v>28</v>
      </c>
      <c r="AR419" s="3" t="b">
        <v>1</v>
      </c>
      <c r="AS419" s="3" t="b">
        <v>1</v>
      </c>
      <c r="AT419" s="3" t="b">
        <v>1</v>
      </c>
      <c r="AU419" s="3" t="b">
        <v>1</v>
      </c>
      <c r="AV419" s="3" t="b">
        <v>1</v>
      </c>
      <c r="AW419" s="3" t="b">
        <f t="shared" si="18"/>
        <v>1</v>
      </c>
      <c r="AX419" s="3" t="b">
        <f t="shared" si="19"/>
        <v>0</v>
      </c>
      <c r="AY419" s="3" t="b">
        <f t="shared" si="20"/>
        <v>0</v>
      </c>
      <c r="AZ419" s="3" t="b">
        <f t="shared" si="21"/>
        <v>0</v>
      </c>
      <c r="BA419" s="3" t="b">
        <f t="shared" si="22"/>
        <v>0</v>
      </c>
      <c r="BB419" s="3" t="b">
        <f t="shared" si="23"/>
        <v>0</v>
      </c>
      <c r="BC419" s="3"/>
      <c r="BD419" s="3" t="s">
        <v>28</v>
      </c>
      <c r="BE419" s="3" t="b">
        <v>1</v>
      </c>
      <c r="BF419" s="3" t="b">
        <v>1</v>
      </c>
      <c r="BG419" s="3" t="b">
        <v>1</v>
      </c>
      <c r="BH419" s="3" t="b">
        <v>1</v>
      </c>
      <c r="BI419" s="3" t="b">
        <v>1</v>
      </c>
      <c r="BJ419" s="3"/>
      <c r="BK419" s="3"/>
      <c r="BL419" s="3"/>
      <c r="BM419" s="3"/>
      <c r="BN419" s="3"/>
      <c r="BO419" s="3" t="s">
        <v>28</v>
      </c>
      <c r="BP419" s="3" t="b">
        <v>1</v>
      </c>
      <c r="BQ419" s="3" t="b">
        <v>1</v>
      </c>
      <c r="BR419" s="3" t="b">
        <v>1</v>
      </c>
      <c r="BS419" s="3" t="b">
        <v>1</v>
      </c>
      <c r="BT419" s="3" t="b">
        <v>1</v>
      </c>
      <c r="BU419" s="3"/>
      <c r="BV419" s="3"/>
      <c r="BW419" s="3"/>
      <c r="BX419" s="3"/>
    </row>
    <row r="420" spans="1:76" x14ac:dyDescent="0.35">
      <c r="A420" s="3"/>
      <c r="B420" s="3" t="s">
        <v>108</v>
      </c>
      <c r="C420" s="2" t="s">
        <v>109</v>
      </c>
      <c r="D420" s="3"/>
      <c r="E420" s="3"/>
      <c r="F420" s="3"/>
      <c r="G420" s="3" t="s">
        <v>3831</v>
      </c>
      <c r="H420" s="3" t="s">
        <v>111</v>
      </c>
      <c r="I420" s="3" t="b">
        <v>1</v>
      </c>
      <c r="J420" s="3" t="b">
        <v>1</v>
      </c>
      <c r="K420" s="3" t="b">
        <v>1</v>
      </c>
      <c r="L420" s="3" t="b">
        <v>1</v>
      </c>
      <c r="M420" s="3" t="b">
        <v>1</v>
      </c>
      <c r="N420" s="3" t="b">
        <f t="shared" si="12"/>
        <v>1</v>
      </c>
      <c r="O420" s="3" t="b">
        <f t="shared" si="13"/>
        <v>0</v>
      </c>
      <c r="P420" s="3" t="b">
        <f t="shared" si="14"/>
        <v>0</v>
      </c>
      <c r="Q420" s="3" t="b">
        <f t="shared" si="15"/>
        <v>0</v>
      </c>
      <c r="R420" s="3" t="b">
        <f t="shared" si="16"/>
        <v>0</v>
      </c>
      <c r="S420" s="3" t="b">
        <f t="shared" si="17"/>
        <v>0</v>
      </c>
      <c r="U420" s="3" t="s">
        <v>112</v>
      </c>
      <c r="V420" s="3" t="b">
        <v>1</v>
      </c>
      <c r="W420" s="3" t="b">
        <v>1</v>
      </c>
      <c r="X420" s="3" t="b">
        <v>1</v>
      </c>
      <c r="Y420" s="3" t="b">
        <v>1</v>
      </c>
      <c r="Z420" s="3" t="b">
        <v>1</v>
      </c>
      <c r="AA420" s="3"/>
      <c r="AB420" s="3"/>
      <c r="AC420" s="3"/>
      <c r="AD420" s="3"/>
      <c r="AE420" s="3"/>
      <c r="AF420" s="3" t="s">
        <v>111</v>
      </c>
      <c r="AG420" s="3" t="b">
        <v>1</v>
      </c>
      <c r="AH420" s="3" t="b">
        <v>1</v>
      </c>
      <c r="AI420" s="3" t="b">
        <v>1</v>
      </c>
      <c r="AJ420" s="3" t="b">
        <v>1</v>
      </c>
      <c r="AK420" s="3" t="b">
        <v>1</v>
      </c>
      <c r="AL420" s="3"/>
      <c r="AM420" s="3"/>
      <c r="AN420" s="3"/>
      <c r="AO420" s="3"/>
      <c r="AP420" s="3"/>
      <c r="AQ420" s="3" t="s">
        <v>112</v>
      </c>
      <c r="AR420" s="3" t="b">
        <v>1</v>
      </c>
      <c r="AS420" s="3" t="b">
        <v>1</v>
      </c>
      <c r="AT420" s="3" t="b">
        <v>1</v>
      </c>
      <c r="AU420" s="3" t="b">
        <v>1</v>
      </c>
      <c r="AV420" s="3" t="b">
        <v>1</v>
      </c>
      <c r="AW420" s="3" t="b">
        <f t="shared" si="18"/>
        <v>1</v>
      </c>
      <c r="AX420" s="3" t="b">
        <f t="shared" si="19"/>
        <v>0</v>
      </c>
      <c r="AY420" s="3" t="b">
        <f t="shared" si="20"/>
        <v>0</v>
      </c>
      <c r="AZ420" s="3" t="b">
        <f t="shared" si="21"/>
        <v>0</v>
      </c>
      <c r="BA420" s="3" t="b">
        <f t="shared" si="22"/>
        <v>0</v>
      </c>
      <c r="BB420" s="3" t="b">
        <f t="shared" si="23"/>
        <v>0</v>
      </c>
      <c r="BC420" s="3"/>
      <c r="BD420" s="3" t="s">
        <v>112</v>
      </c>
      <c r="BE420" s="3" t="b">
        <v>1</v>
      </c>
      <c r="BF420" s="3" t="b">
        <v>1</v>
      </c>
      <c r="BG420" s="3" t="b">
        <v>1</v>
      </c>
      <c r="BH420" s="3" t="b">
        <v>1</v>
      </c>
      <c r="BI420" s="3" t="b">
        <v>1</v>
      </c>
      <c r="BJ420" s="3"/>
      <c r="BK420" s="3"/>
      <c r="BL420" s="3"/>
      <c r="BM420" s="3"/>
      <c r="BN420" s="3"/>
      <c r="BO420" s="3" t="s">
        <v>112</v>
      </c>
      <c r="BP420" s="3" t="b">
        <v>1</v>
      </c>
      <c r="BQ420" s="3" t="b">
        <v>1</v>
      </c>
      <c r="BR420" s="3" t="b">
        <v>1</v>
      </c>
      <c r="BS420" s="3" t="b">
        <v>1</v>
      </c>
      <c r="BT420" s="3" t="b">
        <v>1</v>
      </c>
      <c r="BU420" s="3"/>
      <c r="BV420" s="3"/>
      <c r="BW420" s="3"/>
      <c r="BX420" s="3"/>
    </row>
    <row r="421" spans="1:76" x14ac:dyDescent="0.35">
      <c r="A421" s="3"/>
      <c r="B421" s="3"/>
      <c r="C421" s="2" t="s">
        <v>1143</v>
      </c>
      <c r="D421" s="3"/>
      <c r="E421" s="3"/>
      <c r="F421" s="3"/>
      <c r="G421" s="3" t="s">
        <v>3832</v>
      </c>
      <c r="H421" s="3" t="s">
        <v>1145</v>
      </c>
      <c r="I421" s="3" t="b">
        <v>1</v>
      </c>
      <c r="J421" s="3" t="b">
        <v>1</v>
      </c>
      <c r="K421" s="3" t="b">
        <v>1</v>
      </c>
      <c r="L421" s="3" t="b">
        <v>1</v>
      </c>
      <c r="M421" s="3" t="b">
        <v>1</v>
      </c>
      <c r="N421" s="3" t="b">
        <f t="shared" si="12"/>
        <v>1</v>
      </c>
      <c r="O421" s="3" t="b">
        <f t="shared" si="13"/>
        <v>0</v>
      </c>
      <c r="P421" s="3" t="b">
        <f t="shared" si="14"/>
        <v>0</v>
      </c>
      <c r="Q421" s="3" t="b">
        <f t="shared" si="15"/>
        <v>0</v>
      </c>
      <c r="R421" s="3" t="b">
        <f t="shared" si="16"/>
        <v>0</v>
      </c>
      <c r="S421" s="3" t="b">
        <f t="shared" si="17"/>
        <v>0</v>
      </c>
      <c r="U421" s="3" t="s">
        <v>1145</v>
      </c>
      <c r="V421" s="3" t="b">
        <v>1</v>
      </c>
      <c r="W421" s="3" t="b">
        <v>1</v>
      </c>
      <c r="X421" s="3" t="b">
        <v>1</v>
      </c>
      <c r="Y421" s="3" t="b">
        <v>1</v>
      </c>
      <c r="Z421" s="3" t="b">
        <v>1</v>
      </c>
      <c r="AA421" s="3"/>
      <c r="AB421" s="3"/>
      <c r="AC421" s="3"/>
      <c r="AD421" s="3"/>
      <c r="AE421" s="3"/>
      <c r="AF421" s="3" t="s">
        <v>1146</v>
      </c>
      <c r="AG421" s="3" t="b">
        <v>1</v>
      </c>
      <c r="AH421" s="3" t="b">
        <v>1</v>
      </c>
      <c r="AI421" s="3" t="b">
        <v>1</v>
      </c>
      <c r="AJ421" s="3" t="b">
        <v>1</v>
      </c>
      <c r="AK421" s="3" t="b">
        <v>1</v>
      </c>
      <c r="AL421" s="3"/>
      <c r="AM421" s="3"/>
      <c r="AN421" s="3"/>
      <c r="AO421" s="3"/>
      <c r="AP421" s="3"/>
      <c r="AQ421" s="3" t="s">
        <v>1147</v>
      </c>
      <c r="AR421" s="3" t="b">
        <v>1</v>
      </c>
      <c r="AS421" s="3" t="b">
        <v>0</v>
      </c>
      <c r="AT421" s="3" t="b">
        <v>0</v>
      </c>
      <c r="AU421" s="3" t="b">
        <v>1</v>
      </c>
      <c r="AV421" s="3" t="b">
        <v>0</v>
      </c>
      <c r="AW421" s="3" t="b">
        <f t="shared" si="18"/>
        <v>0</v>
      </c>
      <c r="AX421" s="3" t="b">
        <f t="shared" si="19"/>
        <v>0</v>
      </c>
      <c r="AY421" s="3" t="b">
        <f t="shared" si="20"/>
        <v>1</v>
      </c>
      <c r="AZ421" s="3" t="b">
        <f t="shared" si="21"/>
        <v>0</v>
      </c>
      <c r="BA421" s="3" t="b">
        <f t="shared" si="22"/>
        <v>0</v>
      </c>
      <c r="BB421" s="3" t="b">
        <f t="shared" si="23"/>
        <v>0</v>
      </c>
      <c r="BC421" s="3"/>
      <c r="BD421" s="3" t="s">
        <v>1147</v>
      </c>
      <c r="BE421" s="3" t="b">
        <v>1</v>
      </c>
      <c r="BF421" s="3" t="b">
        <v>0</v>
      </c>
      <c r="BG421" s="3" t="b">
        <v>0</v>
      </c>
      <c r="BH421" s="3" t="b">
        <v>1</v>
      </c>
      <c r="BI421" s="3" t="b">
        <v>0</v>
      </c>
      <c r="BJ421" s="3"/>
      <c r="BK421" s="3"/>
      <c r="BL421" s="3"/>
      <c r="BM421" s="3"/>
      <c r="BN421" s="3"/>
      <c r="BO421" s="3" t="s">
        <v>1147</v>
      </c>
      <c r="BP421" s="3" t="b">
        <v>1</v>
      </c>
      <c r="BQ421" s="3" t="b">
        <v>0</v>
      </c>
      <c r="BR421" s="3" t="b">
        <v>0</v>
      </c>
      <c r="BS421" s="3" t="b">
        <v>1</v>
      </c>
      <c r="BT421" s="3" t="b">
        <v>0</v>
      </c>
      <c r="BU421" s="3"/>
      <c r="BV421" s="3"/>
      <c r="BW421" s="3"/>
      <c r="BX421" s="3"/>
    </row>
    <row r="422" spans="1:76" x14ac:dyDescent="0.35">
      <c r="A422" s="3"/>
      <c r="B422" s="3"/>
      <c r="C422" s="3" t="s">
        <v>131</v>
      </c>
      <c r="D422" s="3"/>
      <c r="E422" s="3"/>
      <c r="F422" s="3"/>
      <c r="G422" s="3" t="s">
        <v>3833</v>
      </c>
      <c r="H422" s="3" t="s">
        <v>133</v>
      </c>
      <c r="I422" s="3" t="b">
        <v>1</v>
      </c>
      <c r="J422" s="3" t="b">
        <v>1</v>
      </c>
      <c r="K422" s="3" t="b">
        <v>1</v>
      </c>
      <c r="L422" s="3" t="b">
        <v>1</v>
      </c>
      <c r="M422" s="3" t="b">
        <v>1</v>
      </c>
      <c r="N422" s="3" t="b">
        <f t="shared" si="12"/>
        <v>1</v>
      </c>
      <c r="O422" s="3" t="b">
        <f t="shared" si="13"/>
        <v>0</v>
      </c>
      <c r="P422" s="3" t="b">
        <f t="shared" si="14"/>
        <v>0</v>
      </c>
      <c r="Q422" s="3" t="b">
        <f t="shared" si="15"/>
        <v>0</v>
      </c>
      <c r="R422" s="3" t="b">
        <f t="shared" si="16"/>
        <v>0</v>
      </c>
      <c r="S422" s="3" t="b">
        <f t="shared" si="17"/>
        <v>0</v>
      </c>
      <c r="U422" s="3" t="s">
        <v>133</v>
      </c>
      <c r="V422" s="3" t="b">
        <v>1</v>
      </c>
      <c r="W422" s="3" t="b">
        <v>1</v>
      </c>
      <c r="X422" s="3" t="b">
        <v>1</v>
      </c>
      <c r="Y422" s="3" t="b">
        <v>1</v>
      </c>
      <c r="Z422" s="3" t="b">
        <v>1</v>
      </c>
      <c r="AA422" s="3"/>
      <c r="AB422" s="3"/>
      <c r="AC422" s="3"/>
      <c r="AD422" s="3"/>
      <c r="AE422" s="3"/>
      <c r="AF422" s="3" t="s">
        <v>133</v>
      </c>
      <c r="AG422" s="3" t="b">
        <v>1</v>
      </c>
      <c r="AH422" s="3" t="b">
        <v>1</v>
      </c>
      <c r="AI422" s="3" t="b">
        <v>1</v>
      </c>
      <c r="AJ422" s="3" t="b">
        <v>1</v>
      </c>
      <c r="AK422" s="3" t="b">
        <v>1</v>
      </c>
      <c r="AL422" s="3"/>
      <c r="AM422" s="3"/>
      <c r="AN422" s="3"/>
      <c r="AO422" s="3"/>
      <c r="AP422" s="3"/>
      <c r="AQ422" s="3" t="s">
        <v>133</v>
      </c>
      <c r="AR422" s="3" t="b">
        <v>1</v>
      </c>
      <c r="AS422" s="3" t="b">
        <v>1</v>
      </c>
      <c r="AT422" s="3" t="b">
        <v>1</v>
      </c>
      <c r="AU422" s="3" t="b">
        <v>1</v>
      </c>
      <c r="AV422" s="3" t="b">
        <v>1</v>
      </c>
      <c r="AW422" s="3" t="b">
        <f t="shared" si="18"/>
        <v>1</v>
      </c>
      <c r="AX422" s="3" t="b">
        <f t="shared" si="19"/>
        <v>0</v>
      </c>
      <c r="AY422" s="3" t="b">
        <f t="shared" si="20"/>
        <v>0</v>
      </c>
      <c r="AZ422" s="3" t="b">
        <f t="shared" si="21"/>
        <v>0</v>
      </c>
      <c r="BA422" s="3" t="b">
        <f t="shared" si="22"/>
        <v>0</v>
      </c>
      <c r="BB422" s="3" t="b">
        <f t="shared" si="23"/>
        <v>0</v>
      </c>
      <c r="BC422" s="3"/>
      <c r="BD422" s="3" t="s">
        <v>133</v>
      </c>
      <c r="BE422" s="3" t="b">
        <v>1</v>
      </c>
      <c r="BF422" s="3" t="b">
        <v>1</v>
      </c>
      <c r="BG422" s="3" t="b">
        <v>1</v>
      </c>
      <c r="BH422" s="3" t="b">
        <v>1</v>
      </c>
      <c r="BI422" s="3" t="b">
        <v>1</v>
      </c>
      <c r="BJ422" s="3"/>
      <c r="BK422" s="3"/>
      <c r="BL422" s="3"/>
      <c r="BM422" s="3"/>
      <c r="BN422" s="3"/>
      <c r="BO422" s="3" t="s">
        <v>133</v>
      </c>
      <c r="BP422" s="3" t="b">
        <v>1</v>
      </c>
      <c r="BQ422" s="3" t="b">
        <v>1</v>
      </c>
      <c r="BR422" s="3" t="b">
        <v>1</v>
      </c>
      <c r="BS422" s="3" t="b">
        <v>1</v>
      </c>
      <c r="BT422" s="3" t="b">
        <v>1</v>
      </c>
      <c r="BU422" s="3"/>
      <c r="BV422" s="3"/>
      <c r="BW422" s="3"/>
      <c r="BX422" s="3"/>
    </row>
    <row r="423" spans="1:76" x14ac:dyDescent="0.35">
      <c r="A423" s="3"/>
      <c r="B423" s="3" t="s">
        <v>1149</v>
      </c>
      <c r="C423" s="3" t="s">
        <v>1150</v>
      </c>
      <c r="D423" s="3" t="s">
        <v>1110</v>
      </c>
      <c r="E423" s="3" t="s">
        <v>1111</v>
      </c>
      <c r="F423" s="3"/>
      <c r="G423" s="3" t="s">
        <v>3834</v>
      </c>
      <c r="H423" s="3" t="s">
        <v>1152</v>
      </c>
      <c r="I423" s="3" t="b">
        <v>1</v>
      </c>
      <c r="J423" s="3" t="b">
        <v>1</v>
      </c>
      <c r="K423" s="3" t="b">
        <v>1</v>
      </c>
      <c r="L423" s="3" t="b">
        <v>1</v>
      </c>
      <c r="M423" s="3" t="b">
        <v>1</v>
      </c>
      <c r="N423" s="3" t="b">
        <f t="shared" si="12"/>
        <v>1</v>
      </c>
      <c r="O423" s="3" t="b">
        <f t="shared" si="13"/>
        <v>0</v>
      </c>
      <c r="P423" s="3" t="b">
        <f t="shared" si="14"/>
        <v>0</v>
      </c>
      <c r="Q423" s="3" t="b">
        <f t="shared" si="15"/>
        <v>0</v>
      </c>
      <c r="R423" s="3" t="b">
        <f t="shared" si="16"/>
        <v>0</v>
      </c>
      <c r="S423" s="3" t="b">
        <f t="shared" si="17"/>
        <v>0</v>
      </c>
      <c r="U423" s="3" t="s">
        <v>1153</v>
      </c>
      <c r="V423" s="3" t="b">
        <v>1</v>
      </c>
      <c r="W423" s="3" t="b">
        <v>1</v>
      </c>
      <c r="X423" s="3" t="b">
        <v>1</v>
      </c>
      <c r="Y423" s="3" t="b">
        <v>1</v>
      </c>
      <c r="Z423" s="3" t="b">
        <v>1</v>
      </c>
      <c r="AA423" s="3"/>
      <c r="AB423" s="3"/>
      <c r="AC423" s="3"/>
      <c r="AD423" s="3"/>
      <c r="AE423" s="3"/>
      <c r="AF423" s="3" t="s">
        <v>1153</v>
      </c>
      <c r="AG423" s="3" t="b">
        <v>1</v>
      </c>
      <c r="AH423" s="3" t="b">
        <v>1</v>
      </c>
      <c r="AI423" s="3" t="b">
        <v>1</v>
      </c>
      <c r="AJ423" s="3" t="b">
        <v>1</v>
      </c>
      <c r="AK423" s="3" t="b">
        <v>1</v>
      </c>
      <c r="AL423" s="3"/>
      <c r="AM423" s="3"/>
      <c r="AN423" s="3"/>
      <c r="AO423" s="3"/>
      <c r="AP423" s="3"/>
      <c r="AQ423" s="3" t="s">
        <v>1154</v>
      </c>
      <c r="AR423" s="3" t="b">
        <v>1</v>
      </c>
      <c r="AS423" s="3" t="b">
        <v>1</v>
      </c>
      <c r="AT423" s="3" t="b">
        <v>1</v>
      </c>
      <c r="AU423" s="3" t="b">
        <v>1</v>
      </c>
      <c r="AV423" s="3" t="b">
        <v>1</v>
      </c>
      <c r="AW423" s="3" t="b">
        <f t="shared" si="18"/>
        <v>1</v>
      </c>
      <c r="AX423" s="3" t="b">
        <f t="shared" si="19"/>
        <v>0</v>
      </c>
      <c r="AY423" s="3" t="b">
        <f t="shared" si="20"/>
        <v>0</v>
      </c>
      <c r="AZ423" s="3" t="b">
        <f t="shared" si="21"/>
        <v>0</v>
      </c>
      <c r="BA423" s="3" t="b">
        <f t="shared" si="22"/>
        <v>0</v>
      </c>
      <c r="BB423" s="3" t="b">
        <f t="shared" si="23"/>
        <v>0</v>
      </c>
      <c r="BC423" s="3"/>
      <c r="BD423" s="3" t="s">
        <v>1155</v>
      </c>
      <c r="BE423" s="3" t="b">
        <v>1</v>
      </c>
      <c r="BF423" s="3" t="b">
        <v>1</v>
      </c>
      <c r="BG423" s="3" t="b">
        <v>1</v>
      </c>
      <c r="BH423" s="3" t="b">
        <v>0</v>
      </c>
      <c r="BI423" s="3" t="b">
        <v>1</v>
      </c>
      <c r="BJ423" s="3"/>
      <c r="BK423" s="3"/>
      <c r="BL423" s="3"/>
      <c r="BM423" s="3"/>
      <c r="BN423" s="3"/>
      <c r="BO423" s="3" t="s">
        <v>1155</v>
      </c>
      <c r="BP423" s="3" t="b">
        <v>1</v>
      </c>
      <c r="BQ423" s="3" t="b">
        <v>1</v>
      </c>
      <c r="BR423" s="3" t="b">
        <v>1</v>
      </c>
      <c r="BS423" s="3" t="b">
        <v>0</v>
      </c>
      <c r="BT423" s="3" t="b">
        <v>1</v>
      </c>
      <c r="BU423" s="3"/>
      <c r="BV423" s="3"/>
      <c r="BW423" s="3"/>
      <c r="BX423" s="3"/>
    </row>
    <row r="424" spans="1:76" x14ac:dyDescent="0.35">
      <c r="A424" s="3"/>
      <c r="B424" s="3"/>
      <c r="C424" s="3" t="s">
        <v>1116</v>
      </c>
      <c r="D424" s="3"/>
      <c r="E424" s="3"/>
      <c r="F424" s="3"/>
      <c r="G424" s="3" t="s">
        <v>3835</v>
      </c>
      <c r="H424" s="3" t="s">
        <v>1157</v>
      </c>
      <c r="I424" s="3" t="b">
        <v>1</v>
      </c>
      <c r="J424" s="3" t="b">
        <v>1</v>
      </c>
      <c r="K424" s="3" t="b">
        <v>1</v>
      </c>
      <c r="L424" s="3" t="b">
        <v>1</v>
      </c>
      <c r="M424" s="3" t="b">
        <v>1</v>
      </c>
      <c r="N424" s="3" t="b">
        <f t="shared" si="12"/>
        <v>1</v>
      </c>
      <c r="O424" s="3" t="b">
        <f t="shared" si="13"/>
        <v>0</v>
      </c>
      <c r="P424" s="3" t="b">
        <f t="shared" si="14"/>
        <v>0</v>
      </c>
      <c r="Q424" s="3" t="b">
        <f t="shared" si="15"/>
        <v>0</v>
      </c>
      <c r="R424" s="3" t="b">
        <f t="shared" si="16"/>
        <v>0</v>
      </c>
      <c r="S424" s="3" t="b">
        <f t="shared" si="17"/>
        <v>0</v>
      </c>
      <c r="U424" s="3" t="s">
        <v>1157</v>
      </c>
      <c r="V424" s="3" t="b">
        <v>1</v>
      </c>
      <c r="W424" s="3" t="b">
        <v>1</v>
      </c>
      <c r="X424" s="3" t="b">
        <v>1</v>
      </c>
      <c r="Y424" s="3" t="b">
        <v>1</v>
      </c>
      <c r="Z424" s="3" t="b">
        <v>1</v>
      </c>
      <c r="AA424" s="3"/>
      <c r="AB424" s="3"/>
      <c r="AC424" s="3"/>
      <c r="AD424" s="3"/>
      <c r="AE424" s="3"/>
      <c r="AF424" s="3" t="s">
        <v>1158</v>
      </c>
      <c r="AG424" s="3" t="b">
        <v>1</v>
      </c>
      <c r="AH424" s="3" t="b">
        <v>1</v>
      </c>
      <c r="AI424" s="3" t="b">
        <v>1</v>
      </c>
      <c r="AJ424" s="3" t="b">
        <v>1</v>
      </c>
      <c r="AK424" s="3" t="b">
        <v>1</v>
      </c>
      <c r="AL424" s="3"/>
      <c r="AM424" s="3"/>
      <c r="AN424" s="3"/>
      <c r="AO424" s="3"/>
      <c r="AP424" s="3"/>
      <c r="AQ424" s="3" t="s">
        <v>1157</v>
      </c>
      <c r="AR424" s="3" t="b">
        <v>1</v>
      </c>
      <c r="AS424" s="3" t="b">
        <v>1</v>
      </c>
      <c r="AT424" s="3" t="b">
        <v>1</v>
      </c>
      <c r="AU424" s="3" t="b">
        <v>0</v>
      </c>
      <c r="AV424" s="3" t="b">
        <v>1</v>
      </c>
      <c r="AW424" s="3" t="b">
        <f t="shared" si="18"/>
        <v>0</v>
      </c>
      <c r="AX424" s="3" t="b">
        <f t="shared" si="19"/>
        <v>0</v>
      </c>
      <c r="AY424" s="3" t="b">
        <f t="shared" si="20"/>
        <v>0</v>
      </c>
      <c r="AZ424" s="3" t="b">
        <f t="shared" si="21"/>
        <v>1</v>
      </c>
      <c r="BA424" s="3" t="b">
        <f t="shared" si="22"/>
        <v>0</v>
      </c>
      <c r="BB424" s="3" t="b">
        <f t="shared" si="23"/>
        <v>0</v>
      </c>
      <c r="BC424" s="3"/>
      <c r="BD424" s="3" t="s">
        <v>1157</v>
      </c>
      <c r="BE424" s="3" t="b">
        <v>1</v>
      </c>
      <c r="BF424" s="3" t="b">
        <v>1</v>
      </c>
      <c r="BG424" s="3" t="b">
        <v>1</v>
      </c>
      <c r="BH424" s="3" t="b">
        <v>0</v>
      </c>
      <c r="BI424" s="3" t="b">
        <v>1</v>
      </c>
      <c r="BJ424" s="3"/>
      <c r="BK424" s="3"/>
      <c r="BL424" s="3"/>
      <c r="BM424" s="3"/>
      <c r="BN424" s="3"/>
      <c r="BO424" s="3" t="s">
        <v>1157</v>
      </c>
      <c r="BP424" s="3" t="b">
        <v>1</v>
      </c>
      <c r="BQ424" s="3" t="b">
        <v>1</v>
      </c>
      <c r="BR424" s="3" t="b">
        <v>1</v>
      </c>
      <c r="BS424" s="3" t="b">
        <v>0</v>
      </c>
      <c r="BT424" s="3" t="b">
        <v>1</v>
      </c>
      <c r="BU424" s="3"/>
      <c r="BV424" s="3"/>
      <c r="BW424" s="3"/>
      <c r="BX424" s="3"/>
    </row>
    <row r="425" spans="1:76" x14ac:dyDescent="0.35">
      <c r="A425" s="3"/>
      <c r="B425" s="3" t="s">
        <v>1159</v>
      </c>
      <c r="C425" s="3" t="s">
        <v>1160</v>
      </c>
      <c r="D425" s="3" t="s">
        <v>1124</v>
      </c>
      <c r="E425" s="3" t="s">
        <v>1125</v>
      </c>
      <c r="F425" s="3"/>
      <c r="G425" s="3" t="s">
        <v>3836</v>
      </c>
      <c r="H425" s="3" t="s">
        <v>1162</v>
      </c>
      <c r="I425" s="3" t="b">
        <v>1</v>
      </c>
      <c r="J425" s="3" t="b">
        <v>1</v>
      </c>
      <c r="K425" s="3" t="b">
        <v>1</v>
      </c>
      <c r="L425" s="3" t="b">
        <v>1</v>
      </c>
      <c r="M425" s="3" t="b">
        <v>1</v>
      </c>
      <c r="N425" s="3" t="b">
        <f t="shared" si="12"/>
        <v>1</v>
      </c>
      <c r="O425" s="3" t="b">
        <f t="shared" si="13"/>
        <v>0</v>
      </c>
      <c r="P425" s="3" t="b">
        <f t="shared" si="14"/>
        <v>0</v>
      </c>
      <c r="Q425" s="3" t="b">
        <f t="shared" si="15"/>
        <v>0</v>
      </c>
      <c r="R425" s="3" t="b">
        <f t="shared" si="16"/>
        <v>0</v>
      </c>
      <c r="S425" s="3" t="b">
        <f t="shared" si="17"/>
        <v>0</v>
      </c>
      <c r="U425" s="3" t="s">
        <v>1163</v>
      </c>
      <c r="V425" s="3" t="b">
        <v>1</v>
      </c>
      <c r="W425" s="3" t="b">
        <v>1</v>
      </c>
      <c r="X425" s="3" t="b">
        <v>1</v>
      </c>
      <c r="Y425" s="3" t="b">
        <v>1</v>
      </c>
      <c r="Z425" s="3" t="b">
        <v>1</v>
      </c>
      <c r="AA425" s="3"/>
      <c r="AB425" s="3"/>
      <c r="AC425" s="3"/>
      <c r="AD425" s="3"/>
      <c r="AE425" s="3"/>
      <c r="AF425" s="3" t="s">
        <v>1164</v>
      </c>
      <c r="AG425" s="3" t="b">
        <v>1</v>
      </c>
      <c r="AH425" s="3" t="b">
        <v>1</v>
      </c>
      <c r="AI425" s="3" t="b">
        <v>1</v>
      </c>
      <c r="AJ425" s="3" t="b">
        <v>1</v>
      </c>
      <c r="AK425" s="3" t="b">
        <v>1</v>
      </c>
      <c r="AL425" s="3"/>
      <c r="AM425" s="3"/>
      <c r="AN425" s="3"/>
      <c r="AO425" s="3"/>
      <c r="AP425" s="3"/>
      <c r="AQ425" s="3" t="s">
        <v>1165</v>
      </c>
      <c r="AR425" s="3" t="b">
        <v>1</v>
      </c>
      <c r="AS425" s="3" t="b">
        <v>1</v>
      </c>
      <c r="AT425" s="3" t="b">
        <v>1</v>
      </c>
      <c r="AU425" s="3" t="b">
        <v>1</v>
      </c>
      <c r="AV425" s="3" t="b">
        <v>1</v>
      </c>
      <c r="AW425" s="3" t="b">
        <f t="shared" si="18"/>
        <v>1</v>
      </c>
      <c r="AX425" s="3" t="b">
        <f t="shared" si="19"/>
        <v>0</v>
      </c>
      <c r="AY425" s="3" t="b">
        <f t="shared" si="20"/>
        <v>0</v>
      </c>
      <c r="AZ425" s="3" t="b">
        <f t="shared" si="21"/>
        <v>0</v>
      </c>
      <c r="BA425" s="3" t="b">
        <f t="shared" si="22"/>
        <v>0</v>
      </c>
      <c r="BB425" s="3" t="b">
        <f t="shared" si="23"/>
        <v>0</v>
      </c>
      <c r="BC425" s="3"/>
      <c r="BD425" s="3" t="s">
        <v>1165</v>
      </c>
      <c r="BE425" s="3" t="b">
        <v>1</v>
      </c>
      <c r="BF425" s="3" t="b">
        <v>1</v>
      </c>
      <c r="BG425" s="3" t="b">
        <v>1</v>
      </c>
      <c r="BH425" s="3" t="b">
        <v>1</v>
      </c>
      <c r="BI425" s="3" t="b">
        <v>1</v>
      </c>
      <c r="BJ425" s="3"/>
      <c r="BK425" s="3"/>
      <c r="BL425" s="3"/>
      <c r="BM425" s="3"/>
      <c r="BN425" s="3"/>
      <c r="BO425" s="3" t="s">
        <v>1165</v>
      </c>
      <c r="BP425" s="3" t="b">
        <v>1</v>
      </c>
      <c r="BQ425" s="3" t="b">
        <v>1</v>
      </c>
      <c r="BR425" s="3" t="b">
        <v>1</v>
      </c>
      <c r="BS425" s="3" t="b">
        <v>1</v>
      </c>
      <c r="BT425" s="3" t="b">
        <v>1</v>
      </c>
      <c r="BU425" s="3"/>
      <c r="BV425" s="3"/>
      <c r="BW425" s="3"/>
      <c r="BX425" s="3"/>
    </row>
    <row r="426" spans="1:76" x14ac:dyDescent="0.35">
      <c r="A426" s="3"/>
      <c r="B426" s="3"/>
      <c r="C426" s="3" t="s">
        <v>1131</v>
      </c>
      <c r="D426" s="3"/>
      <c r="E426" s="3"/>
      <c r="F426" s="3"/>
      <c r="G426" s="3" t="s">
        <v>3837</v>
      </c>
      <c r="H426" s="3" t="s">
        <v>1167</v>
      </c>
      <c r="I426" s="3" t="b">
        <v>1</v>
      </c>
      <c r="J426" s="3" t="b">
        <v>1</v>
      </c>
      <c r="K426" s="3" t="b">
        <v>1</v>
      </c>
      <c r="L426" s="3" t="b">
        <v>1</v>
      </c>
      <c r="M426" s="3" t="b">
        <v>1</v>
      </c>
      <c r="N426" s="3" t="b">
        <f t="shared" si="12"/>
        <v>1</v>
      </c>
      <c r="O426" s="3" t="b">
        <f t="shared" si="13"/>
        <v>0</v>
      </c>
      <c r="P426" s="3" t="b">
        <f t="shared" si="14"/>
        <v>0</v>
      </c>
      <c r="Q426" s="3" t="b">
        <f t="shared" si="15"/>
        <v>0</v>
      </c>
      <c r="R426" s="3" t="b">
        <f t="shared" si="16"/>
        <v>0</v>
      </c>
      <c r="S426" s="3" t="b">
        <f t="shared" si="17"/>
        <v>0</v>
      </c>
      <c r="U426" s="3" t="s">
        <v>1167</v>
      </c>
      <c r="V426" s="3" t="b">
        <v>1</v>
      </c>
      <c r="W426" s="3" t="b">
        <v>1</v>
      </c>
      <c r="X426" s="3" t="b">
        <v>1</v>
      </c>
      <c r="Y426" s="3" t="b">
        <v>1</v>
      </c>
      <c r="Z426" s="3" t="b">
        <v>1</v>
      </c>
      <c r="AA426" s="3"/>
      <c r="AB426" s="3"/>
      <c r="AC426" s="3"/>
      <c r="AD426" s="3"/>
      <c r="AE426" s="3"/>
      <c r="AF426" s="3" t="s">
        <v>1167</v>
      </c>
      <c r="AG426" s="3" t="b">
        <v>1</v>
      </c>
      <c r="AH426" s="3" t="b">
        <v>1</v>
      </c>
      <c r="AI426" s="3" t="b">
        <v>1</v>
      </c>
      <c r="AJ426" s="3" t="b">
        <v>1</v>
      </c>
      <c r="AK426" s="3" t="b">
        <v>1</v>
      </c>
      <c r="AL426" s="3"/>
      <c r="AM426" s="3"/>
      <c r="AN426" s="3"/>
      <c r="AO426" s="3"/>
      <c r="AP426" s="3"/>
      <c r="AQ426" s="3" t="s">
        <v>1168</v>
      </c>
      <c r="AR426" s="3" t="b">
        <v>1</v>
      </c>
      <c r="AS426" s="3" t="b">
        <v>1</v>
      </c>
      <c r="AT426" s="3" t="b">
        <v>1</v>
      </c>
      <c r="AU426" s="3" t="b">
        <v>1</v>
      </c>
      <c r="AV426" s="3" t="b">
        <v>1</v>
      </c>
      <c r="AW426" s="3" t="b">
        <f t="shared" si="18"/>
        <v>1</v>
      </c>
      <c r="AX426" s="3" t="b">
        <f t="shared" si="19"/>
        <v>0</v>
      </c>
      <c r="AY426" s="3" t="b">
        <f t="shared" si="20"/>
        <v>0</v>
      </c>
      <c r="AZ426" s="3" t="b">
        <f t="shared" si="21"/>
        <v>0</v>
      </c>
      <c r="BA426" s="3" t="b">
        <f t="shared" si="22"/>
        <v>0</v>
      </c>
      <c r="BB426" s="3" t="b">
        <f t="shared" si="23"/>
        <v>0</v>
      </c>
      <c r="BC426" s="3"/>
      <c r="BD426" s="3" t="s">
        <v>1168</v>
      </c>
      <c r="BE426" s="3" t="b">
        <v>1</v>
      </c>
      <c r="BF426" s="3" t="b">
        <v>1</v>
      </c>
      <c r="BG426" s="3" t="b">
        <v>1</v>
      </c>
      <c r="BH426" s="3" t="b">
        <v>1</v>
      </c>
      <c r="BI426" s="3" t="b">
        <v>1</v>
      </c>
      <c r="BJ426" s="3"/>
      <c r="BK426" s="3"/>
      <c r="BL426" s="3"/>
      <c r="BM426" s="3"/>
      <c r="BN426" s="3"/>
      <c r="BO426" s="3" t="s">
        <v>1169</v>
      </c>
      <c r="BP426" s="3" t="b">
        <v>1</v>
      </c>
      <c r="BQ426" s="3" t="b">
        <v>1</v>
      </c>
      <c r="BR426" s="3" t="b">
        <v>1</v>
      </c>
      <c r="BS426" s="3" t="b">
        <v>1</v>
      </c>
      <c r="BT426" s="3" t="b">
        <v>1</v>
      </c>
      <c r="BU426" s="3"/>
      <c r="BV426" s="3"/>
      <c r="BW426" s="3"/>
      <c r="BX426" s="3"/>
    </row>
    <row r="427" spans="1:76" x14ac:dyDescent="0.35">
      <c r="A427" s="3"/>
      <c r="B427" s="3" t="s">
        <v>1170</v>
      </c>
      <c r="C427" s="3"/>
      <c r="D427" s="3" t="s">
        <v>1110</v>
      </c>
      <c r="E427" s="3" t="s">
        <v>1111</v>
      </c>
      <c r="F427" s="3"/>
      <c r="G427" s="3"/>
      <c r="H427" s="3"/>
      <c r="I427" s="3"/>
      <c r="J427" s="3"/>
      <c r="K427" s="3"/>
      <c r="L427" s="3"/>
      <c r="M427" s="3"/>
      <c r="N427" s="3">
        <f t="shared" si="12"/>
        <v>0</v>
      </c>
      <c r="O427" s="3">
        <f t="shared" si="13"/>
        <v>0</v>
      </c>
      <c r="P427" s="3">
        <f t="shared" si="14"/>
        <v>0</v>
      </c>
      <c r="Q427" s="3">
        <f t="shared" si="15"/>
        <v>0</v>
      </c>
      <c r="R427" s="3">
        <f t="shared" si="16"/>
        <v>0</v>
      </c>
      <c r="S427" s="3">
        <f t="shared" si="17"/>
        <v>0</v>
      </c>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f t="shared" si="18"/>
        <v>0</v>
      </c>
      <c r="AX427" s="3">
        <f t="shared" si="19"/>
        <v>0</v>
      </c>
      <c r="AY427" s="3">
        <f t="shared" si="20"/>
        <v>0</v>
      </c>
      <c r="AZ427" s="3">
        <f t="shared" si="21"/>
        <v>0</v>
      </c>
      <c r="BA427" s="3">
        <f t="shared" si="22"/>
        <v>0</v>
      </c>
      <c r="BB427" s="3">
        <f t="shared" si="23"/>
        <v>0</v>
      </c>
      <c r="BC427" s="3"/>
      <c r="BD427" s="3"/>
      <c r="BE427" s="3"/>
      <c r="BF427" s="3"/>
      <c r="BG427" s="3"/>
      <c r="BH427" s="3"/>
      <c r="BI427" s="3"/>
      <c r="BJ427" s="3"/>
      <c r="BK427" s="3"/>
      <c r="BL427" s="3"/>
      <c r="BM427" s="3"/>
      <c r="BN427" s="3"/>
      <c r="BO427" s="3"/>
      <c r="BP427" s="3"/>
      <c r="BQ427" s="3"/>
      <c r="BR427" s="3"/>
      <c r="BS427" s="3"/>
      <c r="BT427" s="3"/>
      <c r="BU427" s="3"/>
      <c r="BV427" s="3"/>
      <c r="BW427" s="3"/>
      <c r="BX427" s="3"/>
    </row>
    <row r="428" spans="1:76" x14ac:dyDescent="0.35">
      <c r="A428" s="3"/>
      <c r="B428" s="3" t="s">
        <v>1171</v>
      </c>
      <c r="C428" s="3"/>
      <c r="D428" s="3" t="s">
        <v>1124</v>
      </c>
      <c r="E428" s="3" t="s">
        <v>1125</v>
      </c>
      <c r="F428" s="3"/>
      <c r="G428" s="3"/>
      <c r="H428" s="3"/>
      <c r="I428" s="3"/>
      <c r="J428" s="3"/>
      <c r="K428" s="3"/>
      <c r="L428" s="3"/>
      <c r="M428" s="3"/>
      <c r="N428" s="3">
        <f t="shared" si="12"/>
        <v>0</v>
      </c>
      <c r="O428" s="3">
        <f t="shared" si="13"/>
        <v>0</v>
      </c>
      <c r="P428" s="3">
        <f t="shared" si="14"/>
        <v>0</v>
      </c>
      <c r="Q428" s="3">
        <f t="shared" si="15"/>
        <v>0</v>
      </c>
      <c r="R428" s="3">
        <f t="shared" si="16"/>
        <v>0</v>
      </c>
      <c r="S428" s="3">
        <f t="shared" si="17"/>
        <v>0</v>
      </c>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f t="shared" si="18"/>
        <v>0</v>
      </c>
      <c r="AX428" s="3">
        <f t="shared" si="19"/>
        <v>0</v>
      </c>
      <c r="AY428" s="3">
        <f t="shared" si="20"/>
        <v>0</v>
      </c>
      <c r="AZ428" s="3">
        <f t="shared" si="21"/>
        <v>0</v>
      </c>
      <c r="BA428" s="3">
        <f t="shared" si="22"/>
        <v>0</v>
      </c>
      <c r="BB428" s="3">
        <f t="shared" si="23"/>
        <v>0</v>
      </c>
      <c r="BC428" s="3"/>
      <c r="BD428" s="3"/>
      <c r="BE428" s="3"/>
      <c r="BF428" s="3"/>
      <c r="BG428" s="3"/>
      <c r="BH428" s="3"/>
      <c r="BI428" s="3"/>
      <c r="BJ428" s="3"/>
      <c r="BK428" s="3"/>
      <c r="BL428" s="3"/>
      <c r="BM428" s="3"/>
      <c r="BN428" s="3"/>
      <c r="BO428" s="3"/>
      <c r="BP428" s="3"/>
      <c r="BQ428" s="3"/>
      <c r="BR428" s="3"/>
      <c r="BS428" s="3"/>
      <c r="BT428" s="3"/>
      <c r="BU428" s="3"/>
      <c r="BV428" s="3"/>
      <c r="BW428" s="3"/>
      <c r="BX428" s="3"/>
    </row>
    <row r="429" spans="1:76" x14ac:dyDescent="0.35">
      <c r="A429" s="3"/>
      <c r="B429" s="5" t="s">
        <v>1172</v>
      </c>
      <c r="C429" s="5" t="s">
        <v>1105</v>
      </c>
      <c r="D429" s="3"/>
      <c r="E429" s="3"/>
      <c r="F429" s="3"/>
      <c r="G429" s="3"/>
      <c r="H429" s="3"/>
      <c r="I429" s="3"/>
      <c r="J429" s="3"/>
      <c r="K429" s="3"/>
      <c r="L429" s="3"/>
      <c r="M429" s="3"/>
      <c r="N429" s="3">
        <f t="shared" si="12"/>
        <v>0</v>
      </c>
      <c r="O429" s="3">
        <f t="shared" si="13"/>
        <v>0</v>
      </c>
      <c r="P429" s="3">
        <f t="shared" si="14"/>
        <v>0</v>
      </c>
      <c r="Q429" s="3">
        <f t="shared" si="15"/>
        <v>0</v>
      </c>
      <c r="R429" s="3">
        <f t="shared" si="16"/>
        <v>0</v>
      </c>
      <c r="S429" s="3">
        <f t="shared" si="17"/>
        <v>0</v>
      </c>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f t="shared" si="18"/>
        <v>0</v>
      </c>
      <c r="AX429" s="3">
        <f t="shared" si="19"/>
        <v>0</v>
      </c>
      <c r="AY429" s="3">
        <f t="shared" si="20"/>
        <v>0</v>
      </c>
      <c r="AZ429" s="3">
        <f t="shared" si="21"/>
        <v>0</v>
      </c>
      <c r="BA429" s="3">
        <f t="shared" si="22"/>
        <v>0</v>
      </c>
      <c r="BB429" s="3">
        <f t="shared" si="23"/>
        <v>0</v>
      </c>
      <c r="BC429" s="3"/>
      <c r="BD429" s="3"/>
      <c r="BE429" s="3"/>
      <c r="BF429" s="3"/>
      <c r="BG429" s="3"/>
      <c r="BH429" s="3"/>
      <c r="BI429" s="3"/>
      <c r="BJ429" s="3"/>
      <c r="BK429" s="3"/>
      <c r="BL429" s="3"/>
      <c r="BM429" s="3"/>
      <c r="BN429" s="3"/>
      <c r="BO429" s="3"/>
      <c r="BP429" s="3"/>
      <c r="BQ429" s="3"/>
      <c r="BR429" s="3"/>
      <c r="BS429" s="3"/>
      <c r="BT429" s="3"/>
      <c r="BU429" s="3"/>
      <c r="BV429" s="3"/>
      <c r="BW429" s="3"/>
      <c r="BX429" s="3"/>
    </row>
    <row r="430" spans="1:76" x14ac:dyDescent="0.35">
      <c r="A430" s="3"/>
      <c r="B430" s="3" t="s">
        <v>136</v>
      </c>
      <c r="C430" s="3"/>
      <c r="D430" s="3"/>
      <c r="E430" s="3"/>
      <c r="F430" s="3"/>
      <c r="G430" s="3"/>
      <c r="H430" s="3"/>
      <c r="I430" s="3"/>
      <c r="J430" s="3"/>
      <c r="K430" s="3"/>
      <c r="L430" s="3"/>
      <c r="M430" s="3"/>
      <c r="N430" s="3">
        <f t="shared" si="12"/>
        <v>0</v>
      </c>
      <c r="O430" s="3">
        <f t="shared" si="13"/>
        <v>0</v>
      </c>
      <c r="P430" s="3">
        <f t="shared" si="14"/>
        <v>0</v>
      </c>
      <c r="Q430" s="3">
        <f t="shared" si="15"/>
        <v>0</v>
      </c>
      <c r="R430" s="3">
        <f t="shared" si="16"/>
        <v>0</v>
      </c>
      <c r="S430" s="3">
        <f t="shared" si="17"/>
        <v>0</v>
      </c>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f t="shared" si="18"/>
        <v>0</v>
      </c>
      <c r="AX430" s="3">
        <f t="shared" si="19"/>
        <v>0</v>
      </c>
      <c r="AY430" s="3">
        <f t="shared" si="20"/>
        <v>0</v>
      </c>
      <c r="AZ430" s="3">
        <f t="shared" si="21"/>
        <v>0</v>
      </c>
      <c r="BA430" s="3">
        <f t="shared" si="22"/>
        <v>0</v>
      </c>
      <c r="BB430" s="3">
        <f t="shared" si="23"/>
        <v>0</v>
      </c>
      <c r="BC430" s="3"/>
      <c r="BD430" s="3"/>
      <c r="BE430" s="3"/>
      <c r="BF430" s="3"/>
      <c r="BG430" s="3"/>
      <c r="BH430" s="3"/>
      <c r="BI430" s="3"/>
      <c r="BJ430" s="3"/>
      <c r="BK430" s="3"/>
      <c r="BL430" s="3"/>
      <c r="BM430" s="3"/>
      <c r="BN430" s="3"/>
      <c r="BO430" s="3"/>
      <c r="BP430" s="3"/>
      <c r="BQ430" s="3"/>
      <c r="BR430" s="3"/>
      <c r="BS430" s="3"/>
      <c r="BT430" s="3"/>
      <c r="BU430" s="3"/>
      <c r="BV430" s="3"/>
      <c r="BW430" s="3"/>
      <c r="BX430" s="3"/>
    </row>
    <row r="431" spans="1:76" x14ac:dyDescent="0.35">
      <c r="A431" s="3"/>
      <c r="B431" s="3" t="s">
        <v>1173</v>
      </c>
      <c r="C431" s="3"/>
      <c r="D431" s="3"/>
      <c r="E431" s="3"/>
      <c r="F431" s="3"/>
      <c r="G431" s="3"/>
      <c r="H431" s="3"/>
      <c r="I431" s="3"/>
      <c r="J431" s="3"/>
      <c r="K431" s="3"/>
      <c r="L431" s="3"/>
      <c r="M431" s="3"/>
      <c r="N431" s="3">
        <f t="shared" si="12"/>
        <v>0</v>
      </c>
      <c r="O431" s="3">
        <f t="shared" si="13"/>
        <v>0</v>
      </c>
      <c r="P431" s="3">
        <f t="shared" si="14"/>
        <v>0</v>
      </c>
      <c r="Q431" s="3">
        <f t="shared" si="15"/>
        <v>0</v>
      </c>
      <c r="R431" s="3">
        <f t="shared" si="16"/>
        <v>0</v>
      </c>
      <c r="S431" s="3">
        <f t="shared" si="17"/>
        <v>0</v>
      </c>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f t="shared" si="18"/>
        <v>0</v>
      </c>
      <c r="AX431" s="3">
        <f t="shared" si="19"/>
        <v>0</v>
      </c>
      <c r="AY431" s="3">
        <f t="shared" si="20"/>
        <v>0</v>
      </c>
      <c r="AZ431" s="3">
        <f t="shared" si="21"/>
        <v>0</v>
      </c>
      <c r="BA431" s="3">
        <f t="shared" si="22"/>
        <v>0</v>
      </c>
      <c r="BB431" s="3">
        <f t="shared" si="23"/>
        <v>0</v>
      </c>
      <c r="BC431" s="3"/>
      <c r="BD431" s="3"/>
      <c r="BE431" s="3"/>
      <c r="BF431" s="3"/>
      <c r="BG431" s="3"/>
      <c r="BH431" s="3"/>
      <c r="BI431" s="3"/>
      <c r="BJ431" s="3"/>
      <c r="BK431" s="3"/>
      <c r="BL431" s="3"/>
      <c r="BM431" s="3"/>
      <c r="BN431" s="3"/>
      <c r="BO431" s="3"/>
      <c r="BP431" s="3"/>
      <c r="BQ431" s="3"/>
      <c r="BR431" s="3"/>
      <c r="BS431" s="3"/>
      <c r="BT431" s="3"/>
      <c r="BU431" s="3"/>
      <c r="BV431" s="3"/>
      <c r="BW431" s="3"/>
      <c r="BX431" s="3"/>
    </row>
    <row r="432" spans="1:76" x14ac:dyDescent="0.35">
      <c r="A432" s="3"/>
      <c r="B432" s="3" t="s">
        <v>1174</v>
      </c>
      <c r="C432" s="3" t="s">
        <v>1175</v>
      </c>
      <c r="D432" s="3" t="s">
        <v>1176</v>
      </c>
      <c r="E432" s="3" t="s">
        <v>1177</v>
      </c>
      <c r="F432" s="3"/>
      <c r="G432" s="3" t="s">
        <v>3838</v>
      </c>
      <c r="H432" s="3" t="s">
        <v>1179</v>
      </c>
      <c r="I432" s="3" t="b">
        <v>1</v>
      </c>
      <c r="J432" s="3" t="b">
        <v>1</v>
      </c>
      <c r="K432" s="3" t="b">
        <v>1</v>
      </c>
      <c r="L432" s="3" t="b">
        <v>1</v>
      </c>
      <c r="M432" s="3" t="b">
        <v>1</v>
      </c>
      <c r="N432" s="3" t="b">
        <f t="shared" si="12"/>
        <v>1</v>
      </c>
      <c r="O432" s="3" t="b">
        <f t="shared" si="13"/>
        <v>0</v>
      </c>
      <c r="P432" s="3" t="b">
        <f t="shared" si="14"/>
        <v>0</v>
      </c>
      <c r="Q432" s="3" t="b">
        <f t="shared" si="15"/>
        <v>0</v>
      </c>
      <c r="R432" s="3" t="b">
        <f t="shared" si="16"/>
        <v>0</v>
      </c>
      <c r="S432" s="3" t="b">
        <f t="shared" si="17"/>
        <v>0</v>
      </c>
      <c r="U432" s="3" t="s">
        <v>1179</v>
      </c>
      <c r="V432" s="3" t="b">
        <v>1</v>
      </c>
      <c r="W432" s="3" t="b">
        <v>1</v>
      </c>
      <c r="X432" s="3" t="b">
        <v>1</v>
      </c>
      <c r="Y432" s="3" t="b">
        <v>1</v>
      </c>
      <c r="Z432" s="3" t="b">
        <v>1</v>
      </c>
      <c r="AA432" s="3"/>
      <c r="AB432" s="3"/>
      <c r="AC432" s="3"/>
      <c r="AD432" s="3"/>
      <c r="AE432" s="3"/>
      <c r="AF432" s="3"/>
      <c r="AG432" s="3" t="b">
        <v>1</v>
      </c>
      <c r="AH432" s="3" t="b">
        <v>0</v>
      </c>
      <c r="AI432" s="3" t="b">
        <v>0</v>
      </c>
      <c r="AJ432" s="3" t="b">
        <v>0</v>
      </c>
      <c r="AK432" s="3" t="b">
        <v>0</v>
      </c>
      <c r="AL432" s="3"/>
      <c r="AM432" s="3"/>
      <c r="AN432" s="3"/>
      <c r="AO432" s="3"/>
      <c r="AP432" s="3"/>
      <c r="AQ432" s="3" t="s">
        <v>1180</v>
      </c>
      <c r="AR432" s="3" t="b">
        <v>1</v>
      </c>
      <c r="AS432" s="3" t="b">
        <v>1</v>
      </c>
      <c r="AT432" s="3" t="b">
        <v>1</v>
      </c>
      <c r="AU432" s="3" t="b">
        <v>1</v>
      </c>
      <c r="AV432" s="3" t="b">
        <v>1</v>
      </c>
      <c r="AW432" s="3" t="b">
        <f t="shared" si="18"/>
        <v>1</v>
      </c>
      <c r="AX432" s="3" t="b">
        <f t="shared" si="19"/>
        <v>0</v>
      </c>
      <c r="AY432" s="3" t="b">
        <f t="shared" si="20"/>
        <v>0</v>
      </c>
      <c r="AZ432" s="3" t="b">
        <f t="shared" si="21"/>
        <v>0</v>
      </c>
      <c r="BA432" s="3" t="b">
        <f t="shared" si="22"/>
        <v>0</v>
      </c>
      <c r="BB432" s="3" t="b">
        <f t="shared" si="23"/>
        <v>0</v>
      </c>
      <c r="BC432" s="3"/>
      <c r="BD432" s="3" t="s">
        <v>1180</v>
      </c>
      <c r="BE432" s="3" t="b">
        <v>1</v>
      </c>
      <c r="BF432" s="3" t="b">
        <v>1</v>
      </c>
      <c r="BG432" s="3" t="b">
        <v>1</v>
      </c>
      <c r="BH432" s="3" t="b">
        <v>1</v>
      </c>
      <c r="BI432" s="3" t="b">
        <v>1</v>
      </c>
      <c r="BJ432" s="3"/>
      <c r="BK432" s="3"/>
      <c r="BL432" s="3"/>
      <c r="BM432" s="3"/>
      <c r="BN432" s="3"/>
      <c r="BO432" s="3" t="s">
        <v>1180</v>
      </c>
      <c r="BP432" s="3" t="b">
        <v>1</v>
      </c>
      <c r="BQ432" s="3" t="b">
        <v>1</v>
      </c>
      <c r="BR432" s="3" t="b">
        <v>1</v>
      </c>
      <c r="BS432" s="3" t="b">
        <v>1</v>
      </c>
      <c r="BT432" s="3" t="b">
        <v>1</v>
      </c>
      <c r="BU432" s="3"/>
      <c r="BV432" s="3"/>
      <c r="BW432" s="3"/>
      <c r="BX432" s="3"/>
    </row>
    <row r="433" spans="1:76" x14ac:dyDescent="0.35">
      <c r="A433" s="3"/>
      <c r="B433" s="3"/>
      <c r="C433" s="3" t="s">
        <v>1181</v>
      </c>
      <c r="D433" s="3"/>
      <c r="E433" s="3"/>
      <c r="F433" s="3"/>
      <c r="G433" s="3" t="s">
        <v>3839</v>
      </c>
      <c r="H433" s="3" t="s">
        <v>1183</v>
      </c>
      <c r="I433" s="3" t="b">
        <v>1</v>
      </c>
      <c r="J433" s="3" t="b">
        <v>1</v>
      </c>
      <c r="K433" s="3" t="b">
        <v>1</v>
      </c>
      <c r="L433" s="3" t="b">
        <v>1</v>
      </c>
      <c r="M433" s="3" t="b">
        <v>1</v>
      </c>
      <c r="N433" s="3" t="b">
        <f t="shared" si="12"/>
        <v>1</v>
      </c>
      <c r="O433" s="3" t="b">
        <f t="shared" si="13"/>
        <v>0</v>
      </c>
      <c r="P433" s="3" t="b">
        <f t="shared" si="14"/>
        <v>0</v>
      </c>
      <c r="Q433" s="3" t="b">
        <f t="shared" si="15"/>
        <v>0</v>
      </c>
      <c r="R433" s="3" t="b">
        <f t="shared" si="16"/>
        <v>0</v>
      </c>
      <c r="S433" s="3" t="b">
        <f t="shared" si="17"/>
        <v>0</v>
      </c>
      <c r="U433" s="3" t="s">
        <v>1184</v>
      </c>
      <c r="V433" s="3" t="b">
        <v>1</v>
      </c>
      <c r="W433" s="3" t="b">
        <v>1</v>
      </c>
      <c r="X433" s="3" t="b">
        <v>1</v>
      </c>
      <c r="Y433" s="3" t="b">
        <v>1</v>
      </c>
      <c r="Z433" s="3" t="b">
        <v>1</v>
      </c>
      <c r="AA433" s="3"/>
      <c r="AB433" s="3"/>
      <c r="AC433" s="3"/>
      <c r="AD433" s="3"/>
      <c r="AE433" s="3"/>
      <c r="AF433" s="3" t="s">
        <v>1183</v>
      </c>
      <c r="AG433" s="3" t="b">
        <v>1</v>
      </c>
      <c r="AH433" s="3" t="b">
        <v>1</v>
      </c>
      <c r="AI433" s="3" t="b">
        <v>1</v>
      </c>
      <c r="AJ433" s="3" t="b">
        <v>1</v>
      </c>
      <c r="AK433" s="3" t="b">
        <v>1</v>
      </c>
      <c r="AL433" s="3"/>
      <c r="AM433" s="3"/>
      <c r="AN433" s="3"/>
      <c r="AO433" s="3"/>
      <c r="AP433" s="3"/>
      <c r="AQ433" s="3" t="s">
        <v>1185</v>
      </c>
      <c r="AR433" s="3" t="b">
        <v>1</v>
      </c>
      <c r="AS433" s="3" t="b">
        <v>1</v>
      </c>
      <c r="AT433" s="3" t="b">
        <v>1</v>
      </c>
      <c r="AU433" s="3" t="b">
        <v>0</v>
      </c>
      <c r="AV433" s="3" t="b">
        <v>1</v>
      </c>
      <c r="AW433" s="3" t="b">
        <f t="shared" si="18"/>
        <v>0</v>
      </c>
      <c r="AX433" s="3" t="b">
        <f t="shared" si="19"/>
        <v>0</v>
      </c>
      <c r="AY433" s="3" t="b">
        <f t="shared" si="20"/>
        <v>0</v>
      </c>
      <c r="AZ433" s="3" t="b">
        <f t="shared" si="21"/>
        <v>1</v>
      </c>
      <c r="BA433" s="3" t="b">
        <f t="shared" si="22"/>
        <v>0</v>
      </c>
      <c r="BB433" s="3" t="b">
        <f t="shared" si="23"/>
        <v>0</v>
      </c>
      <c r="BC433" s="3"/>
      <c r="BD433" s="3" t="s">
        <v>1186</v>
      </c>
      <c r="BE433" s="3" t="b">
        <v>1</v>
      </c>
      <c r="BF433" s="3" t="b">
        <v>1</v>
      </c>
      <c r="BG433" s="3" t="b">
        <v>1</v>
      </c>
      <c r="BH433" s="3" t="b">
        <v>1</v>
      </c>
      <c r="BI433" s="3" t="b">
        <v>1</v>
      </c>
      <c r="BJ433" s="3"/>
      <c r="BK433" s="3"/>
      <c r="BL433" s="3"/>
      <c r="BM433" s="3"/>
      <c r="BN433" s="3"/>
      <c r="BO433" s="3" t="s">
        <v>1186</v>
      </c>
      <c r="BP433" s="3" t="b">
        <v>1</v>
      </c>
      <c r="BQ433" s="3" t="b">
        <v>1</v>
      </c>
      <c r="BR433" s="3" t="b">
        <v>1</v>
      </c>
      <c r="BS433" s="3" t="b">
        <v>1</v>
      </c>
      <c r="BT433" s="3" t="b">
        <v>1</v>
      </c>
      <c r="BU433" s="3"/>
      <c r="BV433" s="3"/>
      <c r="BW433" s="3"/>
      <c r="BX433" s="3"/>
    </row>
    <row r="434" spans="1:76" x14ac:dyDescent="0.35">
      <c r="A434" s="3"/>
      <c r="B434" s="3"/>
      <c r="C434" s="3" t="s">
        <v>1187</v>
      </c>
      <c r="D434" s="3"/>
      <c r="E434" s="3"/>
      <c r="F434" s="3"/>
      <c r="G434" s="3" t="s">
        <v>3840</v>
      </c>
      <c r="H434" s="3" t="s">
        <v>1189</v>
      </c>
      <c r="I434" s="3" t="b">
        <v>1</v>
      </c>
      <c r="J434" s="3" t="b">
        <v>1</v>
      </c>
      <c r="K434" s="3" t="b">
        <v>1</v>
      </c>
      <c r="L434" s="3" t="b">
        <v>1</v>
      </c>
      <c r="M434" s="3" t="b">
        <v>1</v>
      </c>
      <c r="N434" s="3" t="b">
        <f t="shared" si="12"/>
        <v>1</v>
      </c>
      <c r="O434" s="3" t="b">
        <f t="shared" si="13"/>
        <v>0</v>
      </c>
      <c r="P434" s="3" t="b">
        <f t="shared" si="14"/>
        <v>0</v>
      </c>
      <c r="Q434" s="3" t="b">
        <f t="shared" si="15"/>
        <v>0</v>
      </c>
      <c r="R434" s="3" t="b">
        <f t="shared" si="16"/>
        <v>0</v>
      </c>
      <c r="S434" s="3" t="b">
        <f t="shared" si="17"/>
        <v>0</v>
      </c>
      <c r="U434" s="3" t="s">
        <v>1190</v>
      </c>
      <c r="V434" s="3" t="b">
        <v>1</v>
      </c>
      <c r="W434" s="3" t="b">
        <v>1</v>
      </c>
      <c r="X434" s="3" t="b">
        <v>1</v>
      </c>
      <c r="Y434" s="3" t="b">
        <v>1</v>
      </c>
      <c r="Z434" s="3" t="b">
        <v>1</v>
      </c>
      <c r="AA434" s="3"/>
      <c r="AB434" s="3"/>
      <c r="AC434" s="3"/>
      <c r="AD434" s="3"/>
      <c r="AE434" s="3"/>
      <c r="AF434" s="3" t="s">
        <v>1191</v>
      </c>
      <c r="AG434" s="3" t="b">
        <v>1</v>
      </c>
      <c r="AH434" s="3" t="b">
        <v>1</v>
      </c>
      <c r="AI434" s="3" t="b">
        <v>1</v>
      </c>
      <c r="AJ434" s="3" t="b">
        <v>1</v>
      </c>
      <c r="AK434" s="3" t="b">
        <v>1</v>
      </c>
      <c r="AL434" s="3"/>
      <c r="AM434" s="3"/>
      <c r="AN434" s="3"/>
      <c r="AO434" s="3"/>
      <c r="AP434" s="3"/>
      <c r="AQ434" s="3" t="s">
        <v>1192</v>
      </c>
      <c r="AR434" s="3" t="b">
        <v>1</v>
      </c>
      <c r="AS434" s="3" t="b">
        <v>1</v>
      </c>
      <c r="AT434" s="3" t="b">
        <v>1</v>
      </c>
      <c r="AU434" s="3" t="b">
        <v>0</v>
      </c>
      <c r="AV434" s="3" t="b">
        <v>1</v>
      </c>
      <c r="AW434" s="3" t="b">
        <f t="shared" si="18"/>
        <v>0</v>
      </c>
      <c r="AX434" s="3" t="b">
        <f t="shared" si="19"/>
        <v>0</v>
      </c>
      <c r="AY434" s="3" t="b">
        <f t="shared" si="20"/>
        <v>0</v>
      </c>
      <c r="AZ434" s="3" t="b">
        <f t="shared" si="21"/>
        <v>1</v>
      </c>
      <c r="BA434" s="3" t="b">
        <f t="shared" si="22"/>
        <v>0</v>
      </c>
      <c r="BB434" s="3" t="b">
        <f t="shared" si="23"/>
        <v>0</v>
      </c>
      <c r="BC434" s="3"/>
      <c r="BD434" s="3" t="s">
        <v>1193</v>
      </c>
      <c r="BE434" s="3" t="b">
        <v>1</v>
      </c>
      <c r="BF434" s="3" t="b">
        <v>1</v>
      </c>
      <c r="BG434" s="3" t="b">
        <v>1</v>
      </c>
      <c r="BH434" s="3" t="b">
        <v>1</v>
      </c>
      <c r="BI434" s="3" t="b">
        <v>1</v>
      </c>
      <c r="BJ434" s="3"/>
      <c r="BK434" s="3"/>
      <c r="BL434" s="3"/>
      <c r="BM434" s="3"/>
      <c r="BN434" s="3"/>
      <c r="BO434" s="3" t="s">
        <v>1192</v>
      </c>
      <c r="BP434" s="3" t="b">
        <v>1</v>
      </c>
      <c r="BQ434" s="3" t="b">
        <v>1</v>
      </c>
      <c r="BR434" s="3" t="b">
        <v>1</v>
      </c>
      <c r="BS434" s="3" t="b">
        <v>0</v>
      </c>
      <c r="BT434" s="3" t="b">
        <v>1</v>
      </c>
      <c r="BU434" s="3"/>
      <c r="BV434" s="3"/>
      <c r="BW434" s="3"/>
      <c r="BX434" s="3"/>
    </row>
    <row r="435" spans="1:76" x14ac:dyDescent="0.35">
      <c r="A435" s="3"/>
      <c r="B435" s="3" t="s">
        <v>1194</v>
      </c>
      <c r="C435" s="3" t="s">
        <v>1195</v>
      </c>
      <c r="D435" s="3" t="s">
        <v>1176</v>
      </c>
      <c r="E435" s="3" t="s">
        <v>1177</v>
      </c>
      <c r="F435" s="3"/>
      <c r="G435" s="3" t="s">
        <v>3841</v>
      </c>
      <c r="H435" s="3" t="s">
        <v>1197</v>
      </c>
      <c r="I435" s="3" t="b">
        <v>1</v>
      </c>
      <c r="J435" s="3" t="b">
        <v>1</v>
      </c>
      <c r="K435" s="3" t="b">
        <v>1</v>
      </c>
      <c r="L435" s="3" t="b">
        <v>1</v>
      </c>
      <c r="M435" s="3" t="b">
        <v>1</v>
      </c>
      <c r="N435" s="3" t="b">
        <f t="shared" si="12"/>
        <v>1</v>
      </c>
      <c r="O435" s="3" t="b">
        <f t="shared" si="13"/>
        <v>0</v>
      </c>
      <c r="P435" s="3" t="b">
        <f t="shared" si="14"/>
        <v>0</v>
      </c>
      <c r="Q435" s="3" t="b">
        <f t="shared" si="15"/>
        <v>0</v>
      </c>
      <c r="R435" s="3" t="b">
        <f t="shared" si="16"/>
        <v>0</v>
      </c>
      <c r="S435" s="3" t="b">
        <f t="shared" si="17"/>
        <v>0</v>
      </c>
      <c r="U435" s="3" t="s">
        <v>1197</v>
      </c>
      <c r="V435" s="3" t="b">
        <v>1</v>
      </c>
      <c r="W435" s="3" t="b">
        <v>1</v>
      </c>
      <c r="X435" s="3" t="b">
        <v>1</v>
      </c>
      <c r="Y435" s="3" t="b">
        <v>1</v>
      </c>
      <c r="Z435" s="3" t="b">
        <v>1</v>
      </c>
      <c r="AA435" s="3"/>
      <c r="AB435" s="3"/>
      <c r="AC435" s="3"/>
      <c r="AD435" s="3"/>
      <c r="AE435" s="3"/>
      <c r="AF435" s="3" t="s">
        <v>1197</v>
      </c>
      <c r="AG435" s="3" t="b">
        <v>1</v>
      </c>
      <c r="AH435" s="3" t="b">
        <v>1</v>
      </c>
      <c r="AI435" s="3" t="b">
        <v>1</v>
      </c>
      <c r="AJ435" s="3" t="b">
        <v>1</v>
      </c>
      <c r="AK435" s="3" t="b">
        <v>1</v>
      </c>
      <c r="AL435" s="3"/>
      <c r="AM435" s="3"/>
      <c r="AN435" s="3"/>
      <c r="AO435" s="3"/>
      <c r="AP435" s="3"/>
      <c r="AQ435" s="3" t="s">
        <v>1198</v>
      </c>
      <c r="AR435" s="3" t="b">
        <v>1</v>
      </c>
      <c r="AS435" s="3" t="b">
        <v>1</v>
      </c>
      <c r="AT435" s="3" t="b">
        <v>1</v>
      </c>
      <c r="AU435" s="3" t="b">
        <v>1</v>
      </c>
      <c r="AV435" s="3" t="b">
        <v>1</v>
      </c>
      <c r="AW435" s="3" t="b">
        <f t="shared" si="18"/>
        <v>1</v>
      </c>
      <c r="AX435" s="3" t="b">
        <f t="shared" si="19"/>
        <v>0</v>
      </c>
      <c r="AY435" s="3" t="b">
        <f t="shared" si="20"/>
        <v>0</v>
      </c>
      <c r="AZ435" s="3" t="b">
        <f t="shared" si="21"/>
        <v>0</v>
      </c>
      <c r="BA435" s="3" t="b">
        <f t="shared" si="22"/>
        <v>0</v>
      </c>
      <c r="BB435" s="3" t="b">
        <f t="shared" si="23"/>
        <v>0</v>
      </c>
      <c r="BC435" s="3"/>
      <c r="BD435" s="3" t="s">
        <v>1198</v>
      </c>
      <c r="BE435" s="3" t="b">
        <v>1</v>
      </c>
      <c r="BF435" s="3" t="b">
        <v>1</v>
      </c>
      <c r="BG435" s="3" t="b">
        <v>1</v>
      </c>
      <c r="BH435" s="3" t="b">
        <v>1</v>
      </c>
      <c r="BI435" s="3" t="b">
        <v>1</v>
      </c>
      <c r="BJ435" s="3"/>
      <c r="BK435" s="3"/>
      <c r="BL435" s="3"/>
      <c r="BM435" s="3"/>
      <c r="BN435" s="3"/>
      <c r="BO435" s="3" t="s">
        <v>1198</v>
      </c>
      <c r="BP435" s="3" t="b">
        <v>1</v>
      </c>
      <c r="BQ435" s="3" t="b">
        <v>1</v>
      </c>
      <c r="BR435" s="3" t="b">
        <v>1</v>
      </c>
      <c r="BS435" s="3" t="b">
        <v>1</v>
      </c>
      <c r="BT435" s="3" t="b">
        <v>1</v>
      </c>
      <c r="BU435" s="3"/>
      <c r="BV435" s="3"/>
      <c r="BW435" s="3"/>
      <c r="BX435" s="3"/>
    </row>
    <row r="436" spans="1:76" x14ac:dyDescent="0.35">
      <c r="A436" s="3"/>
      <c r="B436" s="3"/>
      <c r="C436" s="3" t="s">
        <v>1199</v>
      </c>
      <c r="D436" s="3"/>
      <c r="E436" s="3"/>
      <c r="F436" s="3"/>
      <c r="G436" s="3" t="s">
        <v>3842</v>
      </c>
      <c r="H436" s="3"/>
      <c r="I436" s="3" t="b">
        <v>1</v>
      </c>
      <c r="J436" s="3" t="b">
        <v>0</v>
      </c>
      <c r="K436" s="3" t="b">
        <v>0</v>
      </c>
      <c r="L436" s="3" t="b">
        <v>0</v>
      </c>
      <c r="M436" s="3" t="b">
        <v>0</v>
      </c>
      <c r="N436" s="3" t="b">
        <f t="shared" si="12"/>
        <v>0</v>
      </c>
      <c r="O436" s="3" t="b">
        <f t="shared" si="13"/>
        <v>0</v>
      </c>
      <c r="P436" s="3" t="b">
        <f t="shared" si="14"/>
        <v>1</v>
      </c>
      <c r="Q436" s="3" t="b">
        <f t="shared" si="15"/>
        <v>0</v>
      </c>
      <c r="R436" s="3" t="b">
        <f t="shared" si="16"/>
        <v>0</v>
      </c>
      <c r="S436" s="3" t="b">
        <f t="shared" si="17"/>
        <v>0</v>
      </c>
      <c r="U436" s="3" t="s">
        <v>1201</v>
      </c>
      <c r="V436" s="3" t="b">
        <v>1</v>
      </c>
      <c r="W436" s="3" t="b">
        <v>1</v>
      </c>
      <c r="X436" s="3" t="b">
        <v>1</v>
      </c>
      <c r="Y436" s="3" t="b">
        <v>1</v>
      </c>
      <c r="Z436" s="3" t="b">
        <v>1</v>
      </c>
      <c r="AA436" s="3"/>
      <c r="AB436" s="3"/>
      <c r="AC436" s="3"/>
      <c r="AD436" s="3"/>
      <c r="AE436" s="3"/>
      <c r="AF436" s="3" t="s">
        <v>1201</v>
      </c>
      <c r="AG436" s="3" t="b">
        <v>1</v>
      </c>
      <c r="AH436" s="3" t="b">
        <v>1</v>
      </c>
      <c r="AI436" s="3" t="b">
        <v>1</v>
      </c>
      <c r="AJ436" s="3" t="b">
        <v>1</v>
      </c>
      <c r="AK436" s="3" t="b">
        <v>1</v>
      </c>
      <c r="AL436" s="3"/>
      <c r="AM436" s="3"/>
      <c r="AN436" s="3"/>
      <c r="AO436" s="3"/>
      <c r="AP436" s="3"/>
      <c r="AQ436" s="3" t="s">
        <v>1202</v>
      </c>
      <c r="AR436" s="3" t="b">
        <v>1</v>
      </c>
      <c r="AS436" s="3" t="b">
        <v>1</v>
      </c>
      <c r="AT436" s="3" t="b">
        <v>1</v>
      </c>
      <c r="AU436" s="3" t="b">
        <v>1</v>
      </c>
      <c r="AV436" s="3" t="b">
        <v>1</v>
      </c>
      <c r="AW436" s="3" t="b">
        <f t="shared" si="18"/>
        <v>1</v>
      </c>
      <c r="AX436" s="3" t="b">
        <f t="shared" si="19"/>
        <v>0</v>
      </c>
      <c r="AY436" s="3" t="b">
        <f t="shared" si="20"/>
        <v>0</v>
      </c>
      <c r="AZ436" s="3" t="b">
        <f t="shared" si="21"/>
        <v>0</v>
      </c>
      <c r="BA436" s="3" t="b">
        <f t="shared" si="22"/>
        <v>0</v>
      </c>
      <c r="BB436" s="3" t="b">
        <f t="shared" si="23"/>
        <v>0</v>
      </c>
      <c r="BC436" s="3"/>
      <c r="BD436" s="3" t="s">
        <v>1202</v>
      </c>
      <c r="BE436" s="3" t="b">
        <v>1</v>
      </c>
      <c r="BF436" s="3" t="b">
        <v>1</v>
      </c>
      <c r="BG436" s="3" t="b">
        <v>1</v>
      </c>
      <c r="BH436" s="3" t="b">
        <v>1</v>
      </c>
      <c r="BI436" s="3" t="b">
        <v>1</v>
      </c>
      <c r="BJ436" s="3"/>
      <c r="BK436" s="3"/>
      <c r="BL436" s="3"/>
      <c r="BM436" s="3"/>
      <c r="BN436" s="3"/>
      <c r="BO436" s="3" t="s">
        <v>1202</v>
      </c>
      <c r="BP436" s="3" t="b">
        <v>1</v>
      </c>
      <c r="BQ436" s="3" t="b">
        <v>1</v>
      </c>
      <c r="BR436" s="3" t="b">
        <v>1</v>
      </c>
      <c r="BS436" s="3" t="b">
        <v>1</v>
      </c>
      <c r="BT436" s="3" t="b">
        <v>1</v>
      </c>
      <c r="BU436" s="3"/>
      <c r="BV436" s="3"/>
      <c r="BW436" s="3"/>
      <c r="BX436" s="3"/>
    </row>
    <row r="437" spans="1:76" x14ac:dyDescent="0.35">
      <c r="A437" s="3"/>
      <c r="B437" s="3"/>
      <c r="C437" s="3" t="s">
        <v>1203</v>
      </c>
      <c r="D437" s="3"/>
      <c r="E437" s="3"/>
      <c r="F437" s="3"/>
      <c r="G437" s="3" t="s">
        <v>3843</v>
      </c>
      <c r="H437" s="3" t="s">
        <v>1205</v>
      </c>
      <c r="I437" s="3" t="b">
        <v>1</v>
      </c>
      <c r="J437" s="3" t="b">
        <v>1</v>
      </c>
      <c r="K437" s="3" t="b">
        <v>1</v>
      </c>
      <c r="L437" s="3" t="b">
        <v>1</v>
      </c>
      <c r="M437" s="3" t="b">
        <v>1</v>
      </c>
      <c r="N437" s="3" t="b">
        <f t="shared" si="12"/>
        <v>1</v>
      </c>
      <c r="O437" s="3" t="b">
        <f t="shared" si="13"/>
        <v>0</v>
      </c>
      <c r="P437" s="3" t="b">
        <f t="shared" si="14"/>
        <v>0</v>
      </c>
      <c r="Q437" s="3" t="b">
        <f t="shared" si="15"/>
        <v>0</v>
      </c>
      <c r="R437" s="3" t="b">
        <f t="shared" si="16"/>
        <v>0</v>
      </c>
      <c r="S437" s="3" t="b">
        <f t="shared" si="17"/>
        <v>0</v>
      </c>
      <c r="U437" s="3" t="s">
        <v>1206</v>
      </c>
      <c r="V437" s="3" t="b">
        <v>1</v>
      </c>
      <c r="W437" s="3" t="b">
        <v>1</v>
      </c>
      <c r="X437" s="3" t="b">
        <v>1</v>
      </c>
      <c r="Y437" s="3" t="b">
        <v>1</v>
      </c>
      <c r="Z437" s="3" t="b">
        <v>1</v>
      </c>
      <c r="AA437" s="3"/>
      <c r="AB437" s="3"/>
      <c r="AC437" s="3"/>
      <c r="AD437" s="3"/>
      <c r="AE437" s="3"/>
      <c r="AF437" s="3" t="s">
        <v>1206</v>
      </c>
      <c r="AG437" s="3" t="b">
        <v>1</v>
      </c>
      <c r="AH437" s="3" t="b">
        <v>1</v>
      </c>
      <c r="AI437" s="3" t="b">
        <v>1</v>
      </c>
      <c r="AJ437" s="3" t="b">
        <v>1</v>
      </c>
      <c r="AK437" s="3" t="b">
        <v>1</v>
      </c>
      <c r="AL437" s="3"/>
      <c r="AM437" s="3"/>
      <c r="AN437" s="3"/>
      <c r="AO437" s="3"/>
      <c r="AP437" s="3"/>
      <c r="AQ437" s="3" t="s">
        <v>1207</v>
      </c>
      <c r="AR437" s="3" t="b">
        <v>1</v>
      </c>
      <c r="AS437" s="3" t="b">
        <v>1</v>
      </c>
      <c r="AT437" s="3" t="b">
        <v>1</v>
      </c>
      <c r="AU437" s="3" t="b">
        <v>1</v>
      </c>
      <c r="AV437" s="3" t="b">
        <v>1</v>
      </c>
      <c r="AW437" s="3" t="b">
        <f t="shared" si="18"/>
        <v>1</v>
      </c>
      <c r="AX437" s="3" t="b">
        <f t="shared" si="19"/>
        <v>0</v>
      </c>
      <c r="AY437" s="3" t="b">
        <f t="shared" si="20"/>
        <v>0</v>
      </c>
      <c r="AZ437" s="3" t="b">
        <f t="shared" si="21"/>
        <v>0</v>
      </c>
      <c r="BA437" s="3" t="b">
        <f t="shared" si="22"/>
        <v>0</v>
      </c>
      <c r="BB437" s="3" t="b">
        <f t="shared" si="23"/>
        <v>0</v>
      </c>
      <c r="BC437" s="3"/>
      <c r="BD437" s="3" t="s">
        <v>1207</v>
      </c>
      <c r="BE437" s="3" t="b">
        <v>1</v>
      </c>
      <c r="BF437" s="3" t="b">
        <v>1</v>
      </c>
      <c r="BG437" s="3" t="b">
        <v>1</v>
      </c>
      <c r="BH437" s="3" t="b">
        <v>1</v>
      </c>
      <c r="BI437" s="3" t="b">
        <v>1</v>
      </c>
      <c r="BJ437" s="3"/>
      <c r="BK437" s="3"/>
      <c r="BL437" s="3"/>
      <c r="BM437" s="3"/>
      <c r="BN437" s="3"/>
      <c r="BO437" s="3" t="s">
        <v>1207</v>
      </c>
      <c r="BP437" s="3" t="b">
        <v>1</v>
      </c>
      <c r="BQ437" s="3" t="b">
        <v>1</v>
      </c>
      <c r="BR437" s="3" t="b">
        <v>1</v>
      </c>
      <c r="BS437" s="3" t="b">
        <v>1</v>
      </c>
      <c r="BT437" s="3" t="b">
        <v>1</v>
      </c>
      <c r="BU437" s="3"/>
      <c r="BV437" s="3"/>
      <c r="BW437" s="3"/>
      <c r="BX437" s="3"/>
    </row>
    <row r="438" spans="1:76" x14ac:dyDescent="0.35">
      <c r="A438" s="3"/>
      <c r="B438" s="3" t="s">
        <v>1208</v>
      </c>
      <c r="C438" s="3" t="s">
        <v>1209</v>
      </c>
      <c r="D438" s="3"/>
      <c r="E438" s="3"/>
      <c r="F438" s="3"/>
      <c r="G438" s="3" t="s">
        <v>3844</v>
      </c>
      <c r="H438" s="3" t="s">
        <v>1211</v>
      </c>
      <c r="I438" s="3" t="b">
        <v>1</v>
      </c>
      <c r="J438" s="3" t="b">
        <v>1</v>
      </c>
      <c r="K438" s="3" t="b">
        <v>1</v>
      </c>
      <c r="L438" s="3" t="b">
        <v>1</v>
      </c>
      <c r="M438" s="3" t="b">
        <v>1</v>
      </c>
      <c r="N438" s="3" t="b">
        <f t="shared" si="12"/>
        <v>1</v>
      </c>
      <c r="O438" s="3" t="b">
        <f t="shared" si="13"/>
        <v>0</v>
      </c>
      <c r="P438" s="3" t="b">
        <f t="shared" si="14"/>
        <v>0</v>
      </c>
      <c r="Q438" s="3" t="b">
        <f t="shared" si="15"/>
        <v>0</v>
      </c>
      <c r="R438" s="3" t="b">
        <f t="shared" si="16"/>
        <v>0</v>
      </c>
      <c r="S438" s="3" t="b">
        <f t="shared" si="17"/>
        <v>0</v>
      </c>
      <c r="U438" s="3" t="s">
        <v>1211</v>
      </c>
      <c r="V438" s="3" t="b">
        <v>1</v>
      </c>
      <c r="W438" s="3" t="b">
        <v>1</v>
      </c>
      <c r="X438" s="3" t="b">
        <v>1</v>
      </c>
      <c r="Y438" s="3" t="b">
        <v>1</v>
      </c>
      <c r="Z438" s="3" t="b">
        <v>1</v>
      </c>
      <c r="AA438" s="3"/>
      <c r="AB438" s="3"/>
      <c r="AC438" s="3"/>
      <c r="AD438" s="3"/>
      <c r="AE438" s="3"/>
      <c r="AF438" s="3" t="s">
        <v>1211</v>
      </c>
      <c r="AG438" s="3" t="b">
        <v>1</v>
      </c>
      <c r="AH438" s="3" t="b">
        <v>1</v>
      </c>
      <c r="AI438" s="3" t="b">
        <v>1</v>
      </c>
      <c r="AJ438" s="3" t="b">
        <v>1</v>
      </c>
      <c r="AK438" s="3" t="b">
        <v>1</v>
      </c>
      <c r="AL438" s="3"/>
      <c r="AM438" s="3"/>
      <c r="AN438" s="3"/>
      <c r="AO438" s="3"/>
      <c r="AP438" s="3"/>
      <c r="AQ438" s="3" t="s">
        <v>1211</v>
      </c>
      <c r="AR438" s="3" t="b">
        <v>1</v>
      </c>
      <c r="AS438" s="3" t="b">
        <v>1</v>
      </c>
      <c r="AT438" s="3" t="b">
        <v>1</v>
      </c>
      <c r="AU438" s="3" t="b">
        <v>1</v>
      </c>
      <c r="AV438" s="3" t="b">
        <v>1</v>
      </c>
      <c r="AW438" s="3" t="b">
        <f t="shared" si="18"/>
        <v>1</v>
      </c>
      <c r="AX438" s="3" t="b">
        <f t="shared" si="19"/>
        <v>0</v>
      </c>
      <c r="AY438" s="3" t="b">
        <f t="shared" si="20"/>
        <v>0</v>
      </c>
      <c r="AZ438" s="3" t="b">
        <f t="shared" si="21"/>
        <v>0</v>
      </c>
      <c r="BA438" s="3" t="b">
        <f t="shared" si="22"/>
        <v>0</v>
      </c>
      <c r="BB438" s="3" t="b">
        <f t="shared" si="23"/>
        <v>0</v>
      </c>
      <c r="BC438" s="3"/>
      <c r="BD438" s="3" t="s">
        <v>1211</v>
      </c>
      <c r="BE438" s="3" t="b">
        <v>1</v>
      </c>
      <c r="BF438" s="3" t="b">
        <v>1</v>
      </c>
      <c r="BG438" s="3" t="b">
        <v>1</v>
      </c>
      <c r="BH438" s="3" t="b">
        <v>1</v>
      </c>
      <c r="BI438" s="3" t="b">
        <v>1</v>
      </c>
      <c r="BJ438" s="3"/>
      <c r="BK438" s="3"/>
      <c r="BL438" s="3"/>
      <c r="BM438" s="3"/>
      <c r="BN438" s="3"/>
      <c r="BO438" s="3" t="s">
        <v>1211</v>
      </c>
      <c r="BP438" s="3" t="b">
        <v>1</v>
      </c>
      <c r="BQ438" s="3" t="b">
        <v>1</v>
      </c>
      <c r="BR438" s="3" t="b">
        <v>1</v>
      </c>
      <c r="BS438" s="3" t="b">
        <v>1</v>
      </c>
      <c r="BT438" s="3" t="b">
        <v>1</v>
      </c>
      <c r="BU438" s="3"/>
      <c r="BV438" s="3"/>
      <c r="BW438" s="3"/>
      <c r="BX438" s="3"/>
    </row>
    <row r="439" spans="1:76" x14ac:dyDescent="0.35">
      <c r="A439" s="3"/>
      <c r="B439" s="3" t="s">
        <v>1212</v>
      </c>
      <c r="C439" s="3" t="s">
        <v>1213</v>
      </c>
      <c r="D439" s="3" t="s">
        <v>1214</v>
      </c>
      <c r="E439" s="3" t="s">
        <v>1215</v>
      </c>
      <c r="F439" s="3"/>
      <c r="G439" s="3" t="s">
        <v>3845</v>
      </c>
      <c r="H439" s="3" t="s">
        <v>1217</v>
      </c>
      <c r="I439" s="3" t="b">
        <v>1</v>
      </c>
      <c r="J439" s="3" t="b">
        <v>1</v>
      </c>
      <c r="K439" s="3" t="b">
        <v>1</v>
      </c>
      <c r="L439" s="3" t="b">
        <v>1</v>
      </c>
      <c r="M439" s="3" t="b">
        <v>1</v>
      </c>
      <c r="N439" s="3" t="b">
        <f t="shared" si="12"/>
        <v>1</v>
      </c>
      <c r="O439" s="3" t="b">
        <f t="shared" si="13"/>
        <v>0</v>
      </c>
      <c r="P439" s="3" t="b">
        <f t="shared" si="14"/>
        <v>0</v>
      </c>
      <c r="Q439" s="3" t="b">
        <f t="shared" si="15"/>
        <v>0</v>
      </c>
      <c r="R439" s="3" t="b">
        <f t="shared" si="16"/>
        <v>0</v>
      </c>
      <c r="S439" s="3" t="b">
        <f t="shared" si="17"/>
        <v>0</v>
      </c>
      <c r="U439" s="3" t="s">
        <v>1217</v>
      </c>
      <c r="V439" s="3" t="b">
        <v>1</v>
      </c>
      <c r="W439" s="3" t="b">
        <v>1</v>
      </c>
      <c r="X439" s="3" t="b">
        <v>1</v>
      </c>
      <c r="Y439" s="3" t="b">
        <v>1</v>
      </c>
      <c r="Z439" s="3" t="b">
        <v>1</v>
      </c>
      <c r="AA439" s="3"/>
      <c r="AB439" s="3"/>
      <c r="AC439" s="3"/>
      <c r="AD439" s="3"/>
      <c r="AE439" s="3"/>
      <c r="AF439" s="3" t="s">
        <v>1217</v>
      </c>
      <c r="AG439" s="3" t="b">
        <v>1</v>
      </c>
      <c r="AH439" s="3" t="b">
        <v>1</v>
      </c>
      <c r="AI439" s="3" t="b">
        <v>1</v>
      </c>
      <c r="AJ439" s="3" t="b">
        <v>1</v>
      </c>
      <c r="AK439" s="3" t="b">
        <v>1</v>
      </c>
      <c r="AL439" s="3"/>
      <c r="AM439" s="3"/>
      <c r="AN439" s="3"/>
      <c r="AO439" s="3"/>
      <c r="AP439" s="3"/>
      <c r="AQ439" s="3" t="s">
        <v>1218</v>
      </c>
      <c r="AR439" s="3" t="b">
        <v>1</v>
      </c>
      <c r="AS439" s="3" t="b">
        <v>1</v>
      </c>
      <c r="AT439" s="3" t="b">
        <v>1</v>
      </c>
      <c r="AU439" s="3" t="b">
        <v>1</v>
      </c>
      <c r="AV439" s="3" t="b">
        <v>1</v>
      </c>
      <c r="AW439" s="3" t="b">
        <f t="shared" si="18"/>
        <v>1</v>
      </c>
      <c r="AX439" s="3" t="b">
        <f t="shared" si="19"/>
        <v>0</v>
      </c>
      <c r="AY439" s="3" t="b">
        <f t="shared" si="20"/>
        <v>0</v>
      </c>
      <c r="AZ439" s="3" t="b">
        <f t="shared" si="21"/>
        <v>0</v>
      </c>
      <c r="BA439" s="3" t="b">
        <f t="shared" si="22"/>
        <v>0</v>
      </c>
      <c r="BB439" s="3" t="b">
        <f t="shared" si="23"/>
        <v>0</v>
      </c>
      <c r="BC439" s="3"/>
      <c r="BD439" s="3" t="s">
        <v>1218</v>
      </c>
      <c r="BE439" s="3" t="b">
        <v>1</v>
      </c>
      <c r="BF439" s="3" t="b">
        <v>1</v>
      </c>
      <c r="BG439" s="3" t="b">
        <v>1</v>
      </c>
      <c r="BH439" s="3" t="b">
        <v>1</v>
      </c>
      <c r="BI439" s="3" t="b">
        <v>1</v>
      </c>
      <c r="BJ439" s="3"/>
      <c r="BK439" s="3"/>
      <c r="BL439" s="3"/>
      <c r="BM439" s="3"/>
      <c r="BN439" s="3"/>
      <c r="BO439" s="3" t="s">
        <v>1218</v>
      </c>
      <c r="BP439" s="3" t="b">
        <v>1</v>
      </c>
      <c r="BQ439" s="3" t="b">
        <v>1</v>
      </c>
      <c r="BR439" s="3" t="b">
        <v>1</v>
      </c>
      <c r="BS439" s="3" t="b">
        <v>1</v>
      </c>
      <c r="BT439" s="3" t="b">
        <v>1</v>
      </c>
      <c r="BU439" s="3"/>
      <c r="BV439" s="3"/>
      <c r="BW439" s="3"/>
      <c r="BX439" s="3"/>
    </row>
    <row r="440" spans="1:76" x14ac:dyDescent="0.35">
      <c r="A440" s="3"/>
      <c r="B440" s="3"/>
      <c r="C440" s="3" t="s">
        <v>1219</v>
      </c>
      <c r="D440" s="3"/>
      <c r="E440" s="3"/>
      <c r="F440" s="3"/>
      <c r="G440" s="3" t="s">
        <v>3846</v>
      </c>
      <c r="H440" s="3" t="s">
        <v>1221</v>
      </c>
      <c r="I440" s="3" t="b">
        <v>1</v>
      </c>
      <c r="J440" s="3" t="b">
        <v>1</v>
      </c>
      <c r="K440" s="3" t="b">
        <v>1</v>
      </c>
      <c r="L440" s="3" t="b">
        <v>1</v>
      </c>
      <c r="M440" s="3" t="b">
        <v>1</v>
      </c>
      <c r="N440" s="3" t="b">
        <f t="shared" si="12"/>
        <v>1</v>
      </c>
      <c r="O440" s="3" t="b">
        <f t="shared" si="13"/>
        <v>0</v>
      </c>
      <c r="P440" s="3" t="b">
        <f t="shared" si="14"/>
        <v>0</v>
      </c>
      <c r="Q440" s="3" t="b">
        <f t="shared" si="15"/>
        <v>0</v>
      </c>
      <c r="R440" s="3" t="b">
        <f t="shared" si="16"/>
        <v>0</v>
      </c>
      <c r="S440" s="3" t="b">
        <f t="shared" si="17"/>
        <v>0</v>
      </c>
      <c r="U440" s="3" t="s">
        <v>1221</v>
      </c>
      <c r="V440" s="3" t="b">
        <v>1</v>
      </c>
      <c r="W440" s="3" t="b">
        <v>1</v>
      </c>
      <c r="X440" s="3" t="b">
        <v>1</v>
      </c>
      <c r="Y440" s="3" t="b">
        <v>1</v>
      </c>
      <c r="Z440" s="3" t="b">
        <v>1</v>
      </c>
      <c r="AA440" s="3"/>
      <c r="AB440" s="3"/>
      <c r="AC440" s="3"/>
      <c r="AD440" s="3"/>
      <c r="AE440" s="3"/>
      <c r="AF440" s="3" t="s">
        <v>1221</v>
      </c>
      <c r="AG440" s="3" t="b">
        <v>1</v>
      </c>
      <c r="AH440" s="3" t="b">
        <v>1</v>
      </c>
      <c r="AI440" s="3" t="b">
        <v>1</v>
      </c>
      <c r="AJ440" s="3" t="b">
        <v>1</v>
      </c>
      <c r="AK440" s="3" t="b">
        <v>1</v>
      </c>
      <c r="AL440" s="3"/>
      <c r="AM440" s="3"/>
      <c r="AN440" s="3"/>
      <c r="AO440" s="3"/>
      <c r="AP440" s="3"/>
      <c r="AQ440" s="3" t="s">
        <v>1222</v>
      </c>
      <c r="AR440" s="3" t="b">
        <v>1</v>
      </c>
      <c r="AS440" s="3" t="b">
        <v>1</v>
      </c>
      <c r="AT440" s="3" t="b">
        <v>1</v>
      </c>
      <c r="AU440" s="3" t="b">
        <v>1</v>
      </c>
      <c r="AV440" s="3" t="b">
        <v>1</v>
      </c>
      <c r="AW440" s="3" t="b">
        <f t="shared" si="18"/>
        <v>1</v>
      </c>
      <c r="AX440" s="3" t="b">
        <f t="shared" si="19"/>
        <v>0</v>
      </c>
      <c r="AY440" s="3" t="b">
        <f t="shared" si="20"/>
        <v>0</v>
      </c>
      <c r="AZ440" s="3" t="b">
        <f t="shared" si="21"/>
        <v>0</v>
      </c>
      <c r="BA440" s="3" t="b">
        <f t="shared" si="22"/>
        <v>0</v>
      </c>
      <c r="BB440" s="3" t="b">
        <f t="shared" si="23"/>
        <v>0</v>
      </c>
      <c r="BC440" s="3"/>
      <c r="BD440" s="3" t="s">
        <v>1222</v>
      </c>
      <c r="BE440" s="3" t="b">
        <v>1</v>
      </c>
      <c r="BF440" s="3" t="b">
        <v>1</v>
      </c>
      <c r="BG440" s="3" t="b">
        <v>1</v>
      </c>
      <c r="BH440" s="3" t="b">
        <v>1</v>
      </c>
      <c r="BI440" s="3" t="b">
        <v>1</v>
      </c>
      <c r="BJ440" s="3"/>
      <c r="BK440" s="3"/>
      <c r="BL440" s="3"/>
      <c r="BM440" s="3"/>
      <c r="BN440" s="3"/>
      <c r="BO440" s="3" t="s">
        <v>1222</v>
      </c>
      <c r="BP440" s="3" t="b">
        <v>1</v>
      </c>
      <c r="BQ440" s="3" t="b">
        <v>1</v>
      </c>
      <c r="BR440" s="3" t="b">
        <v>1</v>
      </c>
      <c r="BS440" s="3" t="b">
        <v>1</v>
      </c>
      <c r="BT440" s="3" t="b">
        <v>1</v>
      </c>
      <c r="BU440" s="3"/>
      <c r="BV440" s="3"/>
      <c r="BW440" s="3"/>
      <c r="BX440" s="3"/>
    </row>
    <row r="441" spans="1:76" x14ac:dyDescent="0.35">
      <c r="A441" s="3"/>
      <c r="B441" s="3"/>
      <c r="C441" s="3" t="s">
        <v>1223</v>
      </c>
      <c r="D441" s="3"/>
      <c r="E441" s="3"/>
      <c r="F441" s="3"/>
      <c r="G441" s="3" t="s">
        <v>3847</v>
      </c>
      <c r="H441" s="3"/>
      <c r="I441" s="3" t="b">
        <v>1</v>
      </c>
      <c r="J441" s="3" t="b">
        <v>0</v>
      </c>
      <c r="K441" s="3" t="b">
        <v>0</v>
      </c>
      <c r="L441" s="3" t="b">
        <v>0</v>
      </c>
      <c r="M441" s="3" t="b">
        <v>0</v>
      </c>
      <c r="N441" s="3" t="b">
        <f t="shared" si="12"/>
        <v>0</v>
      </c>
      <c r="O441" s="3" t="b">
        <f t="shared" si="13"/>
        <v>0</v>
      </c>
      <c r="P441" s="3" t="b">
        <f t="shared" si="14"/>
        <v>1</v>
      </c>
      <c r="Q441" s="3" t="b">
        <f t="shared" si="15"/>
        <v>0</v>
      </c>
      <c r="R441" s="3" t="b">
        <f t="shared" si="16"/>
        <v>0</v>
      </c>
      <c r="S441" s="3" t="b">
        <f t="shared" si="17"/>
        <v>0</v>
      </c>
      <c r="U441" s="3" t="s">
        <v>1225</v>
      </c>
      <c r="V441" s="3" t="b">
        <v>1</v>
      </c>
      <c r="W441" s="3" t="b">
        <v>1</v>
      </c>
      <c r="X441" s="3" t="b">
        <v>1</v>
      </c>
      <c r="Y441" s="3" t="b">
        <v>1</v>
      </c>
      <c r="Z441" s="3" t="b">
        <v>1</v>
      </c>
      <c r="AA441" s="3"/>
      <c r="AB441" s="3"/>
      <c r="AC441" s="3"/>
      <c r="AD441" s="3"/>
      <c r="AE441" s="3"/>
      <c r="AF441" s="3" t="s">
        <v>1226</v>
      </c>
      <c r="AG441" s="3" t="b">
        <v>1</v>
      </c>
      <c r="AH441" s="3" t="b">
        <v>1</v>
      </c>
      <c r="AI441" s="3" t="b">
        <v>1</v>
      </c>
      <c r="AJ441" s="3" t="b">
        <v>1</v>
      </c>
      <c r="AK441" s="3" t="b">
        <v>1</v>
      </c>
      <c r="AL441" s="3"/>
      <c r="AM441" s="3"/>
      <c r="AN441" s="3"/>
      <c r="AO441" s="3"/>
      <c r="AP441" s="3"/>
      <c r="AQ441" s="3" t="s">
        <v>1227</v>
      </c>
      <c r="AR441" s="3" t="b">
        <v>1</v>
      </c>
      <c r="AS441" s="3" t="b">
        <v>0</v>
      </c>
      <c r="AT441" s="3" t="b">
        <v>0</v>
      </c>
      <c r="AU441" s="3" t="b">
        <v>0</v>
      </c>
      <c r="AV441" s="3" t="b">
        <v>0</v>
      </c>
      <c r="AW441" s="3" t="b">
        <f t="shared" si="18"/>
        <v>0</v>
      </c>
      <c r="AX441" s="3" t="b">
        <f t="shared" si="19"/>
        <v>0</v>
      </c>
      <c r="AY441" s="3" t="b">
        <f t="shared" si="20"/>
        <v>1</v>
      </c>
      <c r="AZ441" s="3" t="b">
        <f t="shared" si="21"/>
        <v>0</v>
      </c>
      <c r="BA441" s="3" t="b">
        <f t="shared" si="22"/>
        <v>0</v>
      </c>
      <c r="BB441" s="3" t="b">
        <f t="shared" si="23"/>
        <v>0</v>
      </c>
      <c r="BC441" s="3"/>
      <c r="BD441" s="3" t="s">
        <v>1228</v>
      </c>
      <c r="BE441" s="3" t="b">
        <v>1</v>
      </c>
      <c r="BF441" s="3" t="b">
        <v>1</v>
      </c>
      <c r="BG441" s="3" t="b">
        <v>1</v>
      </c>
      <c r="BH441" s="3" t="b">
        <v>0</v>
      </c>
      <c r="BI441" s="3" t="b">
        <v>1</v>
      </c>
      <c r="BJ441" s="3"/>
      <c r="BK441" s="3"/>
      <c r="BL441" s="3"/>
      <c r="BM441" s="3"/>
      <c r="BN441" s="3"/>
      <c r="BO441" s="3" t="s">
        <v>1228</v>
      </c>
      <c r="BP441" s="3" t="b">
        <v>1</v>
      </c>
      <c r="BQ441" s="3" t="b">
        <v>1</v>
      </c>
      <c r="BR441" s="3" t="b">
        <v>1</v>
      </c>
      <c r="BS441" s="3" t="b">
        <v>0</v>
      </c>
      <c r="BT441" s="3" t="b">
        <v>1</v>
      </c>
      <c r="BU441" s="3"/>
      <c r="BV441" s="3"/>
      <c r="BW441" s="3"/>
      <c r="BX441" s="3"/>
    </row>
    <row r="442" spans="1:76" x14ac:dyDescent="0.35">
      <c r="A442" s="3"/>
      <c r="B442" s="3" t="s">
        <v>1229</v>
      </c>
      <c r="C442" s="3" t="s">
        <v>1213</v>
      </c>
      <c r="D442" s="3" t="s">
        <v>1214</v>
      </c>
      <c r="E442" s="3" t="s">
        <v>1215</v>
      </c>
      <c r="F442" s="3"/>
      <c r="G442" s="3" t="s">
        <v>3848</v>
      </c>
      <c r="H442" s="3" t="s">
        <v>1217</v>
      </c>
      <c r="I442" s="3" t="b">
        <v>1</v>
      </c>
      <c r="J442" s="3" t="b">
        <v>1</v>
      </c>
      <c r="K442" s="3" t="b">
        <v>1</v>
      </c>
      <c r="L442" s="3" t="b">
        <v>1</v>
      </c>
      <c r="M442" s="3" t="b">
        <v>1</v>
      </c>
      <c r="N442" s="3" t="b">
        <f t="shared" si="12"/>
        <v>1</v>
      </c>
      <c r="O442" s="3" t="b">
        <f t="shared" si="13"/>
        <v>0</v>
      </c>
      <c r="P442" s="3" t="b">
        <f t="shared" si="14"/>
        <v>0</v>
      </c>
      <c r="Q442" s="3" t="b">
        <f t="shared" si="15"/>
        <v>0</v>
      </c>
      <c r="R442" s="3" t="b">
        <f t="shared" si="16"/>
        <v>0</v>
      </c>
      <c r="S442" s="3" t="b">
        <f t="shared" si="17"/>
        <v>0</v>
      </c>
      <c r="U442" s="3" t="s">
        <v>1217</v>
      </c>
      <c r="V442" s="3" t="b">
        <v>1</v>
      </c>
      <c r="W442" s="3" t="b">
        <v>1</v>
      </c>
      <c r="X442" s="3" t="b">
        <v>1</v>
      </c>
      <c r="Y442" s="3" t="b">
        <v>1</v>
      </c>
      <c r="Z442" s="3" t="b">
        <v>1</v>
      </c>
      <c r="AA442" s="3"/>
      <c r="AB442" s="3"/>
      <c r="AC442" s="3"/>
      <c r="AD442" s="3"/>
      <c r="AE442" s="3"/>
      <c r="AF442" s="3" t="s">
        <v>1217</v>
      </c>
      <c r="AG442" s="3" t="b">
        <v>1</v>
      </c>
      <c r="AH442" s="3" t="b">
        <v>1</v>
      </c>
      <c r="AI442" s="3" t="b">
        <v>1</v>
      </c>
      <c r="AJ442" s="3" t="b">
        <v>1</v>
      </c>
      <c r="AK442" s="3" t="b">
        <v>1</v>
      </c>
      <c r="AL442" s="3"/>
      <c r="AM442" s="3"/>
      <c r="AN442" s="3"/>
      <c r="AO442" s="3"/>
      <c r="AP442" s="3"/>
      <c r="AQ442" s="3" t="s">
        <v>1218</v>
      </c>
      <c r="AR442" s="3" t="b">
        <v>1</v>
      </c>
      <c r="AS442" s="3" t="b">
        <v>1</v>
      </c>
      <c r="AT442" s="3" t="b">
        <v>1</v>
      </c>
      <c r="AU442" s="3" t="b">
        <v>1</v>
      </c>
      <c r="AV442" s="3" t="b">
        <v>1</v>
      </c>
      <c r="AW442" s="3" t="b">
        <f t="shared" si="18"/>
        <v>1</v>
      </c>
      <c r="AX442" s="3" t="b">
        <f t="shared" si="19"/>
        <v>0</v>
      </c>
      <c r="AY442" s="3" t="b">
        <f t="shared" si="20"/>
        <v>0</v>
      </c>
      <c r="AZ442" s="3" t="b">
        <f t="shared" si="21"/>
        <v>0</v>
      </c>
      <c r="BA442" s="3" t="b">
        <f t="shared" si="22"/>
        <v>0</v>
      </c>
      <c r="BB442" s="3" t="b">
        <f t="shared" si="23"/>
        <v>0</v>
      </c>
      <c r="BC442" s="3"/>
      <c r="BD442" s="3" t="s">
        <v>1218</v>
      </c>
      <c r="BE442" s="3" t="b">
        <v>1</v>
      </c>
      <c r="BF442" s="3" t="b">
        <v>1</v>
      </c>
      <c r="BG442" s="3" t="b">
        <v>1</v>
      </c>
      <c r="BH442" s="3" t="b">
        <v>1</v>
      </c>
      <c r="BI442" s="3" t="b">
        <v>1</v>
      </c>
      <c r="BJ442" s="3"/>
      <c r="BK442" s="3"/>
      <c r="BL442" s="3"/>
      <c r="BM442" s="3"/>
      <c r="BN442" s="3"/>
      <c r="BO442" s="3" t="s">
        <v>1218</v>
      </c>
      <c r="BP442" s="3" t="b">
        <v>1</v>
      </c>
      <c r="BQ442" s="3" t="b">
        <v>1</v>
      </c>
      <c r="BR442" s="3" t="b">
        <v>1</v>
      </c>
      <c r="BS442" s="3" t="b">
        <v>1</v>
      </c>
      <c r="BT442" s="3" t="b">
        <v>1</v>
      </c>
      <c r="BU442" s="3"/>
      <c r="BV442" s="3"/>
      <c r="BW442" s="3"/>
      <c r="BX442" s="3"/>
    </row>
    <row r="443" spans="1:76" x14ac:dyDescent="0.35">
      <c r="A443" s="3"/>
      <c r="B443" s="3"/>
      <c r="C443" s="3" t="s">
        <v>1230</v>
      </c>
      <c r="D443" s="3"/>
      <c r="E443" s="3"/>
      <c r="F443" s="3"/>
      <c r="G443" s="3" t="s">
        <v>3849</v>
      </c>
      <c r="H443" s="3" t="s">
        <v>1232</v>
      </c>
      <c r="I443" s="3" t="b">
        <v>1</v>
      </c>
      <c r="J443" s="3" t="b">
        <v>1</v>
      </c>
      <c r="K443" s="3" t="b">
        <v>1</v>
      </c>
      <c r="L443" s="3" t="b">
        <v>1</v>
      </c>
      <c r="M443" s="3" t="b">
        <v>1</v>
      </c>
      <c r="N443" s="3" t="b">
        <f t="shared" si="12"/>
        <v>1</v>
      </c>
      <c r="O443" s="3" t="b">
        <f t="shared" si="13"/>
        <v>0</v>
      </c>
      <c r="P443" s="3" t="b">
        <f t="shared" si="14"/>
        <v>0</v>
      </c>
      <c r="Q443" s="3" t="b">
        <f t="shared" si="15"/>
        <v>0</v>
      </c>
      <c r="R443" s="3" t="b">
        <f t="shared" si="16"/>
        <v>0</v>
      </c>
      <c r="S443" s="3" t="b">
        <f t="shared" si="17"/>
        <v>0</v>
      </c>
      <c r="U443" s="3" t="s">
        <v>1232</v>
      </c>
      <c r="V443" s="3" t="b">
        <v>1</v>
      </c>
      <c r="W443" s="3" t="b">
        <v>1</v>
      </c>
      <c r="X443" s="3" t="b">
        <v>1</v>
      </c>
      <c r="Y443" s="3" t="b">
        <v>1</v>
      </c>
      <c r="Z443" s="3" t="b">
        <v>1</v>
      </c>
      <c r="AA443" s="3"/>
      <c r="AB443" s="3"/>
      <c r="AC443" s="3"/>
      <c r="AD443" s="3"/>
      <c r="AE443" s="3"/>
      <c r="AF443" s="3" t="s">
        <v>1232</v>
      </c>
      <c r="AG443" s="3" t="b">
        <v>1</v>
      </c>
      <c r="AH443" s="3" t="b">
        <v>1</v>
      </c>
      <c r="AI443" s="3" t="b">
        <v>1</v>
      </c>
      <c r="AJ443" s="3" t="b">
        <v>1</v>
      </c>
      <c r="AK443" s="3" t="b">
        <v>1</v>
      </c>
      <c r="AL443" s="3"/>
      <c r="AM443" s="3"/>
      <c r="AN443" s="3"/>
      <c r="AO443" s="3"/>
      <c r="AP443" s="3"/>
      <c r="AQ443" s="3" t="s">
        <v>1233</v>
      </c>
      <c r="AR443" s="3" t="b">
        <v>1</v>
      </c>
      <c r="AS443" s="3" t="b">
        <v>1</v>
      </c>
      <c r="AT443" s="3" t="b">
        <v>1</v>
      </c>
      <c r="AU443" s="3" t="b">
        <v>1</v>
      </c>
      <c r="AV443" s="3" t="b">
        <v>1</v>
      </c>
      <c r="AW443" s="3" t="b">
        <f t="shared" si="18"/>
        <v>1</v>
      </c>
      <c r="AX443" s="3" t="b">
        <f t="shared" si="19"/>
        <v>0</v>
      </c>
      <c r="AY443" s="3" t="b">
        <f t="shared" si="20"/>
        <v>0</v>
      </c>
      <c r="AZ443" s="3" t="b">
        <f t="shared" si="21"/>
        <v>0</v>
      </c>
      <c r="BA443" s="3" t="b">
        <f t="shared" si="22"/>
        <v>0</v>
      </c>
      <c r="BB443" s="3" t="b">
        <f t="shared" si="23"/>
        <v>0</v>
      </c>
      <c r="BC443" s="3"/>
      <c r="BD443" s="3" t="s">
        <v>1233</v>
      </c>
      <c r="BE443" s="3" t="b">
        <v>1</v>
      </c>
      <c r="BF443" s="3" t="b">
        <v>1</v>
      </c>
      <c r="BG443" s="3" t="b">
        <v>1</v>
      </c>
      <c r="BH443" s="3" t="b">
        <v>1</v>
      </c>
      <c r="BI443" s="3" t="b">
        <v>1</v>
      </c>
      <c r="BJ443" s="3"/>
      <c r="BK443" s="3"/>
      <c r="BL443" s="3"/>
      <c r="BM443" s="3"/>
      <c r="BN443" s="3"/>
      <c r="BO443" s="3" t="s">
        <v>1233</v>
      </c>
      <c r="BP443" s="3" t="b">
        <v>1</v>
      </c>
      <c r="BQ443" s="3" t="b">
        <v>1</v>
      </c>
      <c r="BR443" s="3" t="b">
        <v>1</v>
      </c>
      <c r="BS443" s="3" t="b">
        <v>1</v>
      </c>
      <c r="BT443" s="3" t="b">
        <v>1</v>
      </c>
      <c r="BU443" s="3"/>
      <c r="BV443" s="3"/>
      <c r="BW443" s="3"/>
      <c r="BX443" s="3"/>
    </row>
    <row r="444" spans="1:76" x14ac:dyDescent="0.35">
      <c r="A444" s="3"/>
      <c r="B444" s="3"/>
      <c r="C444" s="3" t="s">
        <v>1234</v>
      </c>
      <c r="D444" s="3"/>
      <c r="E444" s="3"/>
      <c r="F444" s="3"/>
      <c r="G444" s="3" t="s">
        <v>3850</v>
      </c>
      <c r="H444" s="3" t="s">
        <v>1236</v>
      </c>
      <c r="I444" s="3" t="b">
        <v>1</v>
      </c>
      <c r="J444" s="3" t="b">
        <v>1</v>
      </c>
      <c r="K444" s="3" t="b">
        <v>1</v>
      </c>
      <c r="L444" s="3" t="b">
        <v>1</v>
      </c>
      <c r="M444" s="3" t="b">
        <v>1</v>
      </c>
      <c r="N444" s="3" t="b">
        <f t="shared" si="12"/>
        <v>1</v>
      </c>
      <c r="O444" s="3" t="b">
        <f t="shared" si="13"/>
        <v>0</v>
      </c>
      <c r="P444" s="3" t="b">
        <f t="shared" si="14"/>
        <v>0</v>
      </c>
      <c r="Q444" s="3" t="b">
        <f t="shared" si="15"/>
        <v>0</v>
      </c>
      <c r="R444" s="3" t="b">
        <f t="shared" si="16"/>
        <v>0</v>
      </c>
      <c r="S444" s="3" t="b">
        <f t="shared" si="17"/>
        <v>0</v>
      </c>
      <c r="U444" s="3" t="s">
        <v>1237</v>
      </c>
      <c r="V444" s="3" t="b">
        <v>1</v>
      </c>
      <c r="W444" s="3" t="b">
        <v>1</v>
      </c>
      <c r="X444" s="3" t="b">
        <v>1</v>
      </c>
      <c r="Y444" s="3" t="b">
        <v>1</v>
      </c>
      <c r="Z444" s="3" t="b">
        <v>1</v>
      </c>
      <c r="AA444" s="3"/>
      <c r="AB444" s="3"/>
      <c r="AC444" s="3"/>
      <c r="AD444" s="3"/>
      <c r="AE444" s="3"/>
      <c r="AF444" s="3" t="s">
        <v>1237</v>
      </c>
      <c r="AG444" s="3" t="b">
        <v>1</v>
      </c>
      <c r="AH444" s="3" t="b">
        <v>1</v>
      </c>
      <c r="AI444" s="3" t="b">
        <v>1</v>
      </c>
      <c r="AJ444" s="3" t="b">
        <v>1</v>
      </c>
      <c r="AK444" s="3" t="b">
        <v>1</v>
      </c>
      <c r="AL444" s="3"/>
      <c r="AM444" s="3"/>
      <c r="AN444" s="3"/>
      <c r="AO444" s="3"/>
      <c r="AP444" s="3"/>
      <c r="AQ444" s="3" t="s">
        <v>1238</v>
      </c>
      <c r="AR444" s="3" t="b">
        <v>1</v>
      </c>
      <c r="AS444" s="3" t="b">
        <v>1</v>
      </c>
      <c r="AT444" s="3" t="b">
        <v>1</v>
      </c>
      <c r="AU444" s="3" t="b">
        <v>1</v>
      </c>
      <c r="AV444" s="3" t="b">
        <v>1</v>
      </c>
      <c r="AW444" s="3" t="b">
        <f t="shared" si="18"/>
        <v>1</v>
      </c>
      <c r="AX444" s="3" t="b">
        <f t="shared" si="19"/>
        <v>0</v>
      </c>
      <c r="AY444" s="3" t="b">
        <f t="shared" si="20"/>
        <v>0</v>
      </c>
      <c r="AZ444" s="3" t="b">
        <f t="shared" si="21"/>
        <v>0</v>
      </c>
      <c r="BA444" s="3" t="b">
        <f t="shared" si="22"/>
        <v>0</v>
      </c>
      <c r="BB444" s="3" t="b">
        <f t="shared" si="23"/>
        <v>0</v>
      </c>
      <c r="BC444" s="3"/>
      <c r="BD444" s="3" t="s">
        <v>1238</v>
      </c>
      <c r="BE444" s="3" t="b">
        <v>1</v>
      </c>
      <c r="BF444" s="3" t="b">
        <v>1</v>
      </c>
      <c r="BG444" s="3" t="b">
        <v>1</v>
      </c>
      <c r="BH444" s="3" t="b">
        <v>1</v>
      </c>
      <c r="BI444" s="3" t="b">
        <v>1</v>
      </c>
      <c r="BJ444" s="3"/>
      <c r="BK444" s="3"/>
      <c r="BL444" s="3"/>
      <c r="BM444" s="3"/>
      <c r="BN444" s="3"/>
      <c r="BO444" s="3" t="s">
        <v>1238</v>
      </c>
      <c r="BP444" s="3" t="b">
        <v>1</v>
      </c>
      <c r="BQ444" s="3" t="b">
        <v>1</v>
      </c>
      <c r="BR444" s="3" t="b">
        <v>1</v>
      </c>
      <c r="BS444" s="3" t="b">
        <v>1</v>
      </c>
      <c r="BT444" s="3" t="b">
        <v>1</v>
      </c>
      <c r="BU444" s="3"/>
      <c r="BV444" s="3"/>
      <c r="BW444" s="3"/>
      <c r="BX444" s="3"/>
    </row>
    <row r="445" spans="1:76" x14ac:dyDescent="0.35">
      <c r="A445" s="3"/>
      <c r="B445" s="3" t="s">
        <v>1239</v>
      </c>
      <c r="C445" s="4" t="s">
        <v>1240</v>
      </c>
      <c r="D445" s="3" t="s">
        <v>1110</v>
      </c>
      <c r="E445" s="3" t="s">
        <v>1111</v>
      </c>
      <c r="F445" s="3"/>
      <c r="G445" s="3" t="s">
        <v>3851</v>
      </c>
      <c r="H445" s="3" t="s">
        <v>1242</v>
      </c>
      <c r="I445" s="3" t="b">
        <v>1</v>
      </c>
      <c r="J445" s="3" t="b">
        <v>1</v>
      </c>
      <c r="K445" s="3" t="b">
        <v>1</v>
      </c>
      <c r="L445" s="3" t="b">
        <v>1</v>
      </c>
      <c r="M445" s="3" t="b">
        <v>1</v>
      </c>
      <c r="N445" s="3" t="b">
        <f t="shared" si="12"/>
        <v>1</v>
      </c>
      <c r="O445" s="3" t="b">
        <f t="shared" si="13"/>
        <v>0</v>
      </c>
      <c r="P445" s="3" t="b">
        <f t="shared" si="14"/>
        <v>0</v>
      </c>
      <c r="Q445" s="3" t="b">
        <f t="shared" si="15"/>
        <v>0</v>
      </c>
      <c r="R445" s="3" t="b">
        <f t="shared" si="16"/>
        <v>0</v>
      </c>
      <c r="S445" s="3" t="b">
        <f t="shared" si="17"/>
        <v>0</v>
      </c>
      <c r="U445" s="3" t="s">
        <v>1243</v>
      </c>
      <c r="V445" s="3" t="b">
        <v>1</v>
      </c>
      <c r="W445" s="3" t="b">
        <v>1</v>
      </c>
      <c r="X445" s="3" t="b">
        <v>1</v>
      </c>
      <c r="Y445" s="3" t="b">
        <v>1</v>
      </c>
      <c r="Z445" s="3" t="b">
        <v>1</v>
      </c>
      <c r="AA445" s="3"/>
      <c r="AB445" s="3"/>
      <c r="AC445" s="3"/>
      <c r="AD445" s="3"/>
      <c r="AE445" s="3"/>
      <c r="AF445" s="3" t="s">
        <v>1242</v>
      </c>
      <c r="AG445" s="3" t="b">
        <v>1</v>
      </c>
      <c r="AH445" s="3" t="b">
        <v>1</v>
      </c>
      <c r="AI445" s="3" t="b">
        <v>1</v>
      </c>
      <c r="AJ445" s="3" t="b">
        <v>1</v>
      </c>
      <c r="AK445" s="3" t="b">
        <v>1</v>
      </c>
      <c r="AL445" s="3"/>
      <c r="AM445" s="3"/>
      <c r="AN445" s="3"/>
      <c r="AO445" s="3"/>
      <c r="AP445" s="3"/>
      <c r="AQ445" s="3" t="s">
        <v>1242</v>
      </c>
      <c r="AR445" s="3" t="b">
        <v>1</v>
      </c>
      <c r="AS445" s="3" t="b">
        <v>1</v>
      </c>
      <c r="AT445" s="3" t="b">
        <v>1</v>
      </c>
      <c r="AU445" s="3" t="b">
        <v>1</v>
      </c>
      <c r="AV445" s="3" t="b">
        <v>1</v>
      </c>
      <c r="AW445" s="3" t="b">
        <f t="shared" si="18"/>
        <v>1</v>
      </c>
      <c r="AX445" s="3" t="b">
        <f t="shared" si="19"/>
        <v>0</v>
      </c>
      <c r="AY445" s="3" t="b">
        <f t="shared" si="20"/>
        <v>0</v>
      </c>
      <c r="AZ445" s="3" t="b">
        <f t="shared" si="21"/>
        <v>0</v>
      </c>
      <c r="BA445" s="3" t="b">
        <f t="shared" si="22"/>
        <v>0</v>
      </c>
      <c r="BB445" s="3" t="b">
        <f t="shared" si="23"/>
        <v>0</v>
      </c>
      <c r="BC445" s="3"/>
      <c r="BD445" s="3" t="s">
        <v>1242</v>
      </c>
      <c r="BE445" s="3" t="b">
        <v>1</v>
      </c>
      <c r="BF445" s="3" t="b">
        <v>1</v>
      </c>
      <c r="BG445" s="3" t="b">
        <v>1</v>
      </c>
      <c r="BH445" s="3" t="b">
        <v>1</v>
      </c>
      <c r="BI445" s="3" t="b">
        <v>1</v>
      </c>
      <c r="BJ445" s="3"/>
      <c r="BK445" s="3"/>
      <c r="BL445" s="3"/>
      <c r="BM445" s="3"/>
      <c r="BN445" s="3"/>
      <c r="BO445" s="3" t="s">
        <v>1242</v>
      </c>
      <c r="BP445" s="3" t="b">
        <v>1</v>
      </c>
      <c r="BQ445" s="3" t="b">
        <v>1</v>
      </c>
      <c r="BR445" s="3" t="b">
        <v>1</v>
      </c>
      <c r="BS445" s="3" t="b">
        <v>1</v>
      </c>
      <c r="BT445" s="3" t="b">
        <v>1</v>
      </c>
      <c r="BU445" s="3"/>
      <c r="BV445" s="3"/>
      <c r="BW445" s="3"/>
      <c r="BX445" s="3"/>
    </row>
    <row r="446" spans="1:76" x14ac:dyDescent="0.35">
      <c r="A446" s="3"/>
      <c r="B446" s="3"/>
      <c r="C446" s="3" t="s">
        <v>1116</v>
      </c>
      <c r="D446" s="3"/>
      <c r="E446" s="3"/>
      <c r="F446" s="3"/>
      <c r="G446" s="3" t="s">
        <v>3852</v>
      </c>
      <c r="H446" s="3"/>
      <c r="I446" s="3" t="b">
        <v>1</v>
      </c>
      <c r="J446" s="3" t="b">
        <v>0</v>
      </c>
      <c r="K446" s="3" t="b">
        <v>0</v>
      </c>
      <c r="L446" s="3" t="b">
        <v>0</v>
      </c>
      <c r="M446" s="3" t="b">
        <v>0</v>
      </c>
      <c r="N446" s="3" t="b">
        <f t="shared" si="12"/>
        <v>0</v>
      </c>
      <c r="O446" s="3" t="b">
        <f t="shared" si="13"/>
        <v>0</v>
      </c>
      <c r="P446" s="3" t="b">
        <f t="shared" si="14"/>
        <v>1</v>
      </c>
      <c r="Q446" s="3" t="b">
        <f t="shared" si="15"/>
        <v>0</v>
      </c>
      <c r="R446" s="3" t="b">
        <f t="shared" si="16"/>
        <v>0</v>
      </c>
      <c r="S446" s="3" t="b">
        <f t="shared" si="17"/>
        <v>0</v>
      </c>
      <c r="U446" s="3" t="s">
        <v>1157</v>
      </c>
      <c r="V446" s="3" t="b">
        <v>1</v>
      </c>
      <c r="W446" s="3" t="b">
        <v>1</v>
      </c>
      <c r="X446" s="3" t="b">
        <v>1</v>
      </c>
      <c r="Y446" s="3" t="b">
        <v>1</v>
      </c>
      <c r="Z446" s="3" t="b">
        <v>1</v>
      </c>
      <c r="AA446" s="3"/>
      <c r="AB446" s="3"/>
      <c r="AC446" s="3"/>
      <c r="AD446" s="3"/>
      <c r="AE446" s="3"/>
      <c r="AF446" s="3"/>
      <c r="AG446" s="3" t="b">
        <v>1</v>
      </c>
      <c r="AH446" s="3" t="b">
        <v>0</v>
      </c>
      <c r="AI446" s="3" t="b">
        <v>0</v>
      </c>
      <c r="AJ446" s="3" t="b">
        <v>0</v>
      </c>
      <c r="AK446" s="3" t="b">
        <v>0</v>
      </c>
      <c r="AL446" s="3"/>
      <c r="AM446" s="3"/>
      <c r="AN446" s="3"/>
      <c r="AO446" s="3"/>
      <c r="AP446" s="3"/>
      <c r="AQ446" s="3" t="s">
        <v>1157</v>
      </c>
      <c r="AR446" s="3" t="b">
        <v>1</v>
      </c>
      <c r="AS446" s="3" t="b">
        <v>1</v>
      </c>
      <c r="AT446" s="3" t="b">
        <v>1</v>
      </c>
      <c r="AU446" s="3" t="b">
        <v>1</v>
      </c>
      <c r="AV446" s="3" t="b">
        <v>1</v>
      </c>
      <c r="AW446" s="3" t="b">
        <f t="shared" si="18"/>
        <v>1</v>
      </c>
      <c r="AX446" s="3" t="b">
        <f t="shared" si="19"/>
        <v>0</v>
      </c>
      <c r="AY446" s="3" t="b">
        <f t="shared" si="20"/>
        <v>0</v>
      </c>
      <c r="AZ446" s="3" t="b">
        <f t="shared" si="21"/>
        <v>0</v>
      </c>
      <c r="BA446" s="3" t="b">
        <f t="shared" si="22"/>
        <v>0</v>
      </c>
      <c r="BB446" s="3" t="b">
        <f t="shared" si="23"/>
        <v>0</v>
      </c>
      <c r="BC446" s="3"/>
      <c r="BD446" s="3" t="s">
        <v>1157</v>
      </c>
      <c r="BE446" s="3" t="b">
        <v>1</v>
      </c>
      <c r="BF446" s="3" t="b">
        <v>1</v>
      </c>
      <c r="BG446" s="3" t="b">
        <v>1</v>
      </c>
      <c r="BH446" s="3" t="b">
        <v>1</v>
      </c>
      <c r="BI446" s="3" t="b">
        <v>1</v>
      </c>
      <c r="BJ446" s="3"/>
      <c r="BK446" s="3"/>
      <c r="BL446" s="3"/>
      <c r="BM446" s="3"/>
      <c r="BN446" s="3"/>
      <c r="BO446" s="3" t="s">
        <v>1157</v>
      </c>
      <c r="BP446" s="3" t="b">
        <v>1</v>
      </c>
      <c r="BQ446" s="3" t="b">
        <v>1</v>
      </c>
      <c r="BR446" s="3" t="b">
        <v>1</v>
      </c>
      <c r="BS446" s="3" t="b">
        <v>1</v>
      </c>
      <c r="BT446" s="3" t="b">
        <v>1</v>
      </c>
      <c r="BU446" s="3"/>
      <c r="BV446" s="3"/>
      <c r="BW446" s="3"/>
      <c r="BX446" s="3"/>
    </row>
    <row r="447" spans="1:76" x14ac:dyDescent="0.35">
      <c r="A447" s="3"/>
      <c r="B447" s="3" t="s">
        <v>1245</v>
      </c>
      <c r="C447" s="4" t="s">
        <v>1246</v>
      </c>
      <c r="D447" s="3" t="s">
        <v>1110</v>
      </c>
      <c r="E447" s="3" t="s">
        <v>1111</v>
      </c>
      <c r="F447" s="3"/>
      <c r="G447" s="3" t="s">
        <v>3853</v>
      </c>
      <c r="H447" s="3" t="s">
        <v>1248</v>
      </c>
      <c r="I447" s="3" t="b">
        <v>1</v>
      </c>
      <c r="J447" s="3" t="b">
        <v>1</v>
      </c>
      <c r="K447" s="3" t="b">
        <v>1</v>
      </c>
      <c r="L447" s="3" t="b">
        <v>1</v>
      </c>
      <c r="M447" s="3" t="b">
        <v>1</v>
      </c>
      <c r="N447" s="3" t="b">
        <f t="shared" si="12"/>
        <v>1</v>
      </c>
      <c r="O447" s="3" t="b">
        <f t="shared" si="13"/>
        <v>0</v>
      </c>
      <c r="P447" s="3" t="b">
        <f t="shared" si="14"/>
        <v>0</v>
      </c>
      <c r="Q447" s="3" t="b">
        <f t="shared" si="15"/>
        <v>0</v>
      </c>
      <c r="R447" s="3" t="b">
        <f t="shared" si="16"/>
        <v>0</v>
      </c>
      <c r="S447" s="3" t="b">
        <f t="shared" si="17"/>
        <v>0</v>
      </c>
      <c r="U447" s="3" t="s">
        <v>1249</v>
      </c>
      <c r="V447" s="3" t="b">
        <v>1</v>
      </c>
      <c r="W447" s="3" t="b">
        <v>1</v>
      </c>
      <c r="X447" s="3" t="b">
        <v>1</v>
      </c>
      <c r="Y447" s="3" t="b">
        <v>1</v>
      </c>
      <c r="Z447" s="3" t="b">
        <v>1</v>
      </c>
      <c r="AA447" s="3"/>
      <c r="AB447" s="3"/>
      <c r="AC447" s="3"/>
      <c r="AD447" s="3"/>
      <c r="AE447" s="3"/>
      <c r="AF447" s="3" t="s">
        <v>1250</v>
      </c>
      <c r="AG447" s="3" t="b">
        <v>1</v>
      </c>
      <c r="AH447" s="3" t="b">
        <v>1</v>
      </c>
      <c r="AI447" s="3" t="b">
        <v>1</v>
      </c>
      <c r="AJ447" s="3" t="b">
        <v>1</v>
      </c>
      <c r="AK447" s="3" t="b">
        <v>1</v>
      </c>
      <c r="AL447" s="3"/>
      <c r="AM447" s="3"/>
      <c r="AN447" s="3"/>
      <c r="AO447" s="3"/>
      <c r="AP447" s="3"/>
      <c r="AQ447" s="3" t="s">
        <v>1250</v>
      </c>
      <c r="AR447" s="3" t="b">
        <v>1</v>
      </c>
      <c r="AS447" s="3" t="b">
        <v>1</v>
      </c>
      <c r="AT447" s="3" t="b">
        <v>1</v>
      </c>
      <c r="AU447" s="3" t="b">
        <v>0</v>
      </c>
      <c r="AV447" s="3" t="b">
        <v>1</v>
      </c>
      <c r="AW447" s="3" t="b">
        <f t="shared" si="18"/>
        <v>0</v>
      </c>
      <c r="AX447" s="3" t="b">
        <f t="shared" si="19"/>
        <v>0</v>
      </c>
      <c r="AY447" s="3" t="b">
        <f t="shared" si="20"/>
        <v>0</v>
      </c>
      <c r="AZ447" s="3" t="b">
        <f t="shared" si="21"/>
        <v>1</v>
      </c>
      <c r="BA447" s="3" t="b">
        <f t="shared" si="22"/>
        <v>0</v>
      </c>
      <c r="BB447" s="3" t="b">
        <f t="shared" si="23"/>
        <v>0</v>
      </c>
      <c r="BC447" s="3"/>
      <c r="BD447" s="3" t="s">
        <v>1250</v>
      </c>
      <c r="BE447" s="3" t="b">
        <v>1</v>
      </c>
      <c r="BF447" s="3" t="b">
        <v>1</v>
      </c>
      <c r="BG447" s="3" t="b">
        <v>1</v>
      </c>
      <c r="BH447" s="3" t="b">
        <v>0</v>
      </c>
      <c r="BI447" s="3" t="b">
        <v>1</v>
      </c>
      <c r="BJ447" s="3"/>
      <c r="BK447" s="3"/>
      <c r="BL447" s="3"/>
      <c r="BM447" s="3"/>
      <c r="BN447" s="3"/>
      <c r="BO447" s="3" t="s">
        <v>1250</v>
      </c>
      <c r="BP447" s="3" t="b">
        <v>1</v>
      </c>
      <c r="BQ447" s="3" t="b">
        <v>1</v>
      </c>
      <c r="BR447" s="3" t="b">
        <v>1</v>
      </c>
      <c r="BS447" s="3" t="b">
        <v>0</v>
      </c>
      <c r="BT447" s="3" t="b">
        <v>1</v>
      </c>
      <c r="BU447" s="3"/>
      <c r="BV447" s="3"/>
      <c r="BW447" s="3"/>
      <c r="BX447" s="3"/>
    </row>
    <row r="448" spans="1:76" x14ac:dyDescent="0.35">
      <c r="A448" s="3"/>
      <c r="B448" s="3"/>
      <c r="C448" s="3" t="s">
        <v>1116</v>
      </c>
      <c r="D448" s="3"/>
      <c r="E448" s="3"/>
      <c r="F448" s="3"/>
      <c r="G448" s="3" t="s">
        <v>3854</v>
      </c>
      <c r="H448" s="3" t="s">
        <v>1251</v>
      </c>
      <c r="I448" s="3" t="b">
        <v>1</v>
      </c>
      <c r="J448" s="3" t="b">
        <v>1</v>
      </c>
      <c r="K448" s="3" t="b">
        <v>1</v>
      </c>
      <c r="L448" s="3" t="b">
        <v>0</v>
      </c>
      <c r="M448" s="3" t="b">
        <v>1</v>
      </c>
      <c r="N448" s="3" t="b">
        <f t="shared" si="12"/>
        <v>0</v>
      </c>
      <c r="O448" s="3" t="b">
        <f t="shared" si="13"/>
        <v>0</v>
      </c>
      <c r="P448" s="3" t="b">
        <f t="shared" si="14"/>
        <v>0</v>
      </c>
      <c r="Q448" s="3" t="b">
        <f t="shared" si="15"/>
        <v>1</v>
      </c>
      <c r="R448" s="3" t="b">
        <f t="shared" si="16"/>
        <v>0</v>
      </c>
      <c r="S448" s="3" t="b">
        <f t="shared" si="17"/>
        <v>0</v>
      </c>
      <c r="U448" s="3" t="s">
        <v>1252</v>
      </c>
      <c r="V448" s="3" t="b">
        <v>1</v>
      </c>
      <c r="W448" s="3" t="b">
        <v>1</v>
      </c>
      <c r="X448" s="3" t="b">
        <v>1</v>
      </c>
      <c r="Y448" s="3" t="b">
        <v>1</v>
      </c>
      <c r="Z448" s="3" t="b">
        <v>1</v>
      </c>
      <c r="AA448" s="3"/>
      <c r="AB448" s="3"/>
      <c r="AC448" s="3"/>
      <c r="AD448" s="3"/>
      <c r="AE448" s="3"/>
      <c r="AF448" s="3" t="s">
        <v>1253</v>
      </c>
      <c r="AG448" s="3" t="b">
        <v>1</v>
      </c>
      <c r="AH448" s="3" t="b">
        <v>1</v>
      </c>
      <c r="AI448" s="3" t="b">
        <v>1</v>
      </c>
      <c r="AJ448" s="3" t="b">
        <v>1</v>
      </c>
      <c r="AK448" s="3" t="b">
        <v>1</v>
      </c>
      <c r="AL448" s="3"/>
      <c r="AM448" s="3"/>
      <c r="AN448" s="3"/>
      <c r="AO448" s="3"/>
      <c r="AP448" s="3"/>
      <c r="AQ448" s="3" t="s">
        <v>1120</v>
      </c>
      <c r="AR448" s="3" t="b">
        <v>1</v>
      </c>
      <c r="AS448" s="3" t="b">
        <v>1</v>
      </c>
      <c r="AT448" s="3" t="b">
        <v>1</v>
      </c>
      <c r="AU448" s="3" t="b">
        <v>1</v>
      </c>
      <c r="AV448" s="3" t="b">
        <v>1</v>
      </c>
      <c r="AW448" s="3" t="b">
        <f t="shared" si="18"/>
        <v>1</v>
      </c>
      <c r="AX448" s="3" t="b">
        <f t="shared" si="19"/>
        <v>0</v>
      </c>
      <c r="AY448" s="3" t="b">
        <f t="shared" si="20"/>
        <v>0</v>
      </c>
      <c r="AZ448" s="3" t="b">
        <f t="shared" si="21"/>
        <v>0</v>
      </c>
      <c r="BA448" s="3" t="b">
        <f t="shared" si="22"/>
        <v>0</v>
      </c>
      <c r="BB448" s="3" t="b">
        <f t="shared" si="23"/>
        <v>0</v>
      </c>
      <c r="BC448" s="3"/>
      <c r="BD448" s="3" t="s">
        <v>1121</v>
      </c>
      <c r="BE448" s="3" t="b">
        <v>1</v>
      </c>
      <c r="BF448" s="3" t="b">
        <v>1</v>
      </c>
      <c r="BG448" s="3" t="b">
        <v>1</v>
      </c>
      <c r="BH448" s="3" t="b">
        <v>1</v>
      </c>
      <c r="BI448" s="3" t="b">
        <v>1</v>
      </c>
      <c r="BJ448" s="3"/>
      <c r="BK448" s="3"/>
      <c r="BL448" s="3"/>
      <c r="BM448" s="3"/>
      <c r="BN448" s="3"/>
      <c r="BO448" s="3" t="s">
        <v>1120</v>
      </c>
      <c r="BP448" s="3" t="b">
        <v>1</v>
      </c>
      <c r="BQ448" s="3" t="b">
        <v>1</v>
      </c>
      <c r="BR448" s="3" t="b">
        <v>1</v>
      </c>
      <c r="BS448" s="3" t="b">
        <v>1</v>
      </c>
      <c r="BT448" s="3" t="b">
        <v>1</v>
      </c>
      <c r="BU448" s="3"/>
      <c r="BV448" s="3"/>
      <c r="BW448" s="3"/>
      <c r="BX448" s="3"/>
    </row>
    <row r="449" spans="1:76" x14ac:dyDescent="0.35">
      <c r="A449" s="3"/>
      <c r="B449" s="3" t="s">
        <v>1254</v>
      </c>
      <c r="C449" s="3" t="s">
        <v>1255</v>
      </c>
      <c r="D449" s="3" t="s">
        <v>1124</v>
      </c>
      <c r="E449" s="3" t="s">
        <v>1125</v>
      </c>
      <c r="F449" s="3"/>
      <c r="G449" s="3" t="s">
        <v>3855</v>
      </c>
      <c r="H449" s="3" t="s">
        <v>1257</v>
      </c>
      <c r="I449" s="3" t="b">
        <v>1</v>
      </c>
      <c r="J449" s="3" t="b">
        <v>1</v>
      </c>
      <c r="K449" s="3" t="b">
        <v>1</v>
      </c>
      <c r="L449" s="3" t="b">
        <v>1</v>
      </c>
      <c r="M449" s="3" t="b">
        <v>1</v>
      </c>
      <c r="N449" s="3" t="b">
        <f t="shared" si="12"/>
        <v>1</v>
      </c>
      <c r="O449" s="3" t="b">
        <f t="shared" si="13"/>
        <v>0</v>
      </c>
      <c r="P449" s="3" t="b">
        <f t="shared" si="14"/>
        <v>0</v>
      </c>
      <c r="Q449" s="3" t="b">
        <f t="shared" si="15"/>
        <v>0</v>
      </c>
      <c r="R449" s="3" t="b">
        <f t="shared" si="16"/>
        <v>0</v>
      </c>
      <c r="S449" s="3" t="b">
        <f t="shared" si="17"/>
        <v>0</v>
      </c>
      <c r="U449" s="3" t="s">
        <v>1258</v>
      </c>
      <c r="V449" s="3" t="b">
        <v>1</v>
      </c>
      <c r="W449" s="3" t="b">
        <v>1</v>
      </c>
      <c r="X449" s="3" t="b">
        <v>1</v>
      </c>
      <c r="Y449" s="3" t="b">
        <v>1</v>
      </c>
      <c r="Z449" s="3" t="b">
        <v>1</v>
      </c>
      <c r="AA449" s="3"/>
      <c r="AB449" s="3"/>
      <c r="AC449" s="3"/>
      <c r="AD449" s="3"/>
      <c r="AE449" s="3"/>
      <c r="AF449" s="3" t="s">
        <v>1259</v>
      </c>
      <c r="AG449" s="3" t="b">
        <v>1</v>
      </c>
      <c r="AH449" s="3" t="b">
        <v>1</v>
      </c>
      <c r="AI449" s="3" t="b">
        <v>1</v>
      </c>
      <c r="AJ449" s="3" t="b">
        <v>1</v>
      </c>
      <c r="AK449" s="3" t="b">
        <v>1</v>
      </c>
      <c r="AL449" s="3"/>
      <c r="AM449" s="3"/>
      <c r="AN449" s="3"/>
      <c r="AO449" s="3"/>
      <c r="AP449" s="3"/>
      <c r="AQ449" s="3" t="s">
        <v>1260</v>
      </c>
      <c r="AR449" s="3" t="b">
        <v>1</v>
      </c>
      <c r="AS449" s="3" t="b">
        <v>1</v>
      </c>
      <c r="AT449" s="3" t="b">
        <v>1</v>
      </c>
      <c r="AU449" s="3" t="b">
        <v>1</v>
      </c>
      <c r="AV449" s="3" t="b">
        <v>1</v>
      </c>
      <c r="AW449" s="3" t="b">
        <f t="shared" si="18"/>
        <v>1</v>
      </c>
      <c r="AX449" s="3" t="b">
        <f t="shared" si="19"/>
        <v>0</v>
      </c>
      <c r="AY449" s="3" t="b">
        <f t="shared" si="20"/>
        <v>0</v>
      </c>
      <c r="AZ449" s="3" t="b">
        <f t="shared" si="21"/>
        <v>0</v>
      </c>
      <c r="BA449" s="3" t="b">
        <f t="shared" si="22"/>
        <v>0</v>
      </c>
      <c r="BB449" s="3" t="b">
        <f t="shared" si="23"/>
        <v>0</v>
      </c>
      <c r="BC449" s="3"/>
      <c r="BD449" s="3" t="s">
        <v>1260</v>
      </c>
      <c r="BE449" s="3" t="b">
        <v>1</v>
      </c>
      <c r="BF449" s="3" t="b">
        <v>1</v>
      </c>
      <c r="BG449" s="3" t="b">
        <v>1</v>
      </c>
      <c r="BH449" s="3" t="b">
        <v>1</v>
      </c>
      <c r="BI449" s="3" t="b">
        <v>1</v>
      </c>
      <c r="BJ449" s="3"/>
      <c r="BK449" s="3"/>
      <c r="BL449" s="3"/>
      <c r="BM449" s="3"/>
      <c r="BN449" s="3"/>
      <c r="BO449" s="3" t="s">
        <v>1261</v>
      </c>
      <c r="BP449" s="3" t="b">
        <v>1</v>
      </c>
      <c r="BQ449" s="3" t="b">
        <v>0</v>
      </c>
      <c r="BR449" s="3" t="b">
        <v>0</v>
      </c>
      <c r="BS449" s="3" t="b">
        <v>1</v>
      </c>
      <c r="BT449" s="3" t="b">
        <v>0</v>
      </c>
      <c r="BU449" s="3"/>
      <c r="BV449" s="3"/>
      <c r="BW449" s="3"/>
      <c r="BX449" s="3"/>
    </row>
    <row r="450" spans="1:76" x14ac:dyDescent="0.35">
      <c r="A450" s="3"/>
      <c r="B450" s="3"/>
      <c r="C450" s="3" t="s">
        <v>1131</v>
      </c>
      <c r="D450" s="3"/>
      <c r="E450" s="3"/>
      <c r="F450" s="3"/>
      <c r="G450" s="3" t="s">
        <v>3856</v>
      </c>
      <c r="H450" s="3" t="s">
        <v>1262</v>
      </c>
      <c r="I450" s="3" t="b">
        <v>1</v>
      </c>
      <c r="J450" s="3" t="b">
        <v>1</v>
      </c>
      <c r="K450" s="3" t="b">
        <v>1</v>
      </c>
      <c r="L450" s="3" t="b">
        <v>1</v>
      </c>
      <c r="M450" s="3" t="b">
        <v>1</v>
      </c>
      <c r="N450" s="3" t="b">
        <f t="shared" si="12"/>
        <v>1</v>
      </c>
      <c r="O450" s="3" t="b">
        <f t="shared" si="13"/>
        <v>0</v>
      </c>
      <c r="P450" s="3" t="b">
        <f t="shared" si="14"/>
        <v>0</v>
      </c>
      <c r="Q450" s="3" t="b">
        <f t="shared" si="15"/>
        <v>0</v>
      </c>
      <c r="R450" s="3" t="b">
        <f t="shared" si="16"/>
        <v>0</v>
      </c>
      <c r="S450" s="3" t="b">
        <f t="shared" si="17"/>
        <v>0</v>
      </c>
      <c r="U450" s="3" t="s">
        <v>1263</v>
      </c>
      <c r="V450" s="3" t="b">
        <v>1</v>
      </c>
      <c r="W450" s="3" t="b">
        <v>1</v>
      </c>
      <c r="X450" s="3" t="b">
        <v>1</v>
      </c>
      <c r="Y450" s="3" t="b">
        <v>1</v>
      </c>
      <c r="Z450" s="3" t="b">
        <v>1</v>
      </c>
      <c r="AA450" s="3"/>
      <c r="AB450" s="3"/>
      <c r="AC450" s="3"/>
      <c r="AD450" s="3"/>
      <c r="AE450" s="3"/>
      <c r="AF450" s="3"/>
      <c r="AG450" s="3" t="b">
        <v>1</v>
      </c>
      <c r="AH450" s="3" t="b">
        <v>0</v>
      </c>
      <c r="AI450" s="3" t="b">
        <v>0</v>
      </c>
      <c r="AJ450" s="3" t="b">
        <v>0</v>
      </c>
      <c r="AK450" s="3" t="b">
        <v>0</v>
      </c>
      <c r="AL450" s="3"/>
      <c r="AM450" s="3"/>
      <c r="AN450" s="3"/>
      <c r="AO450" s="3"/>
      <c r="AP450" s="3"/>
      <c r="AQ450" s="3" t="s">
        <v>1137</v>
      </c>
      <c r="AR450" s="3" t="b">
        <v>1</v>
      </c>
      <c r="AS450" s="3" t="b">
        <v>0</v>
      </c>
      <c r="AT450" s="3" t="b">
        <v>0</v>
      </c>
      <c r="AU450" s="3" t="b">
        <v>1</v>
      </c>
      <c r="AV450" s="3" t="b">
        <v>0</v>
      </c>
      <c r="AW450" s="3" t="b">
        <f t="shared" si="18"/>
        <v>0</v>
      </c>
      <c r="AX450" s="3" t="b">
        <f t="shared" si="19"/>
        <v>0</v>
      </c>
      <c r="AY450" s="3" t="b">
        <f t="shared" si="20"/>
        <v>1</v>
      </c>
      <c r="AZ450" s="3" t="b">
        <f t="shared" si="21"/>
        <v>0</v>
      </c>
      <c r="BA450" s="3" t="b">
        <f t="shared" si="22"/>
        <v>0</v>
      </c>
      <c r="BB450" s="3" t="b">
        <f t="shared" si="23"/>
        <v>0</v>
      </c>
      <c r="BC450" s="3"/>
      <c r="BD450" s="3" t="s">
        <v>1137</v>
      </c>
      <c r="BE450" s="3" t="b">
        <v>1</v>
      </c>
      <c r="BF450" s="3" t="b">
        <v>0</v>
      </c>
      <c r="BG450" s="3" t="b">
        <v>0</v>
      </c>
      <c r="BH450" s="3" t="b">
        <v>1</v>
      </c>
      <c r="BI450" s="3" t="b">
        <v>0</v>
      </c>
      <c r="BJ450" s="3"/>
      <c r="BK450" s="3"/>
      <c r="BL450" s="3"/>
      <c r="BM450" s="3"/>
      <c r="BN450" s="3"/>
      <c r="BO450" s="3" t="s">
        <v>1264</v>
      </c>
      <c r="BP450" s="3" t="b">
        <v>1</v>
      </c>
      <c r="BQ450" s="3" t="b">
        <v>0</v>
      </c>
      <c r="BR450" s="3" t="b">
        <v>0</v>
      </c>
      <c r="BS450" s="3" t="b">
        <v>1</v>
      </c>
      <c r="BT450" s="3" t="b">
        <v>0</v>
      </c>
      <c r="BU450" s="3"/>
      <c r="BV450" s="3"/>
      <c r="BW450" s="3"/>
      <c r="BX450" s="3"/>
    </row>
    <row r="451" spans="1:76" x14ac:dyDescent="0.35">
      <c r="A451" s="3"/>
      <c r="B451" s="3" t="s">
        <v>1265</v>
      </c>
      <c r="C451" s="3" t="s">
        <v>1266</v>
      </c>
      <c r="D451" s="3" t="s">
        <v>1124</v>
      </c>
      <c r="E451" s="3" t="s">
        <v>1125</v>
      </c>
      <c r="F451" s="3"/>
      <c r="G451" s="3" t="s">
        <v>3857</v>
      </c>
      <c r="H451" s="3"/>
      <c r="I451" s="3" t="b">
        <v>1</v>
      </c>
      <c r="J451" s="3" t="b">
        <v>0</v>
      </c>
      <c r="K451" s="3" t="b">
        <v>0</v>
      </c>
      <c r="L451" s="3" t="b">
        <v>0</v>
      </c>
      <c r="M451" s="3" t="b">
        <v>0</v>
      </c>
      <c r="N451" s="3" t="b">
        <f t="shared" si="12"/>
        <v>0</v>
      </c>
      <c r="O451" s="3" t="b">
        <f t="shared" si="13"/>
        <v>0</v>
      </c>
      <c r="P451" s="3" t="b">
        <f t="shared" si="14"/>
        <v>1</v>
      </c>
      <c r="Q451" s="3" t="b">
        <f t="shared" si="15"/>
        <v>0</v>
      </c>
      <c r="R451" s="3" t="b">
        <f t="shared" si="16"/>
        <v>0</v>
      </c>
      <c r="S451" s="3" t="b">
        <f t="shared" si="17"/>
        <v>0</v>
      </c>
      <c r="U451" s="3" t="s">
        <v>1268</v>
      </c>
      <c r="V451" s="3" t="b">
        <v>1</v>
      </c>
      <c r="W451" s="3" t="b">
        <v>1</v>
      </c>
      <c r="X451" s="3" t="b">
        <v>1</v>
      </c>
      <c r="Y451" s="3" t="b">
        <v>1</v>
      </c>
      <c r="Z451" s="3" t="b">
        <v>1</v>
      </c>
      <c r="AA451" s="3"/>
      <c r="AB451" s="3"/>
      <c r="AC451" s="3"/>
      <c r="AD451" s="3"/>
      <c r="AE451" s="3"/>
      <c r="AF451" s="3" t="s">
        <v>1268</v>
      </c>
      <c r="AG451" s="3" t="b">
        <v>1</v>
      </c>
      <c r="AH451" s="3" t="b">
        <v>1</v>
      </c>
      <c r="AI451" s="3" t="b">
        <v>1</v>
      </c>
      <c r="AJ451" s="3" t="b">
        <v>1</v>
      </c>
      <c r="AK451" s="3" t="b">
        <v>1</v>
      </c>
      <c r="AL451" s="3"/>
      <c r="AM451" s="3"/>
      <c r="AN451" s="3"/>
      <c r="AO451" s="3"/>
      <c r="AP451" s="3"/>
      <c r="AQ451" s="3" t="s">
        <v>1269</v>
      </c>
      <c r="AR451" s="3" t="b">
        <v>1</v>
      </c>
      <c r="AS451" s="3" t="b">
        <v>1</v>
      </c>
      <c r="AT451" s="3" t="b">
        <v>1</v>
      </c>
      <c r="AU451" s="3" t="b">
        <v>1</v>
      </c>
      <c r="AV451" s="3" t="b">
        <v>1</v>
      </c>
      <c r="AW451" s="3" t="b">
        <f t="shared" si="18"/>
        <v>1</v>
      </c>
      <c r="AX451" s="3" t="b">
        <f t="shared" si="19"/>
        <v>0</v>
      </c>
      <c r="AY451" s="3" t="b">
        <f t="shared" si="20"/>
        <v>0</v>
      </c>
      <c r="AZ451" s="3" t="b">
        <f t="shared" si="21"/>
        <v>0</v>
      </c>
      <c r="BA451" s="3" t="b">
        <f t="shared" si="22"/>
        <v>0</v>
      </c>
      <c r="BB451" s="3" t="b">
        <f t="shared" si="23"/>
        <v>0</v>
      </c>
      <c r="BC451" s="3"/>
      <c r="BD451" s="3" t="s">
        <v>1269</v>
      </c>
      <c r="BE451" s="3" t="b">
        <v>1</v>
      </c>
      <c r="BF451" s="3" t="b">
        <v>1</v>
      </c>
      <c r="BG451" s="3" t="b">
        <v>1</v>
      </c>
      <c r="BH451" s="3" t="b">
        <v>1</v>
      </c>
      <c r="BI451" s="3" t="b">
        <v>1</v>
      </c>
      <c r="BJ451" s="3"/>
      <c r="BK451" s="3"/>
      <c r="BL451" s="3"/>
      <c r="BM451" s="3"/>
      <c r="BN451" s="3"/>
      <c r="BO451" s="3" t="s">
        <v>1269</v>
      </c>
      <c r="BP451" s="3" t="b">
        <v>1</v>
      </c>
      <c r="BQ451" s="3" t="b">
        <v>1</v>
      </c>
      <c r="BR451" s="3" t="b">
        <v>1</v>
      </c>
      <c r="BS451" s="3" t="b">
        <v>1</v>
      </c>
      <c r="BT451" s="3" t="b">
        <v>1</v>
      </c>
      <c r="BU451" s="3"/>
      <c r="BV451" s="3"/>
      <c r="BW451" s="3"/>
      <c r="BX451" s="3"/>
    </row>
    <row r="452" spans="1:76" x14ac:dyDescent="0.35">
      <c r="A452" s="3"/>
      <c r="B452" s="3"/>
      <c r="C452" s="3" t="s">
        <v>1131</v>
      </c>
      <c r="D452" s="3"/>
      <c r="E452" s="3"/>
      <c r="F452" s="3"/>
      <c r="G452" s="3" t="s">
        <v>3858</v>
      </c>
      <c r="H452" s="3" t="s">
        <v>1134</v>
      </c>
      <c r="I452" s="3" t="b">
        <v>1</v>
      </c>
      <c r="J452" s="3" t="b">
        <v>1</v>
      </c>
      <c r="K452" s="3" t="b">
        <v>1</v>
      </c>
      <c r="L452" s="3" t="b">
        <v>1</v>
      </c>
      <c r="M452" s="3" t="b">
        <v>1</v>
      </c>
      <c r="N452" s="3" t="b">
        <f t="shared" si="12"/>
        <v>1</v>
      </c>
      <c r="O452" s="3" t="b">
        <f t="shared" si="13"/>
        <v>0</v>
      </c>
      <c r="P452" s="3" t="b">
        <f t="shared" si="14"/>
        <v>0</v>
      </c>
      <c r="Q452" s="3" t="b">
        <f t="shared" si="15"/>
        <v>0</v>
      </c>
      <c r="R452" s="3" t="b">
        <f t="shared" si="16"/>
        <v>0</v>
      </c>
      <c r="S452" s="3" t="b">
        <f t="shared" si="17"/>
        <v>0</v>
      </c>
      <c r="U452" s="3" t="s">
        <v>1133</v>
      </c>
      <c r="V452" s="3" t="b">
        <v>1</v>
      </c>
      <c r="W452" s="3" t="b">
        <v>1</v>
      </c>
      <c r="X452" s="3" t="b">
        <v>1</v>
      </c>
      <c r="Y452" s="3" t="b">
        <v>1</v>
      </c>
      <c r="Z452" s="3" t="b">
        <v>1</v>
      </c>
      <c r="AA452" s="3"/>
      <c r="AB452" s="3"/>
      <c r="AC452" s="3"/>
      <c r="AD452" s="3"/>
      <c r="AE452" s="3"/>
      <c r="AF452" s="3" t="s">
        <v>1270</v>
      </c>
      <c r="AG452" s="3" t="b">
        <v>1</v>
      </c>
      <c r="AH452" s="3" t="b">
        <v>1</v>
      </c>
      <c r="AI452" s="3" t="b">
        <v>1</v>
      </c>
      <c r="AJ452" s="3" t="b">
        <v>1</v>
      </c>
      <c r="AK452" s="3" t="b">
        <v>1</v>
      </c>
      <c r="AL452" s="3"/>
      <c r="AM452" s="3"/>
      <c r="AN452" s="3"/>
      <c r="AO452" s="3"/>
      <c r="AP452" s="3"/>
      <c r="AQ452" s="3" t="s">
        <v>1271</v>
      </c>
      <c r="AR452" s="3" t="b">
        <v>1</v>
      </c>
      <c r="AS452" s="3" t="b">
        <v>0</v>
      </c>
      <c r="AT452" s="3" t="b">
        <v>0</v>
      </c>
      <c r="AU452" s="3" t="b">
        <v>1</v>
      </c>
      <c r="AV452" s="3" t="b">
        <v>0</v>
      </c>
      <c r="AW452" s="3" t="b">
        <f t="shared" si="18"/>
        <v>0</v>
      </c>
      <c r="AX452" s="3" t="b">
        <f t="shared" si="19"/>
        <v>0</v>
      </c>
      <c r="AY452" s="3" t="b">
        <f t="shared" si="20"/>
        <v>1</v>
      </c>
      <c r="AZ452" s="3" t="b">
        <f t="shared" si="21"/>
        <v>0</v>
      </c>
      <c r="BA452" s="3" t="b">
        <f t="shared" si="22"/>
        <v>0</v>
      </c>
      <c r="BB452" s="3" t="b">
        <f t="shared" si="23"/>
        <v>0</v>
      </c>
      <c r="BC452" s="3"/>
      <c r="BD452" s="3" t="s">
        <v>1272</v>
      </c>
      <c r="BE452" s="3" t="b">
        <v>1</v>
      </c>
      <c r="BF452" s="3" t="b">
        <v>1</v>
      </c>
      <c r="BG452" s="3" t="b">
        <v>1</v>
      </c>
      <c r="BH452" s="3" t="b">
        <v>1</v>
      </c>
      <c r="BI452" s="3" t="b">
        <v>1</v>
      </c>
      <c r="BJ452" s="3"/>
      <c r="BK452" s="3"/>
      <c r="BL452" s="3"/>
      <c r="BM452" s="3"/>
      <c r="BN452" s="3"/>
      <c r="BO452" s="3" t="s">
        <v>1137</v>
      </c>
      <c r="BP452" s="3" t="b">
        <v>1</v>
      </c>
      <c r="BQ452" s="3" t="b">
        <v>0</v>
      </c>
      <c r="BR452" s="3" t="b">
        <v>0</v>
      </c>
      <c r="BS452" s="3" t="b">
        <v>1</v>
      </c>
      <c r="BT452" s="3" t="b">
        <v>0</v>
      </c>
      <c r="BU452" s="3"/>
      <c r="BV452" s="3"/>
      <c r="BW452" s="3"/>
      <c r="BX452" s="3"/>
    </row>
    <row r="453" spans="1:76" x14ac:dyDescent="0.35">
      <c r="A453" s="3"/>
      <c r="B453" s="3" t="s">
        <v>188</v>
      </c>
      <c r="C453" s="3"/>
      <c r="D453" s="3"/>
      <c r="E453" s="3"/>
      <c r="F453" s="3"/>
      <c r="G453" s="3"/>
      <c r="H453" s="3"/>
      <c r="I453" s="3"/>
      <c r="J453" s="3"/>
      <c r="K453" s="3"/>
      <c r="L453" s="3"/>
      <c r="M453" s="3"/>
      <c r="N453" s="3">
        <f t="shared" si="12"/>
        <v>0</v>
      </c>
      <c r="O453" s="3">
        <f t="shared" si="13"/>
        <v>0</v>
      </c>
      <c r="P453" s="3">
        <f t="shared" si="14"/>
        <v>0</v>
      </c>
      <c r="Q453" s="3">
        <f t="shared" si="15"/>
        <v>0</v>
      </c>
      <c r="R453" s="3">
        <f t="shared" si="16"/>
        <v>0</v>
      </c>
      <c r="S453" s="3">
        <f t="shared" si="17"/>
        <v>0</v>
      </c>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f t="shared" si="18"/>
        <v>0</v>
      </c>
      <c r="AX453" s="3">
        <f t="shared" si="19"/>
        <v>0</v>
      </c>
      <c r="AY453" s="3">
        <f t="shared" si="20"/>
        <v>0</v>
      </c>
      <c r="AZ453" s="3">
        <f t="shared" si="21"/>
        <v>0</v>
      </c>
      <c r="BA453" s="3">
        <f t="shared" si="22"/>
        <v>0</v>
      </c>
      <c r="BB453" s="3">
        <f t="shared" si="23"/>
        <v>0</v>
      </c>
      <c r="BC453" s="3"/>
      <c r="BD453" s="3"/>
      <c r="BE453" s="3"/>
      <c r="BF453" s="3"/>
      <c r="BG453" s="3"/>
      <c r="BH453" s="3"/>
      <c r="BI453" s="3"/>
      <c r="BJ453" s="3"/>
      <c r="BK453" s="3"/>
      <c r="BL453" s="3"/>
      <c r="BM453" s="3"/>
      <c r="BN453" s="3"/>
      <c r="BO453" s="3"/>
      <c r="BP453" s="3"/>
      <c r="BQ453" s="3"/>
      <c r="BR453" s="3"/>
      <c r="BS453" s="3"/>
      <c r="BT453" s="3"/>
      <c r="BU453" s="3"/>
      <c r="BV453" s="3"/>
      <c r="BW453" s="3"/>
      <c r="BX453" s="3"/>
    </row>
    <row r="454" spans="1:76" x14ac:dyDescent="0.35">
      <c r="A454" s="3"/>
      <c r="B454" s="5" t="s">
        <v>1273</v>
      </c>
      <c r="C454" s="5" t="s">
        <v>131</v>
      </c>
      <c r="D454" s="3"/>
      <c r="E454" s="3"/>
      <c r="F454" s="3"/>
      <c r="G454" s="3"/>
      <c r="H454" s="3"/>
      <c r="I454" s="3"/>
      <c r="J454" s="3"/>
      <c r="K454" s="3"/>
      <c r="L454" s="3"/>
      <c r="M454" s="3"/>
      <c r="N454" s="3">
        <f t="shared" si="12"/>
        <v>0</v>
      </c>
      <c r="O454" s="3">
        <f t="shared" si="13"/>
        <v>0</v>
      </c>
      <c r="P454" s="3">
        <f t="shared" si="14"/>
        <v>0</v>
      </c>
      <c r="Q454" s="3">
        <f t="shared" si="15"/>
        <v>0</v>
      </c>
      <c r="R454" s="3">
        <f t="shared" si="16"/>
        <v>0</v>
      </c>
      <c r="S454" s="3">
        <f t="shared" si="17"/>
        <v>0</v>
      </c>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f t="shared" si="18"/>
        <v>0</v>
      </c>
      <c r="AX454" s="3">
        <f t="shared" si="19"/>
        <v>0</v>
      </c>
      <c r="AY454" s="3">
        <f t="shared" si="20"/>
        <v>0</v>
      </c>
      <c r="AZ454" s="3">
        <f t="shared" si="21"/>
        <v>0</v>
      </c>
      <c r="BA454" s="3">
        <f t="shared" si="22"/>
        <v>0</v>
      </c>
      <c r="BB454" s="3">
        <f t="shared" si="23"/>
        <v>0</v>
      </c>
      <c r="BC454" s="3"/>
      <c r="BD454" s="3"/>
      <c r="BE454" s="3"/>
      <c r="BF454" s="3"/>
      <c r="BG454" s="3"/>
      <c r="BH454" s="3"/>
      <c r="BI454" s="3"/>
      <c r="BJ454" s="3"/>
      <c r="BK454" s="3"/>
      <c r="BL454" s="3"/>
      <c r="BM454" s="3"/>
      <c r="BN454" s="3"/>
      <c r="BO454" s="3"/>
      <c r="BP454" s="3"/>
      <c r="BQ454" s="3"/>
      <c r="BR454" s="3"/>
      <c r="BS454" s="3"/>
      <c r="BT454" s="3"/>
      <c r="BU454" s="3"/>
      <c r="BV454" s="3"/>
      <c r="BW454" s="3"/>
      <c r="BX454" s="3"/>
    </row>
    <row r="455" spans="1:76" x14ac:dyDescent="0.35">
      <c r="A455" s="3"/>
      <c r="B455" s="5" t="s">
        <v>1274</v>
      </c>
      <c r="C455" s="5" t="s">
        <v>131</v>
      </c>
      <c r="D455" s="3"/>
      <c r="E455" s="3"/>
      <c r="F455" s="3"/>
      <c r="G455" s="3"/>
      <c r="H455" s="3"/>
      <c r="I455" s="3"/>
      <c r="J455" s="3"/>
      <c r="K455" s="3"/>
      <c r="L455" s="3"/>
      <c r="M455" s="3"/>
      <c r="N455" s="3">
        <f t="shared" si="12"/>
        <v>0</v>
      </c>
      <c r="O455" s="3">
        <f t="shared" si="13"/>
        <v>0</v>
      </c>
      <c r="P455" s="3">
        <f t="shared" si="14"/>
        <v>0</v>
      </c>
      <c r="Q455" s="3">
        <f t="shared" si="15"/>
        <v>0</v>
      </c>
      <c r="R455" s="3">
        <f t="shared" si="16"/>
        <v>0</v>
      </c>
      <c r="S455" s="3">
        <f t="shared" si="17"/>
        <v>0</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f t="shared" si="18"/>
        <v>0</v>
      </c>
      <c r="AX455" s="3">
        <f t="shared" si="19"/>
        <v>0</v>
      </c>
      <c r="AY455" s="3">
        <f t="shared" si="20"/>
        <v>0</v>
      </c>
      <c r="AZ455" s="3">
        <f t="shared" si="21"/>
        <v>0</v>
      </c>
      <c r="BA455" s="3">
        <f t="shared" si="22"/>
        <v>0</v>
      </c>
      <c r="BB455" s="3">
        <f t="shared" si="23"/>
        <v>0</v>
      </c>
      <c r="BC455" s="3"/>
      <c r="BD455" s="3"/>
      <c r="BE455" s="3"/>
      <c r="BF455" s="3"/>
      <c r="BG455" s="3"/>
      <c r="BH455" s="3"/>
      <c r="BI455" s="3"/>
      <c r="BJ455" s="3"/>
      <c r="BK455" s="3"/>
      <c r="BL455" s="3"/>
      <c r="BM455" s="3"/>
      <c r="BN455" s="3"/>
      <c r="BO455" s="3"/>
      <c r="BP455" s="3"/>
      <c r="BQ455" s="3"/>
      <c r="BR455" s="3"/>
      <c r="BS455" s="3"/>
      <c r="BT455" s="3"/>
      <c r="BU455" s="3"/>
      <c r="BV455" s="3"/>
      <c r="BW455" s="3"/>
      <c r="BX455" s="3"/>
    </row>
    <row r="456" spans="1:76" x14ac:dyDescent="0.35">
      <c r="A456" s="3"/>
      <c r="B456" s="5" t="s">
        <v>456</v>
      </c>
      <c r="C456" s="5" t="s">
        <v>131</v>
      </c>
      <c r="D456" s="3"/>
      <c r="E456" s="3"/>
      <c r="F456" s="3"/>
      <c r="G456" s="3"/>
      <c r="H456" s="3"/>
      <c r="I456" s="3"/>
      <c r="J456" s="3"/>
      <c r="K456" s="3"/>
      <c r="L456" s="3"/>
      <c r="M456" s="3"/>
      <c r="N456" s="3">
        <f t="shared" si="12"/>
        <v>0</v>
      </c>
      <c r="O456" s="3">
        <f t="shared" si="13"/>
        <v>0</v>
      </c>
      <c r="P456" s="3">
        <f t="shared" si="14"/>
        <v>0</v>
      </c>
      <c r="Q456" s="3">
        <f t="shared" si="15"/>
        <v>0</v>
      </c>
      <c r="R456" s="3">
        <f t="shared" si="16"/>
        <v>0</v>
      </c>
      <c r="S456" s="3">
        <f t="shared" si="17"/>
        <v>0</v>
      </c>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f t="shared" si="18"/>
        <v>0</v>
      </c>
      <c r="AX456" s="3">
        <f t="shared" si="19"/>
        <v>0</v>
      </c>
      <c r="AY456" s="3">
        <f t="shared" si="20"/>
        <v>0</v>
      </c>
      <c r="AZ456" s="3">
        <f t="shared" si="21"/>
        <v>0</v>
      </c>
      <c r="BA456" s="3">
        <f t="shared" si="22"/>
        <v>0</v>
      </c>
      <c r="BB456" s="3">
        <f t="shared" si="23"/>
        <v>0</v>
      </c>
      <c r="BC456" s="3"/>
      <c r="BD456" s="3"/>
      <c r="BE456" s="3"/>
      <c r="BF456" s="3"/>
      <c r="BG456" s="3"/>
      <c r="BH456" s="3"/>
      <c r="BI456" s="3"/>
      <c r="BJ456" s="3"/>
      <c r="BK456" s="3"/>
      <c r="BL456" s="3"/>
      <c r="BM456" s="3"/>
      <c r="BN456" s="3"/>
      <c r="BO456" s="3"/>
      <c r="BP456" s="3"/>
      <c r="BQ456" s="3"/>
      <c r="BR456" s="3"/>
      <c r="BS456" s="3"/>
      <c r="BT456" s="3"/>
      <c r="BU456" s="3"/>
      <c r="BV456" s="3"/>
      <c r="BW456" s="3"/>
      <c r="BX456" s="3"/>
    </row>
    <row r="457" spans="1:76" x14ac:dyDescent="0.35">
      <c r="A457" s="3"/>
      <c r="B457" s="3" t="s">
        <v>1275</v>
      </c>
      <c r="C457" s="3" t="s">
        <v>1276</v>
      </c>
      <c r="D457" s="3"/>
      <c r="E457" s="3"/>
      <c r="F457" s="3"/>
      <c r="G457" s="3" t="s">
        <v>3859</v>
      </c>
      <c r="H457" s="3" t="s">
        <v>1277</v>
      </c>
      <c r="I457" s="3" t="b">
        <v>1</v>
      </c>
      <c r="J457" s="3" t="b">
        <v>1</v>
      </c>
      <c r="K457" s="3" t="b">
        <v>0</v>
      </c>
      <c r="L457" s="3" t="b">
        <v>1</v>
      </c>
      <c r="M457" s="3" t="b">
        <v>0</v>
      </c>
      <c r="N457" s="3" t="b">
        <f t="shared" si="12"/>
        <v>0</v>
      </c>
      <c r="O457" s="3" t="b">
        <f t="shared" si="13"/>
        <v>0</v>
      </c>
      <c r="P457" s="3" t="b">
        <f t="shared" si="14"/>
        <v>1</v>
      </c>
      <c r="Q457" s="3" t="b">
        <f t="shared" si="15"/>
        <v>0</v>
      </c>
      <c r="R457" s="3" t="b">
        <f t="shared" si="16"/>
        <v>0</v>
      </c>
      <c r="S457" s="3" t="b">
        <f t="shared" si="17"/>
        <v>0</v>
      </c>
      <c r="U457" s="3" t="s">
        <v>1278</v>
      </c>
      <c r="V457" s="3" t="b">
        <v>1</v>
      </c>
      <c r="W457" s="3" t="b">
        <v>1</v>
      </c>
      <c r="X457" s="3" t="b">
        <v>0</v>
      </c>
      <c r="Y457" s="3" t="b">
        <v>1</v>
      </c>
      <c r="Z457" s="3" t="b">
        <v>0</v>
      </c>
      <c r="AA457" s="3"/>
      <c r="AB457" s="3"/>
      <c r="AC457" s="3"/>
      <c r="AD457" s="3"/>
      <c r="AE457" s="3"/>
      <c r="AF457" s="3" t="s">
        <v>1277</v>
      </c>
      <c r="AG457" s="3" t="b">
        <v>1</v>
      </c>
      <c r="AH457" s="3" t="b">
        <v>1</v>
      </c>
      <c r="AI457" s="3" t="b">
        <v>0</v>
      </c>
      <c r="AJ457" s="3" t="b">
        <v>1</v>
      </c>
      <c r="AK457" s="3" t="b">
        <v>0</v>
      </c>
      <c r="AL457" s="3"/>
      <c r="AM457" s="3"/>
      <c r="AN457" s="3"/>
      <c r="AO457" s="3"/>
      <c r="AP457" s="3"/>
      <c r="AQ457" s="3" t="s">
        <v>1279</v>
      </c>
      <c r="AR457" s="3" t="b">
        <v>1</v>
      </c>
      <c r="AS457" s="3" t="b">
        <v>1</v>
      </c>
      <c r="AT457" s="3" t="b">
        <v>0</v>
      </c>
      <c r="AU457" s="3" t="b">
        <v>1</v>
      </c>
      <c r="AV457" s="3" t="b">
        <v>0</v>
      </c>
      <c r="AW457" s="3" t="b">
        <f t="shared" si="18"/>
        <v>0</v>
      </c>
      <c r="AX457" s="3" t="b">
        <f t="shared" si="19"/>
        <v>0</v>
      </c>
      <c r="AY457" s="3" t="b">
        <f t="shared" si="20"/>
        <v>1</v>
      </c>
      <c r="AZ457" s="3" t="b">
        <f t="shared" si="21"/>
        <v>0</v>
      </c>
      <c r="BA457" s="3" t="b">
        <f t="shared" si="22"/>
        <v>0</v>
      </c>
      <c r="BB457" s="3" t="b">
        <f t="shared" si="23"/>
        <v>0</v>
      </c>
      <c r="BC457" s="3"/>
      <c r="BD457" s="3" t="s">
        <v>1279</v>
      </c>
      <c r="BE457" s="3" t="b">
        <v>1</v>
      </c>
      <c r="BF457" s="3" t="b">
        <v>1</v>
      </c>
      <c r="BG457" s="3" t="b">
        <v>0</v>
      </c>
      <c r="BH457" s="3" t="b">
        <v>1</v>
      </c>
      <c r="BI457" s="3" t="b">
        <v>0</v>
      </c>
      <c r="BJ457" s="3"/>
      <c r="BK457" s="3"/>
      <c r="BL457" s="3"/>
      <c r="BM457" s="3"/>
      <c r="BN457" s="3"/>
      <c r="BO457" s="3" t="s">
        <v>1279</v>
      </c>
      <c r="BP457" s="3" t="b">
        <v>1</v>
      </c>
      <c r="BQ457" s="3" t="b">
        <v>1</v>
      </c>
      <c r="BR457" s="3" t="b">
        <v>0</v>
      </c>
      <c r="BS457" s="3" t="b">
        <v>1</v>
      </c>
      <c r="BT457" s="3" t="b">
        <v>0</v>
      </c>
      <c r="BU457" s="3"/>
      <c r="BV457" s="3"/>
      <c r="BW457" s="3"/>
      <c r="BX457" s="3"/>
    </row>
    <row r="458" spans="1:76" x14ac:dyDescent="0.35">
      <c r="A458" s="3"/>
      <c r="B458" s="3" t="s">
        <v>1280</v>
      </c>
      <c r="C458" s="3" t="s">
        <v>1281</v>
      </c>
      <c r="D458" s="3"/>
      <c r="E458" s="3"/>
      <c r="F458" s="3"/>
      <c r="G458" s="3" t="s">
        <v>3860</v>
      </c>
      <c r="H458" s="3"/>
      <c r="I458" s="3" t="b">
        <v>1</v>
      </c>
      <c r="J458" s="3" t="b">
        <v>0</v>
      </c>
      <c r="K458" s="3" t="b">
        <v>0</v>
      </c>
      <c r="L458" s="3" t="b">
        <v>0</v>
      </c>
      <c r="M458" s="3" t="b">
        <v>0</v>
      </c>
      <c r="N458" s="3" t="b">
        <f t="shared" si="12"/>
        <v>0</v>
      </c>
      <c r="O458" s="3" t="b">
        <f t="shared" si="13"/>
        <v>0</v>
      </c>
      <c r="P458" s="3" t="b">
        <f t="shared" si="14"/>
        <v>1</v>
      </c>
      <c r="Q458" s="3" t="b">
        <f t="shared" si="15"/>
        <v>0</v>
      </c>
      <c r="R458" s="3" t="b">
        <f t="shared" si="16"/>
        <v>0</v>
      </c>
      <c r="S458" s="3" t="b">
        <f t="shared" si="17"/>
        <v>0</v>
      </c>
      <c r="U458" s="3" t="s">
        <v>1283</v>
      </c>
      <c r="V458" s="3" t="b">
        <v>1</v>
      </c>
      <c r="W458" s="3" t="b">
        <v>0</v>
      </c>
      <c r="X458" s="3" t="b">
        <v>0</v>
      </c>
      <c r="Y458" s="3" t="b">
        <v>1</v>
      </c>
      <c r="Z458" s="3" t="b">
        <v>1</v>
      </c>
      <c r="AA458" s="3"/>
      <c r="AB458" s="3"/>
      <c r="AC458" s="3"/>
      <c r="AD458" s="3"/>
      <c r="AE458" s="3"/>
      <c r="AF458" s="3" t="s">
        <v>1284</v>
      </c>
      <c r="AG458" s="3" t="b">
        <v>1</v>
      </c>
      <c r="AH458" s="3" t="b">
        <v>1</v>
      </c>
      <c r="AI458" s="3" t="b">
        <v>1</v>
      </c>
      <c r="AJ458" s="3" t="b">
        <v>1</v>
      </c>
      <c r="AK458" s="3" t="b">
        <v>1</v>
      </c>
      <c r="AL458" s="3"/>
      <c r="AM458" s="3"/>
      <c r="AN458" s="3"/>
      <c r="AO458" s="3"/>
      <c r="AP458" s="3"/>
      <c r="AQ458" s="3" t="s">
        <v>1285</v>
      </c>
      <c r="AR458" s="3" t="b">
        <v>1</v>
      </c>
      <c r="AS458" s="3" t="b">
        <v>0</v>
      </c>
      <c r="AT458" s="3" t="b">
        <v>0</v>
      </c>
      <c r="AU458" s="3" t="b">
        <v>0</v>
      </c>
      <c r="AV458" s="3" t="b">
        <v>0</v>
      </c>
      <c r="AW458" s="3" t="b">
        <f t="shared" si="18"/>
        <v>0</v>
      </c>
      <c r="AX458" s="3" t="b">
        <f t="shared" si="19"/>
        <v>0</v>
      </c>
      <c r="AY458" s="3" t="b">
        <f t="shared" si="20"/>
        <v>1</v>
      </c>
      <c r="AZ458" s="3" t="b">
        <f t="shared" si="21"/>
        <v>0</v>
      </c>
      <c r="BA458" s="3" t="b">
        <f t="shared" si="22"/>
        <v>0</v>
      </c>
      <c r="BB458" s="3" t="b">
        <f t="shared" si="23"/>
        <v>0</v>
      </c>
      <c r="BC458" s="3"/>
      <c r="BD458" s="3" t="s">
        <v>1286</v>
      </c>
      <c r="BE458" s="3" t="b">
        <v>1</v>
      </c>
      <c r="BF458" s="3" t="b">
        <v>0</v>
      </c>
      <c r="BG458" s="3" t="b">
        <v>0</v>
      </c>
      <c r="BH458" s="3" t="b">
        <v>0</v>
      </c>
      <c r="BI458" s="3" t="b">
        <v>0</v>
      </c>
      <c r="BJ458" s="3"/>
      <c r="BK458" s="3"/>
      <c r="BL458" s="3"/>
      <c r="BM458" s="3"/>
      <c r="BN458" s="3"/>
      <c r="BO458" s="3" t="s">
        <v>1285</v>
      </c>
      <c r="BP458" s="3" t="b">
        <v>1</v>
      </c>
      <c r="BQ458" s="3" t="b">
        <v>0</v>
      </c>
      <c r="BR458" s="3" t="b">
        <v>0</v>
      </c>
      <c r="BS458" s="3" t="b">
        <v>0</v>
      </c>
      <c r="BT458" s="3" t="b">
        <v>0</v>
      </c>
      <c r="BU458" s="3"/>
      <c r="BV458" s="3"/>
      <c r="BW458" s="3"/>
      <c r="BX458" s="3"/>
    </row>
    <row r="459" spans="1:76" x14ac:dyDescent="0.35">
      <c r="A459" s="3"/>
      <c r="B459" s="3" t="s">
        <v>1287</v>
      </c>
      <c r="C459" s="3" t="s">
        <v>1288</v>
      </c>
      <c r="D459" s="3"/>
      <c r="E459" s="3"/>
      <c r="F459" s="3"/>
      <c r="G459" s="3" t="s">
        <v>3861</v>
      </c>
      <c r="H459" s="3" t="s">
        <v>1289</v>
      </c>
      <c r="I459" s="3" t="b">
        <v>1</v>
      </c>
      <c r="J459" s="3" t="b">
        <v>1</v>
      </c>
      <c r="K459" s="3" t="b">
        <v>0</v>
      </c>
      <c r="L459" s="3" t="b">
        <v>1</v>
      </c>
      <c r="M459" s="3" t="b">
        <v>0</v>
      </c>
      <c r="N459" s="3" t="b">
        <f t="shared" si="12"/>
        <v>0</v>
      </c>
      <c r="O459" s="3" t="b">
        <f t="shared" si="13"/>
        <v>0</v>
      </c>
      <c r="P459" s="3" t="b">
        <f t="shared" si="14"/>
        <v>1</v>
      </c>
      <c r="Q459" s="3" t="b">
        <f t="shared" si="15"/>
        <v>0</v>
      </c>
      <c r="R459" s="3" t="b">
        <f t="shared" si="16"/>
        <v>0</v>
      </c>
      <c r="S459" s="3" t="b">
        <f t="shared" si="17"/>
        <v>0</v>
      </c>
      <c r="U459" s="3" t="s">
        <v>1290</v>
      </c>
      <c r="V459" s="3" t="b">
        <v>1</v>
      </c>
      <c r="W459" s="3" t="b">
        <v>1</v>
      </c>
      <c r="X459" s="3" t="b">
        <v>0</v>
      </c>
      <c r="Y459" s="3" t="b">
        <v>1</v>
      </c>
      <c r="Z459" s="3" t="b">
        <v>0</v>
      </c>
      <c r="AA459" s="3"/>
      <c r="AB459" s="3"/>
      <c r="AC459" s="3"/>
      <c r="AD459" s="3"/>
      <c r="AE459" s="3"/>
      <c r="AF459" s="3" t="s">
        <v>1289</v>
      </c>
      <c r="AG459" s="3" t="b">
        <v>1</v>
      </c>
      <c r="AH459" s="3" t="b">
        <v>1</v>
      </c>
      <c r="AI459" s="3" t="b">
        <v>0</v>
      </c>
      <c r="AJ459" s="3" t="b">
        <v>1</v>
      </c>
      <c r="AK459" s="3" t="b">
        <v>0</v>
      </c>
      <c r="AL459" s="3"/>
      <c r="AM459" s="3"/>
      <c r="AN459" s="3"/>
      <c r="AO459" s="3"/>
      <c r="AP459" s="3"/>
      <c r="AQ459" s="3" t="s">
        <v>1291</v>
      </c>
      <c r="AR459" s="3" t="b">
        <v>1</v>
      </c>
      <c r="AS459" s="3" t="b">
        <v>1</v>
      </c>
      <c r="AT459" s="3" t="b">
        <v>0</v>
      </c>
      <c r="AU459" s="3" t="b">
        <v>1</v>
      </c>
      <c r="AV459" s="3" t="b">
        <v>0</v>
      </c>
      <c r="AW459" s="3" t="b">
        <f t="shared" si="18"/>
        <v>0</v>
      </c>
      <c r="AX459" s="3" t="b">
        <f t="shared" si="19"/>
        <v>0</v>
      </c>
      <c r="AY459" s="3" t="b">
        <f t="shared" si="20"/>
        <v>1</v>
      </c>
      <c r="AZ459" s="3" t="b">
        <f t="shared" si="21"/>
        <v>0</v>
      </c>
      <c r="BA459" s="3" t="b">
        <f t="shared" si="22"/>
        <v>0</v>
      </c>
      <c r="BB459" s="3" t="b">
        <f t="shared" si="23"/>
        <v>0</v>
      </c>
      <c r="BC459" s="3"/>
      <c r="BD459" s="3" t="s">
        <v>1291</v>
      </c>
      <c r="BE459" s="3" t="b">
        <v>1</v>
      </c>
      <c r="BF459" s="3" t="b">
        <v>1</v>
      </c>
      <c r="BG459" s="3" t="b">
        <v>0</v>
      </c>
      <c r="BH459" s="3" t="b">
        <v>1</v>
      </c>
      <c r="BI459" s="3" t="b">
        <v>0</v>
      </c>
      <c r="BJ459" s="3"/>
      <c r="BK459" s="3"/>
      <c r="BL459" s="3"/>
      <c r="BM459" s="3"/>
      <c r="BN459" s="3"/>
      <c r="BO459" s="3" t="s">
        <v>1291</v>
      </c>
      <c r="BP459" s="3" t="b">
        <v>1</v>
      </c>
      <c r="BQ459" s="3" t="b">
        <v>1</v>
      </c>
      <c r="BR459" s="3" t="b">
        <v>0</v>
      </c>
      <c r="BS459" s="3" t="b">
        <v>1</v>
      </c>
      <c r="BT459" s="3" t="b">
        <v>0</v>
      </c>
      <c r="BU459" s="3"/>
      <c r="BV459" s="3"/>
      <c r="BW459" s="3"/>
      <c r="BX459" s="3"/>
    </row>
    <row r="460" spans="1:76" x14ac:dyDescent="0.35">
      <c r="A460" s="3"/>
      <c r="B460" s="3" t="s">
        <v>1292</v>
      </c>
      <c r="C460" s="3" t="s">
        <v>1293</v>
      </c>
      <c r="D460" s="3"/>
      <c r="E460" s="3"/>
      <c r="F460" s="3"/>
      <c r="G460" s="3" t="s">
        <v>3862</v>
      </c>
      <c r="H460" s="3"/>
      <c r="I460" s="3" t="b">
        <v>1</v>
      </c>
      <c r="J460" s="3" t="b">
        <v>0</v>
      </c>
      <c r="K460" s="3" t="b">
        <v>0</v>
      </c>
      <c r="L460" s="3" t="b">
        <v>0</v>
      </c>
      <c r="M460" s="3" t="b">
        <v>0</v>
      </c>
      <c r="N460" s="3" t="b">
        <f t="shared" si="12"/>
        <v>0</v>
      </c>
      <c r="O460" s="3" t="b">
        <f t="shared" si="13"/>
        <v>0</v>
      </c>
      <c r="P460" s="3" t="b">
        <f t="shared" si="14"/>
        <v>1</v>
      </c>
      <c r="Q460" s="3" t="b">
        <f t="shared" si="15"/>
        <v>0</v>
      </c>
      <c r="R460" s="3" t="b">
        <f t="shared" si="16"/>
        <v>0</v>
      </c>
      <c r="S460" s="3" t="b">
        <f t="shared" si="17"/>
        <v>0</v>
      </c>
      <c r="U460" s="3" t="s">
        <v>1295</v>
      </c>
      <c r="V460" s="3" t="b">
        <v>1</v>
      </c>
      <c r="W460" s="3" t="b">
        <v>0</v>
      </c>
      <c r="X460" s="3" t="b">
        <v>0</v>
      </c>
      <c r="Y460" s="3" t="b">
        <v>1</v>
      </c>
      <c r="Z460" s="3" t="b">
        <v>1</v>
      </c>
      <c r="AA460" s="3"/>
      <c r="AB460" s="3"/>
      <c r="AC460" s="3"/>
      <c r="AD460" s="3"/>
      <c r="AE460" s="3"/>
      <c r="AF460" s="3"/>
      <c r="AG460" s="3" t="b">
        <v>1</v>
      </c>
      <c r="AH460" s="3" t="b">
        <v>0</v>
      </c>
      <c r="AI460" s="3" t="b">
        <v>0</v>
      </c>
      <c r="AJ460" s="3" t="b">
        <v>0</v>
      </c>
      <c r="AK460" s="3" t="b">
        <v>0</v>
      </c>
      <c r="AL460" s="3"/>
      <c r="AM460" s="3"/>
      <c r="AN460" s="3"/>
      <c r="AO460" s="3"/>
      <c r="AP460" s="3"/>
      <c r="AQ460" s="3" t="s">
        <v>1296</v>
      </c>
      <c r="AR460" s="3" t="b">
        <v>1</v>
      </c>
      <c r="AS460" s="3" t="b">
        <v>1</v>
      </c>
      <c r="AT460" s="3" t="b">
        <v>1</v>
      </c>
      <c r="AU460" s="3" t="b">
        <v>0</v>
      </c>
      <c r="AV460" s="3" t="b">
        <v>1</v>
      </c>
      <c r="AW460" s="3" t="b">
        <f t="shared" si="18"/>
        <v>0</v>
      </c>
      <c r="AX460" s="3" t="b">
        <f t="shared" si="19"/>
        <v>0</v>
      </c>
      <c r="AY460" s="3" t="b">
        <f t="shared" si="20"/>
        <v>0</v>
      </c>
      <c r="AZ460" s="3" t="b">
        <f t="shared" si="21"/>
        <v>1</v>
      </c>
      <c r="BA460" s="3" t="b">
        <f t="shared" si="22"/>
        <v>0</v>
      </c>
      <c r="BB460" s="3" t="b">
        <f t="shared" si="23"/>
        <v>0</v>
      </c>
      <c r="BC460" s="3"/>
      <c r="BD460" s="3" t="s">
        <v>1297</v>
      </c>
      <c r="BE460" s="3" t="b">
        <v>1</v>
      </c>
      <c r="BF460" s="3" t="b">
        <v>1</v>
      </c>
      <c r="BG460" s="3" t="b">
        <v>1</v>
      </c>
      <c r="BH460" s="3" t="b">
        <v>0</v>
      </c>
      <c r="BI460" s="3" t="b">
        <v>1</v>
      </c>
      <c r="BJ460" s="3"/>
      <c r="BK460" s="3"/>
      <c r="BL460" s="3"/>
      <c r="BM460" s="3"/>
      <c r="BN460" s="3"/>
      <c r="BO460" s="3" t="s">
        <v>1298</v>
      </c>
      <c r="BP460" s="3" t="b">
        <v>1</v>
      </c>
      <c r="BQ460" s="3" t="b">
        <v>1</v>
      </c>
      <c r="BR460" s="3" t="b">
        <v>1</v>
      </c>
      <c r="BS460" s="3" t="b">
        <v>0</v>
      </c>
      <c r="BT460" s="3" t="b">
        <v>1</v>
      </c>
      <c r="BU460" s="3"/>
      <c r="BV460" s="3"/>
      <c r="BW460" s="3"/>
      <c r="BX460" s="3"/>
    </row>
    <row r="461" spans="1:76" x14ac:dyDescent="0.35">
      <c r="A461" s="3"/>
      <c r="B461" s="3" t="s">
        <v>1299</v>
      </c>
      <c r="C461" s="3" t="s">
        <v>1300</v>
      </c>
      <c r="D461" s="3"/>
      <c r="E461" s="3"/>
      <c r="F461" s="3"/>
      <c r="G461" s="3" t="s">
        <v>3863</v>
      </c>
      <c r="H461" s="3" t="s">
        <v>1302</v>
      </c>
      <c r="I461" s="3" t="b">
        <v>1</v>
      </c>
      <c r="J461" s="3" t="b">
        <v>1</v>
      </c>
      <c r="K461" s="3" t="b">
        <v>1</v>
      </c>
      <c r="L461" s="3" t="b">
        <v>1</v>
      </c>
      <c r="M461" s="3" t="b">
        <v>1</v>
      </c>
      <c r="N461" s="3" t="b">
        <f t="shared" si="12"/>
        <v>1</v>
      </c>
      <c r="O461" s="3" t="b">
        <f t="shared" si="13"/>
        <v>0</v>
      </c>
      <c r="P461" s="3" t="b">
        <f t="shared" si="14"/>
        <v>0</v>
      </c>
      <c r="Q461" s="3" t="b">
        <f t="shared" si="15"/>
        <v>0</v>
      </c>
      <c r="R461" s="3" t="b">
        <f t="shared" si="16"/>
        <v>0</v>
      </c>
      <c r="S461" s="3" t="b">
        <f t="shared" si="17"/>
        <v>0</v>
      </c>
      <c r="U461" s="3" t="s">
        <v>1303</v>
      </c>
      <c r="V461" s="3" t="b">
        <v>1</v>
      </c>
      <c r="W461" s="3" t="b">
        <v>1</v>
      </c>
      <c r="X461" s="3" t="b">
        <v>1</v>
      </c>
      <c r="Y461" s="3" t="b">
        <v>1</v>
      </c>
      <c r="Z461" s="3" t="b">
        <v>1</v>
      </c>
      <c r="AA461" s="3"/>
      <c r="AB461" s="3"/>
      <c r="AC461" s="3"/>
      <c r="AD461" s="3"/>
      <c r="AE461" s="3"/>
      <c r="AF461" s="3" t="s">
        <v>1302</v>
      </c>
      <c r="AG461" s="3" t="b">
        <v>1</v>
      </c>
      <c r="AH461" s="3" t="b">
        <v>1</v>
      </c>
      <c r="AI461" s="3" t="b">
        <v>1</v>
      </c>
      <c r="AJ461" s="3" t="b">
        <v>1</v>
      </c>
      <c r="AK461" s="3" t="b">
        <v>1</v>
      </c>
      <c r="AL461" s="3"/>
      <c r="AM461" s="3"/>
      <c r="AN461" s="3"/>
      <c r="AO461" s="3"/>
      <c r="AP461" s="3"/>
      <c r="AQ461" s="3" t="s">
        <v>1302</v>
      </c>
      <c r="AR461" s="3" t="b">
        <v>1</v>
      </c>
      <c r="AS461" s="3" t="b">
        <v>1</v>
      </c>
      <c r="AT461" s="3" t="b">
        <v>1</v>
      </c>
      <c r="AU461" s="3" t="b">
        <v>1</v>
      </c>
      <c r="AV461" s="3" t="b">
        <v>1</v>
      </c>
      <c r="AW461" s="3" t="b">
        <f t="shared" si="18"/>
        <v>1</v>
      </c>
      <c r="AX461" s="3" t="b">
        <f t="shared" si="19"/>
        <v>0</v>
      </c>
      <c r="AY461" s="3" t="b">
        <f t="shared" si="20"/>
        <v>0</v>
      </c>
      <c r="AZ461" s="3" t="b">
        <f t="shared" si="21"/>
        <v>0</v>
      </c>
      <c r="BA461" s="3" t="b">
        <f t="shared" si="22"/>
        <v>0</v>
      </c>
      <c r="BB461" s="3" t="b">
        <f t="shared" si="23"/>
        <v>0</v>
      </c>
      <c r="BC461" s="3"/>
      <c r="BD461" s="3" t="s">
        <v>1302</v>
      </c>
      <c r="BE461" s="3" t="b">
        <v>1</v>
      </c>
      <c r="BF461" s="3" t="b">
        <v>1</v>
      </c>
      <c r="BG461" s="3" t="b">
        <v>1</v>
      </c>
      <c r="BH461" s="3" t="b">
        <v>1</v>
      </c>
      <c r="BI461" s="3" t="b">
        <v>1</v>
      </c>
      <c r="BJ461" s="3"/>
      <c r="BK461" s="3"/>
      <c r="BL461" s="3"/>
      <c r="BM461" s="3"/>
      <c r="BN461" s="3"/>
      <c r="BO461" s="3" t="s">
        <v>1302</v>
      </c>
      <c r="BP461" s="3" t="b">
        <v>1</v>
      </c>
      <c r="BQ461" s="3" t="b">
        <v>1</v>
      </c>
      <c r="BR461" s="3" t="b">
        <v>1</v>
      </c>
      <c r="BS461" s="3" t="b">
        <v>1</v>
      </c>
      <c r="BT461" s="3" t="b">
        <v>1</v>
      </c>
      <c r="BU461" s="3"/>
      <c r="BV461" s="3"/>
      <c r="BW461" s="3"/>
      <c r="BX461" s="3"/>
    </row>
    <row r="462" spans="1:76" x14ac:dyDescent="0.35">
      <c r="A462" s="3"/>
      <c r="B462" s="3"/>
      <c r="C462" s="3"/>
      <c r="D462" s="3"/>
      <c r="E462" s="3"/>
      <c r="F462" s="3"/>
      <c r="G462" s="3"/>
      <c r="H462" s="3"/>
      <c r="I462" s="3"/>
      <c r="J462" s="3"/>
      <c r="K462" s="3"/>
      <c r="L462" s="3"/>
      <c r="M462" s="3"/>
      <c r="N462" s="3">
        <f t="shared" si="12"/>
        <v>0</v>
      </c>
      <c r="O462" s="3">
        <f t="shared" si="13"/>
        <v>0</v>
      </c>
      <c r="P462" s="3">
        <f t="shared" si="14"/>
        <v>0</v>
      </c>
      <c r="Q462" s="3">
        <f t="shared" si="15"/>
        <v>0</v>
      </c>
      <c r="R462" s="3">
        <f t="shared" si="16"/>
        <v>0</v>
      </c>
      <c r="S462" s="3">
        <f t="shared" si="17"/>
        <v>0</v>
      </c>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f t="shared" si="18"/>
        <v>0</v>
      </c>
      <c r="AX462" s="3">
        <f t="shared" si="19"/>
        <v>0</v>
      </c>
      <c r="AY462" s="3">
        <f t="shared" si="20"/>
        <v>0</v>
      </c>
      <c r="AZ462" s="3">
        <f t="shared" si="21"/>
        <v>0</v>
      </c>
      <c r="BA462" s="3">
        <f t="shared" si="22"/>
        <v>0</v>
      </c>
      <c r="BB462" s="3">
        <f t="shared" si="23"/>
        <v>0</v>
      </c>
      <c r="BC462" s="3"/>
      <c r="BD462" s="3"/>
      <c r="BE462" s="3"/>
      <c r="BF462" s="3"/>
      <c r="BG462" s="3"/>
      <c r="BH462" s="3"/>
      <c r="BI462" s="3"/>
      <c r="BJ462" s="3"/>
      <c r="BK462" s="3"/>
      <c r="BL462" s="3"/>
      <c r="BM462" s="3"/>
      <c r="BN462" s="3"/>
      <c r="BO462" s="3"/>
      <c r="BP462" s="3"/>
      <c r="BQ462" s="3"/>
      <c r="BR462" s="3"/>
      <c r="BS462" s="3"/>
      <c r="BT462" s="3"/>
      <c r="BU462" s="3"/>
      <c r="BV462" s="3"/>
      <c r="BW462" s="3"/>
      <c r="BX462" s="3"/>
    </row>
    <row r="463" spans="1:76" x14ac:dyDescent="0.35">
      <c r="A463" s="3" t="s">
        <v>1304</v>
      </c>
      <c r="B463" s="3" t="s">
        <v>1305</v>
      </c>
      <c r="C463" s="3" t="s">
        <v>25</v>
      </c>
      <c r="D463" s="3"/>
      <c r="E463" s="3"/>
      <c r="F463" s="3"/>
      <c r="G463" s="3" t="s">
        <v>3864</v>
      </c>
      <c r="H463" s="3" t="s">
        <v>28</v>
      </c>
      <c r="I463" s="3" t="b">
        <v>1</v>
      </c>
      <c r="J463" s="3" t="b">
        <v>1</v>
      </c>
      <c r="K463" s="3" t="b">
        <v>1</v>
      </c>
      <c r="L463" s="3" t="b">
        <v>1</v>
      </c>
      <c r="M463" s="3" t="b">
        <v>1</v>
      </c>
      <c r="N463" s="3" t="b">
        <f t="shared" si="12"/>
        <v>1</v>
      </c>
      <c r="O463" s="3" t="b">
        <f t="shared" si="13"/>
        <v>0</v>
      </c>
      <c r="P463" s="3" t="b">
        <f t="shared" si="14"/>
        <v>0</v>
      </c>
      <c r="Q463" s="3" t="b">
        <f t="shared" si="15"/>
        <v>0</v>
      </c>
      <c r="R463" s="3" t="b">
        <f t="shared" si="16"/>
        <v>0</v>
      </c>
      <c r="S463" s="3" t="b">
        <f t="shared" si="17"/>
        <v>0</v>
      </c>
      <c r="U463" s="3" t="s">
        <v>28</v>
      </c>
      <c r="V463" s="3" t="b">
        <v>1</v>
      </c>
      <c r="W463" s="3" t="b">
        <v>1</v>
      </c>
      <c r="X463" s="3" t="b">
        <v>1</v>
      </c>
      <c r="Y463" s="3" t="b">
        <v>1</v>
      </c>
      <c r="Z463" s="3" t="b">
        <v>1</v>
      </c>
      <c r="AA463" s="3"/>
      <c r="AB463" s="3"/>
      <c r="AC463" s="3"/>
      <c r="AD463" s="3"/>
      <c r="AE463" s="3"/>
      <c r="AF463" s="3" t="s">
        <v>460</v>
      </c>
      <c r="AG463" s="3" t="b">
        <v>1</v>
      </c>
      <c r="AH463" s="3" t="b">
        <v>1</v>
      </c>
      <c r="AI463" s="3" t="b">
        <v>1</v>
      </c>
      <c r="AJ463" s="3" t="b">
        <v>1</v>
      </c>
      <c r="AK463" s="3" t="b">
        <v>1</v>
      </c>
      <c r="AL463" s="3"/>
      <c r="AM463" s="3"/>
      <c r="AN463" s="3"/>
      <c r="AO463" s="3"/>
      <c r="AP463" s="3"/>
      <c r="AQ463" s="3" t="s">
        <v>28</v>
      </c>
      <c r="AR463" s="3" t="b">
        <v>1</v>
      </c>
      <c r="AS463" s="3" t="b">
        <v>1</v>
      </c>
      <c r="AT463" s="3" t="b">
        <v>1</v>
      </c>
      <c r="AU463" s="3" t="b">
        <v>1</v>
      </c>
      <c r="AV463" s="3" t="b">
        <v>1</v>
      </c>
      <c r="AW463" s="3" t="b">
        <f t="shared" si="18"/>
        <v>1</v>
      </c>
      <c r="AX463" s="3" t="b">
        <f t="shared" si="19"/>
        <v>0</v>
      </c>
      <c r="AY463" s="3" t="b">
        <f t="shared" si="20"/>
        <v>0</v>
      </c>
      <c r="AZ463" s="3" t="b">
        <f t="shared" si="21"/>
        <v>0</v>
      </c>
      <c r="BA463" s="3" t="b">
        <f t="shared" si="22"/>
        <v>0</v>
      </c>
      <c r="BB463" s="3" t="b">
        <f t="shared" si="23"/>
        <v>0</v>
      </c>
      <c r="BC463" s="3"/>
      <c r="BD463" s="3" t="s">
        <v>28</v>
      </c>
      <c r="BE463" s="3" t="b">
        <v>1</v>
      </c>
      <c r="BF463" s="3" t="b">
        <v>1</v>
      </c>
      <c r="BG463" s="3" t="b">
        <v>1</v>
      </c>
      <c r="BH463" s="3" t="b">
        <v>1</v>
      </c>
      <c r="BI463" s="3" t="b">
        <v>1</v>
      </c>
      <c r="BJ463" s="3"/>
      <c r="BK463" s="3"/>
      <c r="BL463" s="3"/>
      <c r="BM463" s="3"/>
      <c r="BN463" s="3"/>
      <c r="BO463" s="3" t="s">
        <v>28</v>
      </c>
      <c r="BP463" s="3" t="b">
        <v>1</v>
      </c>
      <c r="BQ463" s="3" t="b">
        <v>1</v>
      </c>
      <c r="BR463" s="3" t="b">
        <v>1</v>
      </c>
      <c r="BS463" s="3" t="b">
        <v>1</v>
      </c>
      <c r="BT463" s="3" t="b">
        <v>1</v>
      </c>
      <c r="BU463" s="3"/>
      <c r="BV463" s="3"/>
      <c r="BW463" s="3"/>
      <c r="BX463" s="3"/>
    </row>
    <row r="464" spans="1:76" x14ac:dyDescent="0.35">
      <c r="A464" s="3"/>
      <c r="B464" s="3"/>
      <c r="C464" s="3" t="s">
        <v>29</v>
      </c>
      <c r="D464" s="3"/>
      <c r="E464" s="3"/>
      <c r="F464" s="3"/>
      <c r="G464" s="3" t="s">
        <v>3865</v>
      </c>
      <c r="H464" s="3" t="s">
        <v>31</v>
      </c>
      <c r="I464" s="3" t="b">
        <v>1</v>
      </c>
      <c r="J464" s="3" t="b">
        <v>1</v>
      </c>
      <c r="K464" s="3" t="b">
        <v>1</v>
      </c>
      <c r="L464" s="3" t="b">
        <v>1</v>
      </c>
      <c r="M464" s="3" t="b">
        <v>1</v>
      </c>
      <c r="N464" s="3" t="b">
        <f t="shared" si="12"/>
        <v>1</v>
      </c>
      <c r="O464" s="3" t="b">
        <f t="shared" si="13"/>
        <v>0</v>
      </c>
      <c r="P464" s="3" t="b">
        <f t="shared" si="14"/>
        <v>0</v>
      </c>
      <c r="Q464" s="3" t="b">
        <f t="shared" si="15"/>
        <v>0</v>
      </c>
      <c r="R464" s="3" t="b">
        <f t="shared" si="16"/>
        <v>0</v>
      </c>
      <c r="S464" s="3" t="b">
        <f t="shared" si="17"/>
        <v>0</v>
      </c>
      <c r="U464" s="3" t="s">
        <v>31</v>
      </c>
      <c r="V464" s="3" t="b">
        <v>1</v>
      </c>
      <c r="W464" s="3" t="b">
        <v>1</v>
      </c>
      <c r="X464" s="3" t="b">
        <v>1</v>
      </c>
      <c r="Y464" s="3" t="b">
        <v>1</v>
      </c>
      <c r="Z464" s="3" t="b">
        <v>1</v>
      </c>
      <c r="AA464" s="3"/>
      <c r="AB464" s="3"/>
      <c r="AC464" s="3"/>
      <c r="AD464" s="3"/>
      <c r="AE464" s="3"/>
      <c r="AF464" s="3" t="s">
        <v>31</v>
      </c>
      <c r="AG464" s="3" t="b">
        <v>1</v>
      </c>
      <c r="AH464" s="3" t="b">
        <v>1</v>
      </c>
      <c r="AI464" s="3" t="b">
        <v>1</v>
      </c>
      <c r="AJ464" s="3" t="b">
        <v>1</v>
      </c>
      <c r="AK464" s="3" t="b">
        <v>1</v>
      </c>
      <c r="AL464" s="3"/>
      <c r="AM464" s="3"/>
      <c r="AN464" s="3"/>
      <c r="AO464" s="3"/>
      <c r="AP464" s="3"/>
      <c r="AQ464" s="3" t="s">
        <v>31</v>
      </c>
      <c r="AR464" s="3" t="b">
        <v>1</v>
      </c>
      <c r="AS464" s="3" t="b">
        <v>1</v>
      </c>
      <c r="AT464" s="3" t="b">
        <v>1</v>
      </c>
      <c r="AU464" s="3" t="b">
        <v>1</v>
      </c>
      <c r="AV464" s="3" t="b">
        <v>1</v>
      </c>
      <c r="AW464" s="3" t="b">
        <f t="shared" si="18"/>
        <v>1</v>
      </c>
      <c r="AX464" s="3" t="b">
        <f t="shared" si="19"/>
        <v>0</v>
      </c>
      <c r="AY464" s="3" t="b">
        <f t="shared" si="20"/>
        <v>0</v>
      </c>
      <c r="AZ464" s="3" t="b">
        <f t="shared" si="21"/>
        <v>0</v>
      </c>
      <c r="BA464" s="3" t="b">
        <f t="shared" si="22"/>
        <v>0</v>
      </c>
      <c r="BB464" s="3" t="b">
        <f t="shared" si="23"/>
        <v>0</v>
      </c>
      <c r="BC464" s="3"/>
      <c r="BD464" s="3" t="s">
        <v>31</v>
      </c>
      <c r="BE464" s="3" t="b">
        <v>1</v>
      </c>
      <c r="BF464" s="3" t="b">
        <v>1</v>
      </c>
      <c r="BG464" s="3" t="b">
        <v>1</v>
      </c>
      <c r="BH464" s="3" t="b">
        <v>1</v>
      </c>
      <c r="BI464" s="3" t="b">
        <v>1</v>
      </c>
      <c r="BJ464" s="3"/>
      <c r="BK464" s="3"/>
      <c r="BL464" s="3"/>
      <c r="BM464" s="3"/>
      <c r="BN464" s="3"/>
      <c r="BO464" s="3" t="s">
        <v>31</v>
      </c>
      <c r="BP464" s="3" t="b">
        <v>1</v>
      </c>
      <c r="BQ464" s="3" t="b">
        <v>1</v>
      </c>
      <c r="BR464" s="3" t="b">
        <v>1</v>
      </c>
      <c r="BS464" s="3" t="b">
        <v>1</v>
      </c>
      <c r="BT464" s="3" t="b">
        <v>1</v>
      </c>
      <c r="BU464" s="3"/>
      <c r="BV464" s="3"/>
      <c r="BW464" s="3"/>
      <c r="BX464" s="3"/>
    </row>
    <row r="465" spans="1:76" x14ac:dyDescent="0.35">
      <c r="A465" s="3"/>
      <c r="B465" s="3" t="s">
        <v>1308</v>
      </c>
      <c r="C465" s="3" t="s">
        <v>665</v>
      </c>
      <c r="D465" s="3" t="s">
        <v>1309</v>
      </c>
      <c r="E465" s="3" t="s">
        <v>1310</v>
      </c>
      <c r="F465" s="3"/>
      <c r="G465" s="3" t="s">
        <v>3866</v>
      </c>
      <c r="H465" s="3" t="s">
        <v>667</v>
      </c>
      <c r="I465" s="3" t="b">
        <v>1</v>
      </c>
      <c r="J465" s="3" t="b">
        <v>1</v>
      </c>
      <c r="K465" s="3" t="b">
        <v>1</v>
      </c>
      <c r="L465" s="3" t="b">
        <v>1</v>
      </c>
      <c r="M465" s="3" t="b">
        <v>1</v>
      </c>
      <c r="N465" s="3" t="b">
        <f t="shared" si="12"/>
        <v>1</v>
      </c>
      <c r="O465" s="3" t="b">
        <f t="shared" si="13"/>
        <v>0</v>
      </c>
      <c r="P465" s="3" t="b">
        <f t="shared" si="14"/>
        <v>0</v>
      </c>
      <c r="Q465" s="3" t="b">
        <f t="shared" si="15"/>
        <v>0</v>
      </c>
      <c r="R465" s="3" t="b">
        <f t="shared" si="16"/>
        <v>0</v>
      </c>
      <c r="S465" s="3" t="b">
        <f t="shared" si="17"/>
        <v>0</v>
      </c>
      <c r="U465" s="3" t="s">
        <v>1312</v>
      </c>
      <c r="V465" s="3" t="b">
        <v>1</v>
      </c>
      <c r="W465" s="3" t="b">
        <v>1</v>
      </c>
      <c r="X465" s="3" t="b">
        <v>1</v>
      </c>
      <c r="Y465" s="3" t="b">
        <v>1</v>
      </c>
      <c r="Z465" s="3" t="b">
        <v>1</v>
      </c>
      <c r="AA465" s="3"/>
      <c r="AB465" s="3"/>
      <c r="AC465" s="3"/>
      <c r="AD465" s="3"/>
      <c r="AE465" s="3"/>
      <c r="AF465" s="3" t="s">
        <v>673</v>
      </c>
      <c r="AG465" s="3" t="b">
        <v>1</v>
      </c>
      <c r="AH465" s="3" t="b">
        <v>1</v>
      </c>
      <c r="AI465" s="3" t="b">
        <v>1</v>
      </c>
      <c r="AJ465" s="3" t="b">
        <v>1</v>
      </c>
      <c r="AK465" s="3" t="b">
        <v>1</v>
      </c>
      <c r="AL465" s="3"/>
      <c r="AM465" s="3"/>
      <c r="AN465" s="3"/>
      <c r="AO465" s="3"/>
      <c r="AP465" s="3"/>
      <c r="AQ465" s="3" t="s">
        <v>668</v>
      </c>
      <c r="AR465" s="3" t="b">
        <v>1</v>
      </c>
      <c r="AS465" s="3" t="b">
        <v>1</v>
      </c>
      <c r="AT465" s="3" t="b">
        <v>1</v>
      </c>
      <c r="AU465" s="3" t="b">
        <v>1</v>
      </c>
      <c r="AV465" s="3" t="b">
        <v>1</v>
      </c>
      <c r="AW465" s="3" t="b">
        <f t="shared" si="18"/>
        <v>1</v>
      </c>
      <c r="AX465" s="3" t="b">
        <f t="shared" si="19"/>
        <v>0</v>
      </c>
      <c r="AY465" s="3" t="b">
        <f t="shared" si="20"/>
        <v>0</v>
      </c>
      <c r="AZ465" s="3" t="b">
        <f t="shared" si="21"/>
        <v>0</v>
      </c>
      <c r="BA465" s="3" t="b">
        <f t="shared" si="22"/>
        <v>0</v>
      </c>
      <c r="BB465" s="3" t="b">
        <f t="shared" si="23"/>
        <v>0</v>
      </c>
      <c r="BC465" s="3"/>
      <c r="BD465" s="3" t="s">
        <v>668</v>
      </c>
      <c r="BE465" s="3" t="b">
        <v>1</v>
      </c>
      <c r="BF465" s="3" t="b">
        <v>1</v>
      </c>
      <c r="BG465" s="3" t="b">
        <v>1</v>
      </c>
      <c r="BH465" s="3" t="b">
        <v>1</v>
      </c>
      <c r="BI465" s="3" t="b">
        <v>1</v>
      </c>
      <c r="BJ465" s="3"/>
      <c r="BK465" s="3"/>
      <c r="BL465" s="3"/>
      <c r="BM465" s="3"/>
      <c r="BN465" s="3"/>
      <c r="BO465" s="3" t="s">
        <v>668</v>
      </c>
      <c r="BP465" s="3" t="b">
        <v>1</v>
      </c>
      <c r="BQ465" s="3" t="b">
        <v>1</v>
      </c>
      <c r="BR465" s="3" t="b">
        <v>1</v>
      </c>
      <c r="BS465" s="3" t="b">
        <v>1</v>
      </c>
      <c r="BT465" s="3" t="b">
        <v>1</v>
      </c>
      <c r="BU465" s="3"/>
      <c r="BV465" s="3"/>
      <c r="BW465" s="3"/>
      <c r="BX465" s="3"/>
    </row>
    <row r="466" spans="1:76" x14ac:dyDescent="0.35">
      <c r="A466" s="3"/>
      <c r="B466" s="3"/>
      <c r="C466" s="3" t="s">
        <v>669</v>
      </c>
      <c r="D466" s="3"/>
      <c r="E466" s="3"/>
      <c r="F466" s="3"/>
      <c r="G466" s="3" t="s">
        <v>3867</v>
      </c>
      <c r="H466" s="3" t="s">
        <v>673</v>
      </c>
      <c r="I466" s="3" t="b">
        <v>1</v>
      </c>
      <c r="J466" s="3" t="b">
        <v>1</v>
      </c>
      <c r="K466" s="3" t="b">
        <v>1</v>
      </c>
      <c r="L466" s="3" t="b">
        <v>1</v>
      </c>
      <c r="M466" s="3" t="b">
        <v>1</v>
      </c>
      <c r="N466" s="3" t="b">
        <f t="shared" si="12"/>
        <v>1</v>
      </c>
      <c r="O466" s="3" t="b">
        <f t="shared" si="13"/>
        <v>0</v>
      </c>
      <c r="P466" s="3" t="b">
        <f t="shared" si="14"/>
        <v>0</v>
      </c>
      <c r="Q466" s="3" t="b">
        <f t="shared" si="15"/>
        <v>0</v>
      </c>
      <c r="R466" s="3" t="b">
        <f t="shared" si="16"/>
        <v>0</v>
      </c>
      <c r="S466" s="3" t="b">
        <f t="shared" si="17"/>
        <v>0</v>
      </c>
      <c r="U466" s="3" t="s">
        <v>673</v>
      </c>
      <c r="V466" s="3" t="b">
        <v>1</v>
      </c>
      <c r="W466" s="3" t="b">
        <v>1</v>
      </c>
      <c r="X466" s="3" t="b">
        <v>1</v>
      </c>
      <c r="Y466" s="3" t="b">
        <v>1</v>
      </c>
      <c r="Z466" s="3" t="b">
        <v>1</v>
      </c>
      <c r="AA466" s="3"/>
      <c r="AB466" s="3"/>
      <c r="AC466" s="3"/>
      <c r="AD466" s="3"/>
      <c r="AE466" s="3"/>
      <c r="AF466" s="3" t="s">
        <v>673</v>
      </c>
      <c r="AG466" s="3" t="b">
        <v>1</v>
      </c>
      <c r="AH466" s="3" t="b">
        <v>1</v>
      </c>
      <c r="AI466" s="3" t="b">
        <v>1</v>
      </c>
      <c r="AJ466" s="3" t="b">
        <v>1</v>
      </c>
      <c r="AK466" s="3" t="b">
        <v>1</v>
      </c>
      <c r="AL466" s="3"/>
      <c r="AM466" s="3"/>
      <c r="AN466" s="3"/>
      <c r="AO466" s="3"/>
      <c r="AP466" s="3"/>
      <c r="AQ466" s="3" t="s">
        <v>1314</v>
      </c>
      <c r="AR466" s="3" t="b">
        <v>1</v>
      </c>
      <c r="AS466" s="3" t="b">
        <v>1</v>
      </c>
      <c r="AT466" s="3" t="b">
        <v>1</v>
      </c>
      <c r="AU466" s="3" t="b">
        <v>1</v>
      </c>
      <c r="AV466" s="3" t="b">
        <v>1</v>
      </c>
      <c r="AW466" s="3" t="b">
        <f t="shared" si="18"/>
        <v>1</v>
      </c>
      <c r="AX466" s="3" t="b">
        <f t="shared" si="19"/>
        <v>0</v>
      </c>
      <c r="AY466" s="3" t="b">
        <f t="shared" si="20"/>
        <v>0</v>
      </c>
      <c r="AZ466" s="3" t="b">
        <f t="shared" si="21"/>
        <v>0</v>
      </c>
      <c r="BA466" s="3" t="b">
        <f t="shared" si="22"/>
        <v>0</v>
      </c>
      <c r="BB466" s="3" t="b">
        <f t="shared" si="23"/>
        <v>0</v>
      </c>
      <c r="BC466" s="3"/>
      <c r="BD466" s="3" t="s">
        <v>1315</v>
      </c>
      <c r="BE466" s="3" t="b">
        <v>1</v>
      </c>
      <c r="BF466" s="3" t="b">
        <v>1</v>
      </c>
      <c r="BG466" s="3" t="b">
        <v>1</v>
      </c>
      <c r="BH466" s="3" t="b">
        <v>1</v>
      </c>
      <c r="BI466" s="3" t="b">
        <v>1</v>
      </c>
      <c r="BJ466" s="3"/>
      <c r="BK466" s="3"/>
      <c r="BL466" s="3"/>
      <c r="BM466" s="3"/>
      <c r="BN466" s="3"/>
      <c r="BO466" s="3" t="s">
        <v>674</v>
      </c>
      <c r="BP466" s="3" t="b">
        <v>1</v>
      </c>
      <c r="BQ466" s="3" t="b">
        <v>1</v>
      </c>
      <c r="BR466" s="3" t="b">
        <v>1</v>
      </c>
      <c r="BS466" s="3" t="b">
        <v>1</v>
      </c>
      <c r="BT466" s="3" t="b">
        <v>1</v>
      </c>
      <c r="BU466" s="3"/>
      <c r="BV466" s="3"/>
      <c r="BW466" s="3"/>
      <c r="BX466" s="3"/>
    </row>
    <row r="467" spans="1:76" x14ac:dyDescent="0.35">
      <c r="A467" s="3"/>
      <c r="B467" s="3" t="s">
        <v>1316</v>
      </c>
      <c r="C467" s="3" t="s">
        <v>1317</v>
      </c>
      <c r="D467" s="3" t="s">
        <v>1318</v>
      </c>
      <c r="E467" s="3" t="s">
        <v>1319</v>
      </c>
      <c r="F467" s="3"/>
      <c r="G467" s="3" t="s">
        <v>3868</v>
      </c>
      <c r="H467" s="3" t="s">
        <v>1321</v>
      </c>
      <c r="I467" s="3" t="b">
        <v>1</v>
      </c>
      <c r="J467" s="3" t="b">
        <v>1</v>
      </c>
      <c r="K467" s="3" t="b">
        <v>1</v>
      </c>
      <c r="L467" s="3" t="b">
        <v>1</v>
      </c>
      <c r="M467" s="3" t="b">
        <v>1</v>
      </c>
      <c r="N467" s="3" t="b">
        <f t="shared" si="12"/>
        <v>1</v>
      </c>
      <c r="O467" s="3" t="b">
        <f t="shared" si="13"/>
        <v>0</v>
      </c>
      <c r="P467" s="3" t="b">
        <f t="shared" si="14"/>
        <v>0</v>
      </c>
      <c r="Q467" s="3" t="b">
        <f t="shared" si="15"/>
        <v>0</v>
      </c>
      <c r="R467" s="3" t="b">
        <f t="shared" si="16"/>
        <v>0</v>
      </c>
      <c r="S467" s="3" t="b">
        <f t="shared" si="17"/>
        <v>0</v>
      </c>
      <c r="U467" s="3" t="s">
        <v>1321</v>
      </c>
      <c r="V467" s="3" t="b">
        <v>1</v>
      </c>
      <c r="W467" s="3" t="b">
        <v>1</v>
      </c>
      <c r="X467" s="3" t="b">
        <v>1</v>
      </c>
      <c r="Y467" s="3" t="b">
        <v>1</v>
      </c>
      <c r="Z467" s="3" t="b">
        <v>1</v>
      </c>
      <c r="AA467" s="3"/>
      <c r="AB467" s="3"/>
      <c r="AC467" s="3"/>
      <c r="AD467" s="3"/>
      <c r="AE467" s="3"/>
      <c r="AF467" s="3" t="s">
        <v>1322</v>
      </c>
      <c r="AG467" s="3" t="b">
        <v>1</v>
      </c>
      <c r="AH467" s="3" t="b">
        <v>1</v>
      </c>
      <c r="AI467" s="3" t="b">
        <v>1</v>
      </c>
      <c r="AJ467" s="3" t="b">
        <v>1</v>
      </c>
      <c r="AK467" s="3" t="b">
        <v>1</v>
      </c>
      <c r="AL467" s="3"/>
      <c r="AM467" s="3"/>
      <c r="AN467" s="3"/>
      <c r="AO467" s="3"/>
      <c r="AP467" s="3"/>
      <c r="AQ467" s="3" t="s">
        <v>1322</v>
      </c>
      <c r="AR467" s="3" t="b">
        <v>1</v>
      </c>
      <c r="AS467" s="3" t="b">
        <v>1</v>
      </c>
      <c r="AT467" s="3" t="b">
        <v>1</v>
      </c>
      <c r="AU467" s="3" t="b">
        <v>1</v>
      </c>
      <c r="AV467" s="3" t="b">
        <v>1</v>
      </c>
      <c r="AW467" s="3" t="b">
        <f t="shared" si="18"/>
        <v>1</v>
      </c>
      <c r="AX467" s="3" t="b">
        <f t="shared" si="19"/>
        <v>0</v>
      </c>
      <c r="AY467" s="3" t="b">
        <f t="shared" si="20"/>
        <v>0</v>
      </c>
      <c r="AZ467" s="3" t="b">
        <f t="shared" si="21"/>
        <v>0</v>
      </c>
      <c r="BA467" s="3" t="b">
        <f t="shared" si="22"/>
        <v>0</v>
      </c>
      <c r="BB467" s="3" t="b">
        <f t="shared" si="23"/>
        <v>0</v>
      </c>
      <c r="BC467" s="3"/>
      <c r="BD467" s="3" t="s">
        <v>1322</v>
      </c>
      <c r="BE467" s="3" t="b">
        <v>1</v>
      </c>
      <c r="BF467" s="3" t="b">
        <v>1</v>
      </c>
      <c r="BG467" s="3" t="b">
        <v>1</v>
      </c>
      <c r="BH467" s="3" t="b">
        <v>1</v>
      </c>
      <c r="BI467" s="3" t="b">
        <v>1</v>
      </c>
      <c r="BJ467" s="3"/>
      <c r="BK467" s="3"/>
      <c r="BL467" s="3"/>
      <c r="BM467" s="3"/>
      <c r="BN467" s="3"/>
      <c r="BO467" s="3" t="s">
        <v>1322</v>
      </c>
      <c r="BP467" s="3" t="b">
        <v>1</v>
      </c>
      <c r="BQ467" s="3" t="b">
        <v>1</v>
      </c>
      <c r="BR467" s="3" t="b">
        <v>1</v>
      </c>
      <c r="BS467" s="3" t="b">
        <v>1</v>
      </c>
      <c r="BT467" s="3" t="b">
        <v>1</v>
      </c>
      <c r="BU467" s="3"/>
      <c r="BV467" s="3"/>
      <c r="BW467" s="3"/>
      <c r="BX467" s="3"/>
    </row>
    <row r="468" spans="1:76" x14ac:dyDescent="0.35">
      <c r="A468" s="3"/>
      <c r="B468" s="3" t="s">
        <v>188</v>
      </c>
      <c r="C468" s="3"/>
      <c r="D468" s="3"/>
      <c r="E468" s="3"/>
      <c r="F468" s="3"/>
      <c r="G468" s="3"/>
      <c r="H468" s="3"/>
      <c r="I468" s="3"/>
      <c r="J468" s="3"/>
      <c r="K468" s="3"/>
      <c r="L468" s="3"/>
      <c r="M468" s="3"/>
      <c r="N468" s="3">
        <f t="shared" si="12"/>
        <v>0</v>
      </c>
      <c r="O468" s="3">
        <f t="shared" si="13"/>
        <v>0</v>
      </c>
      <c r="P468" s="3">
        <f t="shared" si="14"/>
        <v>0</v>
      </c>
      <c r="Q468" s="3">
        <f t="shared" si="15"/>
        <v>0</v>
      </c>
      <c r="R468" s="3">
        <f t="shared" si="16"/>
        <v>0</v>
      </c>
      <c r="S468" s="3">
        <f t="shared" si="17"/>
        <v>0</v>
      </c>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f t="shared" si="18"/>
        <v>0</v>
      </c>
      <c r="AX468" s="3">
        <f t="shared" si="19"/>
        <v>0</v>
      </c>
      <c r="AY468" s="3">
        <f t="shared" si="20"/>
        <v>0</v>
      </c>
      <c r="AZ468" s="3">
        <f t="shared" si="21"/>
        <v>0</v>
      </c>
      <c r="BA468" s="3">
        <f t="shared" si="22"/>
        <v>0</v>
      </c>
      <c r="BB468" s="3">
        <f t="shared" si="23"/>
        <v>0</v>
      </c>
      <c r="BC468" s="3"/>
      <c r="BD468" s="3"/>
      <c r="BE468" s="3"/>
      <c r="BF468" s="3"/>
      <c r="BG468" s="3"/>
      <c r="BH468" s="3"/>
      <c r="BI468" s="3"/>
      <c r="BJ468" s="3"/>
      <c r="BK468" s="3"/>
      <c r="BL468" s="3"/>
      <c r="BM468" s="3"/>
      <c r="BN468" s="3"/>
      <c r="BO468" s="3"/>
      <c r="BP468" s="3"/>
      <c r="BQ468" s="3"/>
      <c r="BR468" s="3"/>
      <c r="BS468" s="3"/>
      <c r="BT468" s="3"/>
      <c r="BU468" s="3"/>
      <c r="BV468" s="3"/>
      <c r="BW468" s="3"/>
      <c r="BX468" s="3"/>
    </row>
    <row r="469" spans="1:76" x14ac:dyDescent="0.35">
      <c r="A469" s="3"/>
      <c r="B469" s="3" t="s">
        <v>136</v>
      </c>
      <c r="C469" s="3"/>
      <c r="D469" s="3"/>
      <c r="E469" s="3"/>
      <c r="F469" s="3"/>
      <c r="G469" s="3"/>
      <c r="H469" s="3"/>
      <c r="I469" s="3"/>
      <c r="J469" s="3"/>
      <c r="K469" s="3"/>
      <c r="L469" s="3"/>
      <c r="M469" s="3"/>
      <c r="N469" s="3">
        <f t="shared" si="12"/>
        <v>0</v>
      </c>
      <c r="O469" s="3">
        <f t="shared" si="13"/>
        <v>0</v>
      </c>
      <c r="P469" s="3">
        <f t="shared" si="14"/>
        <v>0</v>
      </c>
      <c r="Q469" s="3">
        <f t="shared" si="15"/>
        <v>0</v>
      </c>
      <c r="R469" s="3">
        <f t="shared" si="16"/>
        <v>0</v>
      </c>
      <c r="S469" s="3">
        <f t="shared" si="17"/>
        <v>0</v>
      </c>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f t="shared" si="18"/>
        <v>0</v>
      </c>
      <c r="AX469" s="3">
        <f t="shared" si="19"/>
        <v>0</v>
      </c>
      <c r="AY469" s="3">
        <f t="shared" si="20"/>
        <v>0</v>
      </c>
      <c r="AZ469" s="3">
        <f t="shared" si="21"/>
        <v>0</v>
      </c>
      <c r="BA469" s="3">
        <f t="shared" si="22"/>
        <v>0</v>
      </c>
      <c r="BB469" s="3">
        <f t="shared" si="23"/>
        <v>0</v>
      </c>
      <c r="BC469" s="3"/>
      <c r="BD469" s="3"/>
      <c r="BE469" s="3"/>
      <c r="BF469" s="3"/>
      <c r="BG469" s="3"/>
      <c r="BH469" s="3"/>
      <c r="BI469" s="3"/>
      <c r="BJ469" s="3"/>
      <c r="BK469" s="3"/>
      <c r="BL469" s="3"/>
      <c r="BM469" s="3"/>
      <c r="BN469" s="3"/>
      <c r="BO469" s="3"/>
      <c r="BP469" s="3"/>
      <c r="BQ469" s="3"/>
      <c r="BR469" s="3"/>
      <c r="BS469" s="3"/>
      <c r="BT469" s="3"/>
      <c r="BU469" s="3"/>
      <c r="BV469" s="3"/>
      <c r="BW469" s="3"/>
      <c r="BX469" s="3"/>
    </row>
    <row r="470" spans="1:76" x14ac:dyDescent="0.35">
      <c r="A470" s="3"/>
      <c r="B470" s="3" t="s">
        <v>1323</v>
      </c>
      <c r="C470" s="3" t="s">
        <v>1324</v>
      </c>
      <c r="D470" s="3"/>
      <c r="E470" s="3"/>
      <c r="F470" s="3"/>
      <c r="G470" s="3" t="s">
        <v>3869</v>
      </c>
      <c r="H470" s="3" t="s">
        <v>1326</v>
      </c>
      <c r="I470" s="3" t="b">
        <v>1</v>
      </c>
      <c r="J470" s="3" t="b">
        <v>1</v>
      </c>
      <c r="K470" s="3" t="b">
        <v>1</v>
      </c>
      <c r="L470" s="3" t="b">
        <v>1</v>
      </c>
      <c r="M470" s="3" t="b">
        <v>1</v>
      </c>
      <c r="N470" s="3" t="b">
        <f t="shared" si="12"/>
        <v>1</v>
      </c>
      <c r="O470" s="3" t="b">
        <f t="shared" si="13"/>
        <v>0</v>
      </c>
      <c r="P470" s="3" t="b">
        <f t="shared" si="14"/>
        <v>0</v>
      </c>
      <c r="Q470" s="3" t="b">
        <f t="shared" si="15"/>
        <v>0</v>
      </c>
      <c r="R470" s="3" t="b">
        <f t="shared" si="16"/>
        <v>0</v>
      </c>
      <c r="S470" s="3" t="b">
        <f t="shared" si="17"/>
        <v>0</v>
      </c>
      <c r="U470" s="3" t="s">
        <v>1326</v>
      </c>
      <c r="V470" s="3" t="b">
        <v>1</v>
      </c>
      <c r="W470" s="3" t="b">
        <v>1</v>
      </c>
      <c r="X470" s="3" t="b">
        <v>1</v>
      </c>
      <c r="Y470" s="3" t="b">
        <v>1</v>
      </c>
      <c r="Z470" s="3" t="b">
        <v>1</v>
      </c>
      <c r="AA470" s="3"/>
      <c r="AB470" s="3"/>
      <c r="AC470" s="3"/>
      <c r="AD470" s="3"/>
      <c r="AE470" s="3"/>
      <c r="AF470" s="3"/>
      <c r="AG470" s="3" t="b">
        <v>1</v>
      </c>
      <c r="AH470" s="3" t="b">
        <v>0</v>
      </c>
      <c r="AI470" s="3" t="b">
        <v>0</v>
      </c>
      <c r="AJ470" s="3" t="b">
        <v>0</v>
      </c>
      <c r="AK470" s="3" t="b">
        <v>0</v>
      </c>
      <c r="AL470" s="3"/>
      <c r="AM470" s="3"/>
      <c r="AN470" s="3"/>
      <c r="AO470" s="3"/>
      <c r="AP470" s="3"/>
      <c r="AQ470" s="3" t="s">
        <v>1327</v>
      </c>
      <c r="AR470" s="3" t="b">
        <v>1</v>
      </c>
      <c r="AS470" s="3" t="b">
        <v>1</v>
      </c>
      <c r="AT470" s="3" t="b">
        <v>1</v>
      </c>
      <c r="AU470" s="3" t="b">
        <v>1</v>
      </c>
      <c r="AV470" s="3" t="b">
        <v>1</v>
      </c>
      <c r="AW470" s="3" t="b">
        <f t="shared" si="18"/>
        <v>1</v>
      </c>
      <c r="AX470" s="3" t="b">
        <f t="shared" si="19"/>
        <v>0</v>
      </c>
      <c r="AY470" s="3" t="b">
        <f t="shared" si="20"/>
        <v>0</v>
      </c>
      <c r="AZ470" s="3" t="b">
        <f t="shared" si="21"/>
        <v>0</v>
      </c>
      <c r="BA470" s="3" t="b">
        <f t="shared" si="22"/>
        <v>0</v>
      </c>
      <c r="BB470" s="3" t="b">
        <f t="shared" si="23"/>
        <v>0</v>
      </c>
      <c r="BC470" s="3"/>
      <c r="BD470" s="3" t="s">
        <v>1327</v>
      </c>
      <c r="BE470" s="3" t="b">
        <v>1</v>
      </c>
      <c r="BF470" s="3" t="b">
        <v>1</v>
      </c>
      <c r="BG470" s="3" t="b">
        <v>1</v>
      </c>
      <c r="BH470" s="3" t="b">
        <v>1</v>
      </c>
      <c r="BI470" s="3" t="b">
        <v>1</v>
      </c>
      <c r="BJ470" s="3"/>
      <c r="BK470" s="3"/>
      <c r="BL470" s="3"/>
      <c r="BM470" s="3"/>
      <c r="BN470" s="3"/>
      <c r="BO470" s="3" t="s">
        <v>1327</v>
      </c>
      <c r="BP470" s="3" t="b">
        <v>1</v>
      </c>
      <c r="BQ470" s="3" t="b">
        <v>1</v>
      </c>
      <c r="BR470" s="3" t="b">
        <v>1</v>
      </c>
      <c r="BS470" s="3" t="b">
        <v>1</v>
      </c>
      <c r="BT470" s="3" t="b">
        <v>1</v>
      </c>
      <c r="BU470" s="3"/>
      <c r="BV470" s="3"/>
      <c r="BW470" s="3"/>
      <c r="BX470" s="3"/>
    </row>
    <row r="471" spans="1:76" x14ac:dyDescent="0.35">
      <c r="A471" s="3"/>
      <c r="B471" s="3"/>
      <c r="C471" s="3" t="s">
        <v>1328</v>
      </c>
      <c r="D471" s="3"/>
      <c r="E471" s="3"/>
      <c r="F471" s="3"/>
      <c r="G471" s="3" t="s">
        <v>3870</v>
      </c>
      <c r="H471" s="3" t="s">
        <v>1330</v>
      </c>
      <c r="I471" s="3" t="b">
        <v>1</v>
      </c>
      <c r="J471" s="3" t="b">
        <v>1</v>
      </c>
      <c r="K471" s="3" t="b">
        <v>1</v>
      </c>
      <c r="L471" s="3" t="b">
        <v>1</v>
      </c>
      <c r="M471" s="3" t="b">
        <v>1</v>
      </c>
      <c r="N471" s="3" t="b">
        <f t="shared" si="12"/>
        <v>1</v>
      </c>
      <c r="O471" s="3" t="b">
        <f t="shared" si="13"/>
        <v>0</v>
      </c>
      <c r="P471" s="3" t="b">
        <f t="shared" si="14"/>
        <v>0</v>
      </c>
      <c r="Q471" s="3" t="b">
        <f t="shared" si="15"/>
        <v>0</v>
      </c>
      <c r="R471" s="3" t="b">
        <f t="shared" si="16"/>
        <v>0</v>
      </c>
      <c r="S471" s="3" t="b">
        <f t="shared" si="17"/>
        <v>0</v>
      </c>
      <c r="U471" s="3" t="s">
        <v>1330</v>
      </c>
      <c r="V471" s="3" t="b">
        <v>1</v>
      </c>
      <c r="W471" s="3" t="b">
        <v>1</v>
      </c>
      <c r="X471" s="3" t="b">
        <v>1</v>
      </c>
      <c r="Y471" s="3" t="b">
        <v>1</v>
      </c>
      <c r="Z471" s="3" t="b">
        <v>1</v>
      </c>
      <c r="AA471" s="3"/>
      <c r="AB471" s="3"/>
      <c r="AC471" s="3"/>
      <c r="AD471" s="3"/>
      <c r="AE471" s="3"/>
      <c r="AF471" s="3" t="s">
        <v>1330</v>
      </c>
      <c r="AG471" s="3" t="b">
        <v>1</v>
      </c>
      <c r="AH471" s="3" t="b">
        <v>1</v>
      </c>
      <c r="AI471" s="3" t="b">
        <v>1</v>
      </c>
      <c r="AJ471" s="3" t="b">
        <v>1</v>
      </c>
      <c r="AK471" s="3" t="b">
        <v>1</v>
      </c>
      <c r="AL471" s="3"/>
      <c r="AM471" s="3"/>
      <c r="AN471" s="3"/>
      <c r="AO471" s="3"/>
      <c r="AP471" s="3"/>
      <c r="AQ471" s="3" t="s">
        <v>1331</v>
      </c>
      <c r="AR471" s="3" t="b">
        <v>1</v>
      </c>
      <c r="AS471" s="3" t="b">
        <v>1</v>
      </c>
      <c r="AT471" s="3" t="b">
        <v>1</v>
      </c>
      <c r="AU471" s="3" t="b">
        <v>0</v>
      </c>
      <c r="AV471" s="3" t="b">
        <v>1</v>
      </c>
      <c r="AW471" s="3" t="b">
        <f t="shared" si="18"/>
        <v>0</v>
      </c>
      <c r="AX471" s="3" t="b">
        <f t="shared" si="19"/>
        <v>0</v>
      </c>
      <c r="AY471" s="3" t="b">
        <f t="shared" si="20"/>
        <v>0</v>
      </c>
      <c r="AZ471" s="3" t="b">
        <f t="shared" si="21"/>
        <v>1</v>
      </c>
      <c r="BA471" s="3" t="b">
        <f t="shared" si="22"/>
        <v>0</v>
      </c>
      <c r="BB471" s="3" t="b">
        <f t="shared" si="23"/>
        <v>0</v>
      </c>
      <c r="BC471" s="3"/>
      <c r="BD471" s="3" t="s">
        <v>1332</v>
      </c>
      <c r="BE471" s="3" t="b">
        <v>1</v>
      </c>
      <c r="BF471" s="3" t="b">
        <v>1</v>
      </c>
      <c r="BG471" s="3" t="b">
        <v>1</v>
      </c>
      <c r="BH471" s="3" t="b">
        <v>1</v>
      </c>
      <c r="BI471" s="3" t="b">
        <v>1</v>
      </c>
      <c r="BJ471" s="3"/>
      <c r="BK471" s="3"/>
      <c r="BL471" s="3"/>
      <c r="BM471" s="3"/>
      <c r="BN471" s="3"/>
      <c r="BO471" s="3" t="s">
        <v>1331</v>
      </c>
      <c r="BP471" s="3" t="b">
        <v>1</v>
      </c>
      <c r="BQ471" s="3" t="b">
        <v>1</v>
      </c>
      <c r="BR471" s="3" t="b">
        <v>1</v>
      </c>
      <c r="BS471" s="3" t="b">
        <v>0</v>
      </c>
      <c r="BT471" s="3" t="b">
        <v>1</v>
      </c>
      <c r="BU471" s="3"/>
      <c r="BV471" s="3"/>
      <c r="BW471" s="3"/>
      <c r="BX471" s="3"/>
    </row>
    <row r="472" spans="1:76" x14ac:dyDescent="0.35">
      <c r="A472" s="3"/>
      <c r="B472" s="3" t="s">
        <v>1333</v>
      </c>
      <c r="C472" s="3"/>
      <c r="D472" s="3"/>
      <c r="E472" s="3"/>
      <c r="F472" s="3"/>
      <c r="G472" s="3"/>
      <c r="H472" s="3"/>
      <c r="I472" s="3"/>
      <c r="J472" s="3"/>
      <c r="K472" s="3"/>
      <c r="L472" s="3"/>
      <c r="M472" s="3"/>
      <c r="N472" s="3">
        <f t="shared" si="12"/>
        <v>0</v>
      </c>
      <c r="O472" s="3">
        <f t="shared" si="13"/>
        <v>0</v>
      </c>
      <c r="P472" s="3">
        <f t="shared" si="14"/>
        <v>0</v>
      </c>
      <c r="Q472" s="3">
        <f t="shared" si="15"/>
        <v>0</v>
      </c>
      <c r="R472" s="3">
        <f t="shared" si="16"/>
        <v>0</v>
      </c>
      <c r="S472" s="3">
        <f t="shared" si="17"/>
        <v>0</v>
      </c>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f t="shared" si="18"/>
        <v>0</v>
      </c>
      <c r="AX472" s="3">
        <f t="shared" si="19"/>
        <v>0</v>
      </c>
      <c r="AY472" s="3">
        <f t="shared" si="20"/>
        <v>0</v>
      </c>
      <c r="AZ472" s="3">
        <f t="shared" si="21"/>
        <v>0</v>
      </c>
      <c r="BA472" s="3">
        <f t="shared" si="22"/>
        <v>0</v>
      </c>
      <c r="BB472" s="3">
        <f t="shared" si="23"/>
        <v>0</v>
      </c>
      <c r="BC472" s="3"/>
      <c r="BD472" s="3"/>
      <c r="BE472" s="3"/>
      <c r="BF472" s="3"/>
      <c r="BG472" s="3"/>
      <c r="BH472" s="3"/>
      <c r="BI472" s="3"/>
      <c r="BJ472" s="3"/>
      <c r="BK472" s="3"/>
      <c r="BL472" s="3"/>
      <c r="BM472" s="3"/>
      <c r="BN472" s="3"/>
      <c r="BO472" s="3"/>
      <c r="BP472" s="3"/>
      <c r="BQ472" s="3"/>
      <c r="BR472" s="3"/>
      <c r="BS472" s="3"/>
      <c r="BT472" s="3"/>
      <c r="BU472" s="3"/>
      <c r="BV472" s="3"/>
      <c r="BW472" s="3"/>
      <c r="BX472" s="3"/>
    </row>
    <row r="473" spans="1:76" x14ac:dyDescent="0.35">
      <c r="A473" s="3"/>
      <c r="B473" s="3" t="s">
        <v>1334</v>
      </c>
      <c r="C473" s="3" t="s">
        <v>1335</v>
      </c>
      <c r="D473" s="3"/>
      <c r="E473" s="3"/>
      <c r="F473" s="3"/>
      <c r="G473" s="3" t="s">
        <v>3871</v>
      </c>
      <c r="H473" s="3" t="s">
        <v>1337</v>
      </c>
      <c r="I473" s="3" t="b">
        <v>1</v>
      </c>
      <c r="J473" s="3" t="b">
        <v>1</v>
      </c>
      <c r="K473" s="3" t="b">
        <v>1</v>
      </c>
      <c r="L473" s="3" t="b">
        <v>1</v>
      </c>
      <c r="M473" s="3" t="b">
        <v>1</v>
      </c>
      <c r="N473" s="3" t="b">
        <f t="shared" si="12"/>
        <v>1</v>
      </c>
      <c r="O473" s="3" t="b">
        <f t="shared" si="13"/>
        <v>0</v>
      </c>
      <c r="P473" s="3" t="b">
        <f t="shared" si="14"/>
        <v>0</v>
      </c>
      <c r="Q473" s="3" t="b">
        <f t="shared" si="15"/>
        <v>0</v>
      </c>
      <c r="R473" s="3" t="b">
        <f t="shared" si="16"/>
        <v>0</v>
      </c>
      <c r="S473" s="3" t="b">
        <f t="shared" si="17"/>
        <v>0</v>
      </c>
      <c r="U473" s="3" t="s">
        <v>1338</v>
      </c>
      <c r="V473" s="3" t="b">
        <v>1</v>
      </c>
      <c r="W473" s="3" t="b">
        <v>1</v>
      </c>
      <c r="X473" s="3" t="b">
        <v>1</v>
      </c>
      <c r="Y473" s="3" t="b">
        <v>0</v>
      </c>
      <c r="Z473" s="3" t="b">
        <v>1</v>
      </c>
      <c r="AA473" s="3"/>
      <c r="AB473" s="3"/>
      <c r="AC473" s="3"/>
      <c r="AD473" s="3"/>
      <c r="AE473" s="3"/>
      <c r="AF473" s="3" t="s">
        <v>1337</v>
      </c>
      <c r="AG473" s="3" t="b">
        <v>1</v>
      </c>
      <c r="AH473" s="3" t="b">
        <v>1</v>
      </c>
      <c r="AI473" s="3" t="b">
        <v>1</v>
      </c>
      <c r="AJ473" s="3" t="b">
        <v>1</v>
      </c>
      <c r="AK473" s="3" t="b">
        <v>1</v>
      </c>
      <c r="AL473" s="3"/>
      <c r="AM473" s="3"/>
      <c r="AN473" s="3"/>
      <c r="AO473" s="3"/>
      <c r="AP473" s="3"/>
      <c r="AQ473" s="3" t="s">
        <v>1339</v>
      </c>
      <c r="AR473" s="3" t="b">
        <v>1</v>
      </c>
      <c r="AS473" s="3" t="b">
        <v>1</v>
      </c>
      <c r="AT473" s="3" t="b">
        <v>1</v>
      </c>
      <c r="AU473" s="3" t="b">
        <v>1</v>
      </c>
      <c r="AV473" s="3" t="b">
        <v>1</v>
      </c>
      <c r="AW473" s="3" t="b">
        <f t="shared" si="18"/>
        <v>1</v>
      </c>
      <c r="AX473" s="3" t="b">
        <f t="shared" si="19"/>
        <v>0</v>
      </c>
      <c r="AY473" s="3" t="b">
        <f t="shared" si="20"/>
        <v>0</v>
      </c>
      <c r="AZ473" s="3" t="b">
        <f t="shared" si="21"/>
        <v>0</v>
      </c>
      <c r="BA473" s="3" t="b">
        <f t="shared" si="22"/>
        <v>0</v>
      </c>
      <c r="BB473" s="3" t="b">
        <f t="shared" si="23"/>
        <v>0</v>
      </c>
      <c r="BC473" s="3"/>
      <c r="BD473" s="3" t="s">
        <v>1339</v>
      </c>
      <c r="BE473" s="3" t="b">
        <v>1</v>
      </c>
      <c r="BF473" s="3" t="b">
        <v>1</v>
      </c>
      <c r="BG473" s="3" t="b">
        <v>1</v>
      </c>
      <c r="BH473" s="3" t="b">
        <v>1</v>
      </c>
      <c r="BI473" s="3" t="b">
        <v>1</v>
      </c>
      <c r="BJ473" s="3"/>
      <c r="BK473" s="3"/>
      <c r="BL473" s="3"/>
      <c r="BM473" s="3"/>
      <c r="BN473" s="3"/>
      <c r="BO473" s="3" t="s">
        <v>1339</v>
      </c>
      <c r="BP473" s="3" t="b">
        <v>1</v>
      </c>
      <c r="BQ473" s="3" t="b">
        <v>1</v>
      </c>
      <c r="BR473" s="3" t="b">
        <v>1</v>
      </c>
      <c r="BS473" s="3" t="b">
        <v>1</v>
      </c>
      <c r="BT473" s="3" t="b">
        <v>1</v>
      </c>
      <c r="BU473" s="3"/>
      <c r="BV473" s="3"/>
      <c r="BW473" s="3"/>
      <c r="BX473" s="3"/>
    </row>
    <row r="474" spans="1:76" x14ac:dyDescent="0.35">
      <c r="A474" s="3"/>
      <c r="B474" s="3"/>
      <c r="C474" s="3" t="s">
        <v>1340</v>
      </c>
      <c r="D474" s="3"/>
      <c r="E474" s="3"/>
      <c r="F474" s="3"/>
      <c r="G474" s="3" t="s">
        <v>3872</v>
      </c>
      <c r="H474" s="3" t="s">
        <v>1342</v>
      </c>
      <c r="I474" s="3" t="b">
        <v>1</v>
      </c>
      <c r="J474" s="3" t="b">
        <v>0</v>
      </c>
      <c r="K474" s="3" t="b">
        <v>0</v>
      </c>
      <c r="L474" s="3" t="b">
        <v>1</v>
      </c>
      <c r="M474" s="3" t="b">
        <v>0</v>
      </c>
      <c r="N474" s="3" t="b">
        <f t="shared" si="12"/>
        <v>0</v>
      </c>
      <c r="O474" s="3" t="b">
        <f t="shared" si="13"/>
        <v>0</v>
      </c>
      <c r="P474" s="3" t="b">
        <f t="shared" si="14"/>
        <v>1</v>
      </c>
      <c r="Q474" s="3" t="b">
        <f t="shared" si="15"/>
        <v>0</v>
      </c>
      <c r="R474" s="3" t="b">
        <f t="shared" si="16"/>
        <v>0</v>
      </c>
      <c r="S474" s="3" t="b">
        <f t="shared" si="17"/>
        <v>0</v>
      </c>
      <c r="U474" s="3" t="s">
        <v>1342</v>
      </c>
      <c r="V474" s="3" t="b">
        <v>1</v>
      </c>
      <c r="W474" s="3" t="b">
        <v>0</v>
      </c>
      <c r="X474" s="3" t="b">
        <v>0</v>
      </c>
      <c r="Y474" s="3" t="b">
        <v>1</v>
      </c>
      <c r="Z474" s="3" t="b">
        <v>0</v>
      </c>
      <c r="AA474" s="3"/>
      <c r="AB474" s="3"/>
      <c r="AC474" s="3"/>
      <c r="AD474" s="3"/>
      <c r="AE474" s="3"/>
      <c r="AF474" s="3" t="s">
        <v>1342</v>
      </c>
      <c r="AG474" s="3" t="b">
        <v>1</v>
      </c>
      <c r="AH474" s="3" t="b">
        <v>0</v>
      </c>
      <c r="AI474" s="3" t="b">
        <v>0</v>
      </c>
      <c r="AJ474" s="3" t="b">
        <v>1</v>
      </c>
      <c r="AK474" s="3" t="b">
        <v>0</v>
      </c>
      <c r="AL474" s="3"/>
      <c r="AM474" s="3"/>
      <c r="AN474" s="3"/>
      <c r="AO474" s="3"/>
      <c r="AP474" s="3"/>
      <c r="AQ474" s="3" t="s">
        <v>1343</v>
      </c>
      <c r="AR474" s="3" t="b">
        <v>1</v>
      </c>
      <c r="AS474" s="3" t="b">
        <v>1</v>
      </c>
      <c r="AT474" s="3" t="b">
        <v>1</v>
      </c>
      <c r="AU474" s="3" t="b">
        <v>1</v>
      </c>
      <c r="AV474" s="3" t="b">
        <v>1</v>
      </c>
      <c r="AW474" s="3" t="b">
        <f t="shared" si="18"/>
        <v>1</v>
      </c>
      <c r="AX474" s="3" t="b">
        <f t="shared" si="19"/>
        <v>0</v>
      </c>
      <c r="AY474" s="3" t="b">
        <f t="shared" si="20"/>
        <v>0</v>
      </c>
      <c r="AZ474" s="3" t="b">
        <f t="shared" si="21"/>
        <v>0</v>
      </c>
      <c r="BA474" s="3" t="b">
        <f t="shared" si="22"/>
        <v>0</v>
      </c>
      <c r="BB474" s="3" t="b">
        <f t="shared" si="23"/>
        <v>0</v>
      </c>
      <c r="BC474" s="3"/>
      <c r="BD474" s="3" t="s">
        <v>1343</v>
      </c>
      <c r="BE474" s="3" t="b">
        <v>1</v>
      </c>
      <c r="BF474" s="3" t="b">
        <v>1</v>
      </c>
      <c r="BG474" s="3" t="b">
        <v>1</v>
      </c>
      <c r="BH474" s="3" t="b">
        <v>1</v>
      </c>
      <c r="BI474" s="3" t="b">
        <v>1</v>
      </c>
      <c r="BJ474" s="3"/>
      <c r="BK474" s="3"/>
      <c r="BL474" s="3"/>
      <c r="BM474" s="3"/>
      <c r="BN474" s="3"/>
      <c r="BO474" s="3" t="s">
        <v>1343</v>
      </c>
      <c r="BP474" s="3" t="b">
        <v>1</v>
      </c>
      <c r="BQ474" s="3" t="b">
        <v>1</v>
      </c>
      <c r="BR474" s="3" t="b">
        <v>1</v>
      </c>
      <c r="BS474" s="3" t="b">
        <v>1</v>
      </c>
      <c r="BT474" s="3" t="b">
        <v>1</v>
      </c>
      <c r="BU474" s="3"/>
      <c r="BV474" s="3"/>
      <c r="BW474" s="3"/>
      <c r="BX474" s="3"/>
    </row>
    <row r="475" spans="1:76" x14ac:dyDescent="0.35">
      <c r="A475" s="3"/>
      <c r="B475" s="3"/>
      <c r="C475" s="3" t="s">
        <v>1344</v>
      </c>
      <c r="D475" s="3"/>
      <c r="E475" s="3"/>
      <c r="F475" s="3"/>
      <c r="G475" s="3" t="s">
        <v>3873</v>
      </c>
      <c r="H475" s="3" t="s">
        <v>1346</v>
      </c>
      <c r="I475" s="3" t="b">
        <v>1</v>
      </c>
      <c r="J475" s="3" t="b">
        <v>1</v>
      </c>
      <c r="K475" s="3" t="b">
        <v>1</v>
      </c>
      <c r="L475" s="3" t="b">
        <v>1</v>
      </c>
      <c r="M475" s="3" t="b">
        <v>1</v>
      </c>
      <c r="N475" s="3" t="b">
        <f t="shared" si="12"/>
        <v>1</v>
      </c>
      <c r="O475" s="3" t="b">
        <f t="shared" si="13"/>
        <v>0</v>
      </c>
      <c r="P475" s="3" t="b">
        <f t="shared" si="14"/>
        <v>0</v>
      </c>
      <c r="Q475" s="3" t="b">
        <f t="shared" si="15"/>
        <v>0</v>
      </c>
      <c r="R475" s="3" t="b">
        <f t="shared" si="16"/>
        <v>0</v>
      </c>
      <c r="S475" s="3" t="b">
        <f t="shared" si="17"/>
        <v>0</v>
      </c>
      <c r="U475" s="3" t="s">
        <v>1346</v>
      </c>
      <c r="V475" s="3" t="b">
        <v>1</v>
      </c>
      <c r="W475" s="3" t="b">
        <v>1</v>
      </c>
      <c r="X475" s="3" t="b">
        <v>1</v>
      </c>
      <c r="Y475" s="3" t="b">
        <v>1</v>
      </c>
      <c r="Z475" s="3" t="b">
        <v>1</v>
      </c>
      <c r="AA475" s="3"/>
      <c r="AB475" s="3"/>
      <c r="AC475" s="3"/>
      <c r="AD475" s="3"/>
      <c r="AE475" s="3"/>
      <c r="AF475" s="3" t="s">
        <v>1346</v>
      </c>
      <c r="AG475" s="3" t="b">
        <v>1</v>
      </c>
      <c r="AH475" s="3" t="b">
        <v>1</v>
      </c>
      <c r="AI475" s="3" t="b">
        <v>1</v>
      </c>
      <c r="AJ475" s="3" t="b">
        <v>1</v>
      </c>
      <c r="AK475" s="3" t="b">
        <v>1</v>
      </c>
      <c r="AL475" s="3"/>
      <c r="AM475" s="3"/>
      <c r="AN475" s="3"/>
      <c r="AO475" s="3"/>
      <c r="AP475" s="3"/>
      <c r="AQ475" s="3" t="s">
        <v>1347</v>
      </c>
      <c r="AR475" s="3" t="b">
        <v>1</v>
      </c>
      <c r="AS475" s="3" t="b">
        <v>1</v>
      </c>
      <c r="AT475" s="3" t="b">
        <v>1</v>
      </c>
      <c r="AU475" s="3" t="b">
        <v>1</v>
      </c>
      <c r="AV475" s="3" t="b">
        <v>1</v>
      </c>
      <c r="AW475" s="3" t="b">
        <f t="shared" si="18"/>
        <v>1</v>
      </c>
      <c r="AX475" s="3" t="b">
        <f t="shared" si="19"/>
        <v>0</v>
      </c>
      <c r="AY475" s="3" t="b">
        <f t="shared" si="20"/>
        <v>0</v>
      </c>
      <c r="AZ475" s="3" t="b">
        <f t="shared" si="21"/>
        <v>0</v>
      </c>
      <c r="BA475" s="3" t="b">
        <f t="shared" si="22"/>
        <v>0</v>
      </c>
      <c r="BB475" s="3" t="b">
        <f t="shared" si="23"/>
        <v>0</v>
      </c>
      <c r="BC475" s="3"/>
      <c r="BD475" s="3" t="s">
        <v>1347</v>
      </c>
      <c r="BE475" s="3" t="b">
        <v>1</v>
      </c>
      <c r="BF475" s="3" t="b">
        <v>1</v>
      </c>
      <c r="BG475" s="3" t="b">
        <v>1</v>
      </c>
      <c r="BH475" s="3" t="b">
        <v>1</v>
      </c>
      <c r="BI475" s="3" t="b">
        <v>1</v>
      </c>
      <c r="BJ475" s="3"/>
      <c r="BK475" s="3"/>
      <c r="BL475" s="3"/>
      <c r="BM475" s="3"/>
      <c r="BN475" s="3"/>
      <c r="BO475" s="3" t="s">
        <v>1347</v>
      </c>
      <c r="BP475" s="3" t="b">
        <v>1</v>
      </c>
      <c r="BQ475" s="3" t="b">
        <v>1</v>
      </c>
      <c r="BR475" s="3" t="b">
        <v>1</v>
      </c>
      <c r="BS475" s="3" t="b">
        <v>1</v>
      </c>
      <c r="BT475" s="3" t="b">
        <v>1</v>
      </c>
      <c r="BU475" s="3"/>
      <c r="BV475" s="3"/>
      <c r="BW475" s="3"/>
      <c r="BX475" s="3"/>
    </row>
    <row r="476" spans="1:76" x14ac:dyDescent="0.35">
      <c r="A476" s="3"/>
      <c r="B476" s="3"/>
      <c r="C476" s="3" t="s">
        <v>1348</v>
      </c>
      <c r="D476" s="3"/>
      <c r="E476" s="3"/>
      <c r="F476" s="3"/>
      <c r="G476" s="3" t="s">
        <v>3874</v>
      </c>
      <c r="H476" s="3" t="s">
        <v>1350</v>
      </c>
      <c r="I476" s="3" t="b">
        <v>1</v>
      </c>
      <c r="J476" s="3" t="b">
        <v>1</v>
      </c>
      <c r="K476" s="3" t="b">
        <v>1</v>
      </c>
      <c r="L476" s="3" t="b">
        <v>1</v>
      </c>
      <c r="M476" s="3" t="b">
        <v>1</v>
      </c>
      <c r="N476" s="3" t="b">
        <f t="shared" si="12"/>
        <v>1</v>
      </c>
      <c r="O476" s="3" t="b">
        <f t="shared" si="13"/>
        <v>0</v>
      </c>
      <c r="P476" s="3" t="b">
        <f t="shared" si="14"/>
        <v>0</v>
      </c>
      <c r="Q476" s="3" t="b">
        <f t="shared" si="15"/>
        <v>0</v>
      </c>
      <c r="R476" s="3" t="b">
        <f t="shared" si="16"/>
        <v>0</v>
      </c>
      <c r="S476" s="3" t="b">
        <f t="shared" si="17"/>
        <v>0</v>
      </c>
      <c r="U476" s="3" t="s">
        <v>1350</v>
      </c>
      <c r="V476" s="3" t="b">
        <v>1</v>
      </c>
      <c r="W476" s="3" t="b">
        <v>1</v>
      </c>
      <c r="X476" s="3" t="b">
        <v>1</v>
      </c>
      <c r="Y476" s="3" t="b">
        <v>1</v>
      </c>
      <c r="Z476" s="3" t="b">
        <v>1</v>
      </c>
      <c r="AA476" s="3"/>
      <c r="AB476" s="3"/>
      <c r="AC476" s="3"/>
      <c r="AD476" s="3"/>
      <c r="AE476" s="3"/>
      <c r="AF476" s="3" t="s">
        <v>1350</v>
      </c>
      <c r="AG476" s="3" t="b">
        <v>1</v>
      </c>
      <c r="AH476" s="3" t="b">
        <v>1</v>
      </c>
      <c r="AI476" s="3" t="b">
        <v>1</v>
      </c>
      <c r="AJ476" s="3" t="b">
        <v>1</v>
      </c>
      <c r="AK476" s="3" t="b">
        <v>1</v>
      </c>
      <c r="AL476" s="3"/>
      <c r="AM476" s="3"/>
      <c r="AN476" s="3"/>
      <c r="AO476" s="3"/>
      <c r="AP476" s="3"/>
      <c r="AQ476" s="3" t="s">
        <v>1351</v>
      </c>
      <c r="AR476" s="3" t="b">
        <v>1</v>
      </c>
      <c r="AS476" s="3" t="b">
        <v>1</v>
      </c>
      <c r="AT476" s="3" t="b">
        <v>1</v>
      </c>
      <c r="AU476" s="3" t="b">
        <v>1</v>
      </c>
      <c r="AV476" s="3" t="b">
        <v>1</v>
      </c>
      <c r="AW476" s="3" t="b">
        <f t="shared" si="18"/>
        <v>1</v>
      </c>
      <c r="AX476" s="3" t="b">
        <f t="shared" si="19"/>
        <v>0</v>
      </c>
      <c r="AY476" s="3" t="b">
        <f t="shared" si="20"/>
        <v>0</v>
      </c>
      <c r="AZ476" s="3" t="b">
        <f t="shared" si="21"/>
        <v>0</v>
      </c>
      <c r="BA476" s="3" t="b">
        <f t="shared" si="22"/>
        <v>0</v>
      </c>
      <c r="BB476" s="3" t="b">
        <f t="shared" si="23"/>
        <v>0</v>
      </c>
      <c r="BC476" s="3"/>
      <c r="BD476" s="3" t="s">
        <v>1351</v>
      </c>
      <c r="BE476" s="3" t="b">
        <v>1</v>
      </c>
      <c r="BF476" s="3" t="b">
        <v>1</v>
      </c>
      <c r="BG476" s="3" t="b">
        <v>1</v>
      </c>
      <c r="BH476" s="3" t="b">
        <v>1</v>
      </c>
      <c r="BI476" s="3" t="b">
        <v>1</v>
      </c>
      <c r="BJ476" s="3"/>
      <c r="BK476" s="3"/>
      <c r="BL476" s="3"/>
      <c r="BM476" s="3"/>
      <c r="BN476" s="3"/>
      <c r="BO476" s="3" t="s">
        <v>1351</v>
      </c>
      <c r="BP476" s="3" t="b">
        <v>1</v>
      </c>
      <c r="BQ476" s="3" t="b">
        <v>1</v>
      </c>
      <c r="BR476" s="3" t="b">
        <v>1</v>
      </c>
      <c r="BS476" s="3" t="b">
        <v>1</v>
      </c>
      <c r="BT476" s="3" t="b">
        <v>1</v>
      </c>
      <c r="BU476" s="3"/>
      <c r="BV476" s="3"/>
      <c r="BW476" s="3"/>
      <c r="BX476" s="3"/>
    </row>
    <row r="477" spans="1:76" x14ac:dyDescent="0.35">
      <c r="A477" s="3"/>
      <c r="B477" s="3" t="s">
        <v>1352</v>
      </c>
      <c r="C477" s="3" t="s">
        <v>1317</v>
      </c>
      <c r="D477" s="3" t="s">
        <v>1318</v>
      </c>
      <c r="E477" s="3" t="s">
        <v>1319</v>
      </c>
      <c r="F477" s="3"/>
      <c r="G477" s="3" t="s">
        <v>3875</v>
      </c>
      <c r="H477" s="3" t="s">
        <v>1354</v>
      </c>
      <c r="I477" s="3" t="b">
        <v>1</v>
      </c>
      <c r="J477" s="3" t="b">
        <v>1</v>
      </c>
      <c r="K477" s="3" t="b">
        <v>1</v>
      </c>
      <c r="L477" s="3" t="b">
        <v>1</v>
      </c>
      <c r="M477" s="3" t="b">
        <v>1</v>
      </c>
      <c r="N477" s="3" t="b">
        <f t="shared" si="12"/>
        <v>1</v>
      </c>
      <c r="O477" s="3" t="b">
        <f t="shared" si="13"/>
        <v>0</v>
      </c>
      <c r="P477" s="3" t="b">
        <f t="shared" si="14"/>
        <v>0</v>
      </c>
      <c r="Q477" s="3" t="b">
        <f t="shared" si="15"/>
        <v>0</v>
      </c>
      <c r="R477" s="3" t="b">
        <f t="shared" si="16"/>
        <v>0</v>
      </c>
      <c r="S477" s="3" t="b">
        <f t="shared" si="17"/>
        <v>0</v>
      </c>
      <c r="U477" s="3" t="s">
        <v>1321</v>
      </c>
      <c r="V477" s="3" t="b">
        <v>1</v>
      </c>
      <c r="W477" s="3" t="b">
        <v>1</v>
      </c>
      <c r="X477" s="3" t="b">
        <v>1</v>
      </c>
      <c r="Y477" s="3" t="b">
        <v>1</v>
      </c>
      <c r="Z477" s="3" t="b">
        <v>1</v>
      </c>
      <c r="AA477" s="3"/>
      <c r="AB477" s="3"/>
      <c r="AC477" s="3"/>
      <c r="AD477" s="3"/>
      <c r="AE477" s="3"/>
      <c r="AF477" s="3" t="s">
        <v>1321</v>
      </c>
      <c r="AG477" s="3" t="b">
        <v>1</v>
      </c>
      <c r="AH477" s="3" t="b">
        <v>1</v>
      </c>
      <c r="AI477" s="3" t="b">
        <v>1</v>
      </c>
      <c r="AJ477" s="3" t="b">
        <v>1</v>
      </c>
      <c r="AK477" s="3" t="b">
        <v>1</v>
      </c>
      <c r="AL477" s="3"/>
      <c r="AM477" s="3"/>
      <c r="AN477" s="3"/>
      <c r="AO477" s="3"/>
      <c r="AP477" s="3"/>
      <c r="AQ477" s="3" t="s">
        <v>1322</v>
      </c>
      <c r="AR477" s="3" t="b">
        <v>1</v>
      </c>
      <c r="AS477" s="3" t="b">
        <v>1</v>
      </c>
      <c r="AT477" s="3" t="b">
        <v>1</v>
      </c>
      <c r="AU477" s="3" t="b">
        <v>1</v>
      </c>
      <c r="AV477" s="3" t="b">
        <v>1</v>
      </c>
      <c r="AW477" s="3" t="b">
        <f t="shared" si="18"/>
        <v>1</v>
      </c>
      <c r="AX477" s="3" t="b">
        <f t="shared" si="19"/>
        <v>0</v>
      </c>
      <c r="AY477" s="3" t="b">
        <f t="shared" si="20"/>
        <v>0</v>
      </c>
      <c r="AZ477" s="3" t="b">
        <f t="shared" si="21"/>
        <v>0</v>
      </c>
      <c r="BA477" s="3" t="b">
        <f t="shared" si="22"/>
        <v>0</v>
      </c>
      <c r="BB477" s="3" t="b">
        <f t="shared" si="23"/>
        <v>0</v>
      </c>
      <c r="BC477" s="3"/>
      <c r="BD477" s="3" t="s">
        <v>1322</v>
      </c>
      <c r="BE477" s="3" t="b">
        <v>1</v>
      </c>
      <c r="BF477" s="3" t="b">
        <v>1</v>
      </c>
      <c r="BG477" s="3" t="b">
        <v>1</v>
      </c>
      <c r="BH477" s="3" t="b">
        <v>1</v>
      </c>
      <c r="BI477" s="3" t="b">
        <v>1</v>
      </c>
      <c r="BJ477" s="3"/>
      <c r="BK477" s="3"/>
      <c r="BL477" s="3"/>
      <c r="BM477" s="3"/>
      <c r="BN477" s="3"/>
      <c r="BO477" s="3" t="s">
        <v>1322</v>
      </c>
      <c r="BP477" s="3" t="b">
        <v>1</v>
      </c>
      <c r="BQ477" s="3" t="b">
        <v>1</v>
      </c>
      <c r="BR477" s="3" t="b">
        <v>1</v>
      </c>
      <c r="BS477" s="3" t="b">
        <v>1</v>
      </c>
      <c r="BT477" s="3" t="b">
        <v>1</v>
      </c>
      <c r="BU477" s="3"/>
      <c r="BV477" s="3"/>
      <c r="BW477" s="3"/>
      <c r="BX477" s="3"/>
    </row>
    <row r="478" spans="1:76" x14ac:dyDescent="0.35">
      <c r="A478" s="3"/>
      <c r="B478" s="3" t="s">
        <v>1355</v>
      </c>
      <c r="C478" s="3" t="s">
        <v>1335</v>
      </c>
      <c r="D478" s="3"/>
      <c r="E478" s="3"/>
      <c r="F478" s="3"/>
      <c r="G478" s="3" t="s">
        <v>3876</v>
      </c>
      <c r="H478" s="3" t="s">
        <v>1337</v>
      </c>
      <c r="I478" s="3" t="b">
        <v>1</v>
      </c>
      <c r="J478" s="3" t="b">
        <v>1</v>
      </c>
      <c r="K478" s="3" t="b">
        <v>1</v>
      </c>
      <c r="L478" s="3" t="b">
        <v>1</v>
      </c>
      <c r="M478" s="3" t="b">
        <v>1</v>
      </c>
      <c r="N478" s="3" t="b">
        <f t="shared" si="12"/>
        <v>1</v>
      </c>
      <c r="O478" s="3" t="b">
        <f t="shared" si="13"/>
        <v>0</v>
      </c>
      <c r="P478" s="3" t="b">
        <f t="shared" si="14"/>
        <v>0</v>
      </c>
      <c r="Q478" s="3" t="b">
        <f t="shared" si="15"/>
        <v>0</v>
      </c>
      <c r="R478" s="3" t="b">
        <f t="shared" si="16"/>
        <v>0</v>
      </c>
      <c r="S478" s="3" t="b">
        <f t="shared" si="17"/>
        <v>0</v>
      </c>
      <c r="U478" s="3" t="s">
        <v>1337</v>
      </c>
      <c r="V478" s="3" t="b">
        <v>1</v>
      </c>
      <c r="W478" s="3" t="b">
        <v>1</v>
      </c>
      <c r="X478" s="3" t="b">
        <v>1</v>
      </c>
      <c r="Y478" s="3" t="b">
        <v>1</v>
      </c>
      <c r="Z478" s="3" t="b">
        <v>1</v>
      </c>
      <c r="AA478" s="3"/>
      <c r="AB478" s="3"/>
      <c r="AC478" s="3"/>
      <c r="AD478" s="3"/>
      <c r="AE478" s="3"/>
      <c r="AF478" s="3" t="s">
        <v>1337</v>
      </c>
      <c r="AG478" s="3" t="b">
        <v>1</v>
      </c>
      <c r="AH478" s="3" t="b">
        <v>1</v>
      </c>
      <c r="AI478" s="3" t="b">
        <v>1</v>
      </c>
      <c r="AJ478" s="3" t="b">
        <v>1</v>
      </c>
      <c r="AK478" s="3" t="b">
        <v>1</v>
      </c>
      <c r="AL478" s="3"/>
      <c r="AM478" s="3"/>
      <c r="AN478" s="3"/>
      <c r="AO478" s="3"/>
      <c r="AP478" s="3"/>
      <c r="AQ478" s="3" t="s">
        <v>1339</v>
      </c>
      <c r="AR478" s="3" t="b">
        <v>1</v>
      </c>
      <c r="AS478" s="3" t="b">
        <v>1</v>
      </c>
      <c r="AT478" s="3" t="b">
        <v>1</v>
      </c>
      <c r="AU478" s="3" t="b">
        <v>1</v>
      </c>
      <c r="AV478" s="3" t="b">
        <v>1</v>
      </c>
      <c r="AW478" s="3" t="b">
        <f t="shared" si="18"/>
        <v>1</v>
      </c>
      <c r="AX478" s="3" t="b">
        <f t="shared" si="19"/>
        <v>0</v>
      </c>
      <c r="AY478" s="3" t="b">
        <f t="shared" si="20"/>
        <v>0</v>
      </c>
      <c r="AZ478" s="3" t="b">
        <f t="shared" si="21"/>
        <v>0</v>
      </c>
      <c r="BA478" s="3" t="b">
        <f t="shared" si="22"/>
        <v>0</v>
      </c>
      <c r="BB478" s="3" t="b">
        <f t="shared" si="23"/>
        <v>0</v>
      </c>
      <c r="BC478" s="3"/>
      <c r="BD478" s="3" t="s">
        <v>1339</v>
      </c>
      <c r="BE478" s="3" t="b">
        <v>1</v>
      </c>
      <c r="BF478" s="3" t="b">
        <v>1</v>
      </c>
      <c r="BG478" s="3" t="b">
        <v>1</v>
      </c>
      <c r="BH478" s="3" t="b">
        <v>1</v>
      </c>
      <c r="BI478" s="3" t="b">
        <v>1</v>
      </c>
      <c r="BJ478" s="3"/>
      <c r="BK478" s="3"/>
      <c r="BL478" s="3"/>
      <c r="BM478" s="3"/>
      <c r="BN478" s="3"/>
      <c r="BO478" s="3" t="s">
        <v>1339</v>
      </c>
      <c r="BP478" s="3" t="b">
        <v>1</v>
      </c>
      <c r="BQ478" s="3" t="b">
        <v>1</v>
      </c>
      <c r="BR478" s="3" t="b">
        <v>1</v>
      </c>
      <c r="BS478" s="3" t="b">
        <v>1</v>
      </c>
      <c r="BT478" s="3" t="b">
        <v>1</v>
      </c>
      <c r="BU478" s="3"/>
      <c r="BV478" s="3"/>
      <c r="BW478" s="3"/>
      <c r="BX478" s="3"/>
    </row>
    <row r="479" spans="1:76" x14ac:dyDescent="0.35">
      <c r="A479" s="3"/>
      <c r="B479" s="3"/>
      <c r="C479" s="3" t="s">
        <v>1344</v>
      </c>
      <c r="D479" s="3"/>
      <c r="E479" s="3"/>
      <c r="F479" s="3"/>
      <c r="G479" s="3" t="s">
        <v>3877</v>
      </c>
      <c r="H479" s="3" t="s">
        <v>1346</v>
      </c>
      <c r="I479" s="3" t="b">
        <v>1</v>
      </c>
      <c r="J479" s="3" t="b">
        <v>1</v>
      </c>
      <c r="K479" s="3" t="b">
        <v>1</v>
      </c>
      <c r="L479" s="3" t="b">
        <v>1</v>
      </c>
      <c r="M479" s="3" t="b">
        <v>1</v>
      </c>
      <c r="N479" s="3" t="b">
        <f t="shared" si="12"/>
        <v>1</v>
      </c>
      <c r="O479" s="3" t="b">
        <f t="shared" si="13"/>
        <v>0</v>
      </c>
      <c r="P479" s="3" t="b">
        <f t="shared" si="14"/>
        <v>0</v>
      </c>
      <c r="Q479" s="3" t="b">
        <f t="shared" si="15"/>
        <v>0</v>
      </c>
      <c r="R479" s="3" t="b">
        <f t="shared" si="16"/>
        <v>0</v>
      </c>
      <c r="S479" s="3" t="b">
        <f t="shared" si="17"/>
        <v>0</v>
      </c>
      <c r="U479" s="3" t="s">
        <v>1346</v>
      </c>
      <c r="V479" s="3" t="b">
        <v>1</v>
      </c>
      <c r="W479" s="3" t="b">
        <v>1</v>
      </c>
      <c r="X479" s="3" t="b">
        <v>1</v>
      </c>
      <c r="Y479" s="3" t="b">
        <v>1</v>
      </c>
      <c r="Z479" s="3" t="b">
        <v>1</v>
      </c>
      <c r="AA479" s="3"/>
      <c r="AB479" s="3"/>
      <c r="AC479" s="3"/>
      <c r="AD479" s="3"/>
      <c r="AE479" s="3"/>
      <c r="AF479" s="3" t="s">
        <v>1346</v>
      </c>
      <c r="AG479" s="3" t="b">
        <v>1</v>
      </c>
      <c r="AH479" s="3" t="b">
        <v>1</v>
      </c>
      <c r="AI479" s="3" t="b">
        <v>1</v>
      </c>
      <c r="AJ479" s="3" t="b">
        <v>1</v>
      </c>
      <c r="AK479" s="3" t="b">
        <v>1</v>
      </c>
      <c r="AL479" s="3"/>
      <c r="AM479" s="3"/>
      <c r="AN479" s="3"/>
      <c r="AO479" s="3"/>
      <c r="AP479" s="3"/>
      <c r="AQ479" s="3" t="s">
        <v>1347</v>
      </c>
      <c r="AR479" s="3" t="b">
        <v>1</v>
      </c>
      <c r="AS479" s="3" t="b">
        <v>1</v>
      </c>
      <c r="AT479" s="3" t="b">
        <v>1</v>
      </c>
      <c r="AU479" s="3" t="b">
        <v>1</v>
      </c>
      <c r="AV479" s="3" t="b">
        <v>1</v>
      </c>
      <c r="AW479" s="3" t="b">
        <f t="shared" si="18"/>
        <v>1</v>
      </c>
      <c r="AX479" s="3" t="b">
        <f t="shared" si="19"/>
        <v>0</v>
      </c>
      <c r="AY479" s="3" t="b">
        <f t="shared" si="20"/>
        <v>0</v>
      </c>
      <c r="AZ479" s="3" t="b">
        <f t="shared" si="21"/>
        <v>0</v>
      </c>
      <c r="BA479" s="3" t="b">
        <f t="shared" si="22"/>
        <v>0</v>
      </c>
      <c r="BB479" s="3" t="b">
        <f t="shared" si="23"/>
        <v>0</v>
      </c>
      <c r="BC479" s="3"/>
      <c r="BD479" s="3" t="s">
        <v>1347</v>
      </c>
      <c r="BE479" s="3" t="b">
        <v>1</v>
      </c>
      <c r="BF479" s="3" t="b">
        <v>1</v>
      </c>
      <c r="BG479" s="3" t="b">
        <v>1</v>
      </c>
      <c r="BH479" s="3" t="b">
        <v>1</v>
      </c>
      <c r="BI479" s="3" t="b">
        <v>1</v>
      </c>
      <c r="BJ479" s="3"/>
      <c r="BK479" s="3"/>
      <c r="BL479" s="3"/>
      <c r="BM479" s="3"/>
      <c r="BN479" s="3"/>
      <c r="BO479" s="3" t="s">
        <v>1347</v>
      </c>
      <c r="BP479" s="3" t="b">
        <v>1</v>
      </c>
      <c r="BQ479" s="3" t="b">
        <v>1</v>
      </c>
      <c r="BR479" s="3" t="b">
        <v>1</v>
      </c>
      <c r="BS479" s="3" t="b">
        <v>1</v>
      </c>
      <c r="BT479" s="3" t="b">
        <v>1</v>
      </c>
      <c r="BU479" s="3"/>
      <c r="BV479" s="3"/>
      <c r="BW479" s="3"/>
      <c r="BX479" s="3"/>
    </row>
    <row r="480" spans="1:76" x14ac:dyDescent="0.35">
      <c r="A480" s="3"/>
      <c r="B480" s="3"/>
      <c r="C480" s="3" t="s">
        <v>1358</v>
      </c>
      <c r="D480" s="3"/>
      <c r="E480" s="3"/>
      <c r="F480" s="3"/>
      <c r="G480" s="3" t="s">
        <v>3878</v>
      </c>
      <c r="H480" s="3" t="s">
        <v>1360</v>
      </c>
      <c r="I480" s="3" t="b">
        <v>1</v>
      </c>
      <c r="J480" s="3" t="b">
        <v>1</v>
      </c>
      <c r="K480" s="3" t="b">
        <v>1</v>
      </c>
      <c r="L480" s="3" t="b">
        <v>1</v>
      </c>
      <c r="M480" s="3" t="b">
        <v>1</v>
      </c>
      <c r="N480" s="3" t="b">
        <f t="shared" si="12"/>
        <v>1</v>
      </c>
      <c r="O480" s="3" t="b">
        <f t="shared" si="13"/>
        <v>0</v>
      </c>
      <c r="P480" s="3" t="b">
        <f t="shared" si="14"/>
        <v>0</v>
      </c>
      <c r="Q480" s="3" t="b">
        <f t="shared" si="15"/>
        <v>0</v>
      </c>
      <c r="R480" s="3" t="b">
        <f t="shared" si="16"/>
        <v>0</v>
      </c>
      <c r="S480" s="3" t="b">
        <f t="shared" si="17"/>
        <v>0</v>
      </c>
      <c r="U480" s="3" t="s">
        <v>1360</v>
      </c>
      <c r="V480" s="3" t="b">
        <v>1</v>
      </c>
      <c r="W480" s="3" t="b">
        <v>1</v>
      </c>
      <c r="X480" s="3" t="b">
        <v>1</v>
      </c>
      <c r="Y480" s="3" t="b">
        <v>1</v>
      </c>
      <c r="Z480" s="3" t="b">
        <v>1</v>
      </c>
      <c r="AA480" s="3"/>
      <c r="AB480" s="3"/>
      <c r="AC480" s="3"/>
      <c r="AD480" s="3"/>
      <c r="AE480" s="3"/>
      <c r="AF480" s="3" t="s">
        <v>1360</v>
      </c>
      <c r="AG480" s="3" t="b">
        <v>1</v>
      </c>
      <c r="AH480" s="3" t="b">
        <v>1</v>
      </c>
      <c r="AI480" s="3" t="b">
        <v>1</v>
      </c>
      <c r="AJ480" s="3" t="b">
        <v>1</v>
      </c>
      <c r="AK480" s="3" t="b">
        <v>1</v>
      </c>
      <c r="AL480" s="3"/>
      <c r="AM480" s="3"/>
      <c r="AN480" s="3"/>
      <c r="AO480" s="3"/>
      <c r="AP480" s="3"/>
      <c r="AQ480" s="3" t="s">
        <v>1360</v>
      </c>
      <c r="AR480" s="3" t="b">
        <v>1</v>
      </c>
      <c r="AS480" s="3" t="b">
        <v>1</v>
      </c>
      <c r="AT480" s="3" t="b">
        <v>1</v>
      </c>
      <c r="AU480" s="3" t="b">
        <v>1</v>
      </c>
      <c r="AV480" s="3" t="b">
        <v>1</v>
      </c>
      <c r="AW480" s="3" t="b">
        <f t="shared" si="18"/>
        <v>1</v>
      </c>
      <c r="AX480" s="3" t="b">
        <f t="shared" si="19"/>
        <v>0</v>
      </c>
      <c r="AY480" s="3" t="b">
        <f t="shared" si="20"/>
        <v>0</v>
      </c>
      <c r="AZ480" s="3" t="b">
        <f t="shared" si="21"/>
        <v>0</v>
      </c>
      <c r="BA480" s="3" t="b">
        <f t="shared" si="22"/>
        <v>0</v>
      </c>
      <c r="BB480" s="3" t="b">
        <f t="shared" si="23"/>
        <v>0</v>
      </c>
      <c r="BC480" s="3"/>
      <c r="BD480" s="3" t="s">
        <v>1360</v>
      </c>
      <c r="BE480" s="3" t="b">
        <v>1</v>
      </c>
      <c r="BF480" s="3" t="b">
        <v>1</v>
      </c>
      <c r="BG480" s="3" t="b">
        <v>1</v>
      </c>
      <c r="BH480" s="3" t="b">
        <v>1</v>
      </c>
      <c r="BI480" s="3" t="b">
        <v>1</v>
      </c>
      <c r="BJ480" s="3"/>
      <c r="BK480" s="3"/>
      <c r="BL480" s="3"/>
      <c r="BM480" s="3"/>
      <c r="BN480" s="3"/>
      <c r="BO480" s="3" t="s">
        <v>1360</v>
      </c>
      <c r="BP480" s="3" t="b">
        <v>1</v>
      </c>
      <c r="BQ480" s="3" t="b">
        <v>1</v>
      </c>
      <c r="BR480" s="3" t="b">
        <v>1</v>
      </c>
      <c r="BS480" s="3" t="b">
        <v>1</v>
      </c>
      <c r="BT480" s="3" t="b">
        <v>1</v>
      </c>
      <c r="BU480" s="3"/>
      <c r="BV480" s="3"/>
      <c r="BW480" s="3"/>
      <c r="BX480" s="3"/>
    </row>
    <row r="481" spans="1:76" x14ac:dyDescent="0.35">
      <c r="A481" s="3"/>
      <c r="B481" s="3"/>
      <c r="C481" s="3" t="s">
        <v>1361</v>
      </c>
      <c r="D481" s="3"/>
      <c r="E481" s="3"/>
      <c r="F481" s="3"/>
      <c r="G481" s="3" t="s">
        <v>3879</v>
      </c>
      <c r="H481" s="3" t="s">
        <v>1363</v>
      </c>
      <c r="I481" s="3" t="b">
        <v>1</v>
      </c>
      <c r="J481" s="3" t="b">
        <v>1</v>
      </c>
      <c r="K481" s="3" t="b">
        <v>1</v>
      </c>
      <c r="L481" s="3" t="b">
        <v>1</v>
      </c>
      <c r="M481" s="3" t="b">
        <v>1</v>
      </c>
      <c r="N481" s="3" t="b">
        <f t="shared" si="12"/>
        <v>1</v>
      </c>
      <c r="O481" s="3" t="b">
        <f t="shared" si="13"/>
        <v>0</v>
      </c>
      <c r="P481" s="3" t="b">
        <f t="shared" si="14"/>
        <v>0</v>
      </c>
      <c r="Q481" s="3" t="b">
        <f t="shared" si="15"/>
        <v>0</v>
      </c>
      <c r="R481" s="3" t="b">
        <f t="shared" si="16"/>
        <v>0</v>
      </c>
      <c r="S481" s="3" t="b">
        <f t="shared" si="17"/>
        <v>0</v>
      </c>
      <c r="U481" s="3" t="s">
        <v>1364</v>
      </c>
      <c r="V481" s="3" t="b">
        <v>1</v>
      </c>
      <c r="W481" s="3" t="b">
        <v>1</v>
      </c>
      <c r="X481" s="3" t="b">
        <v>1</v>
      </c>
      <c r="Y481" s="3" t="b">
        <v>1</v>
      </c>
      <c r="Z481" s="3" t="b">
        <v>1</v>
      </c>
      <c r="AA481" s="3"/>
      <c r="AB481" s="3"/>
      <c r="AC481" s="3"/>
      <c r="AD481" s="3"/>
      <c r="AE481" s="3"/>
      <c r="AF481" s="3" t="s">
        <v>1363</v>
      </c>
      <c r="AG481" s="3" t="b">
        <v>1</v>
      </c>
      <c r="AH481" s="3" t="b">
        <v>1</v>
      </c>
      <c r="AI481" s="3" t="b">
        <v>1</v>
      </c>
      <c r="AJ481" s="3" t="b">
        <v>1</v>
      </c>
      <c r="AK481" s="3" t="b">
        <v>1</v>
      </c>
      <c r="AL481" s="3"/>
      <c r="AM481" s="3"/>
      <c r="AN481" s="3"/>
      <c r="AO481" s="3"/>
      <c r="AP481" s="3"/>
      <c r="AQ481" s="3" t="s">
        <v>1365</v>
      </c>
      <c r="AR481" s="3" t="b">
        <v>1</v>
      </c>
      <c r="AS481" s="3" t="b">
        <v>0</v>
      </c>
      <c r="AT481" s="3" t="b">
        <v>0</v>
      </c>
      <c r="AU481" s="3" t="b">
        <v>0</v>
      </c>
      <c r="AV481" s="3" t="b">
        <v>0</v>
      </c>
      <c r="AW481" s="3" t="b">
        <f t="shared" si="18"/>
        <v>0</v>
      </c>
      <c r="AX481" s="3" t="b">
        <f t="shared" si="19"/>
        <v>0</v>
      </c>
      <c r="AY481" s="3" t="b">
        <f t="shared" si="20"/>
        <v>1</v>
      </c>
      <c r="AZ481" s="3" t="b">
        <f t="shared" si="21"/>
        <v>0</v>
      </c>
      <c r="BA481" s="3" t="b">
        <f t="shared" si="22"/>
        <v>0</v>
      </c>
      <c r="BB481" s="3" t="b">
        <f t="shared" si="23"/>
        <v>0</v>
      </c>
      <c r="BC481" s="3"/>
      <c r="BD481" s="3" t="s">
        <v>1365</v>
      </c>
      <c r="BE481" s="3" t="b">
        <v>1</v>
      </c>
      <c r="BF481" s="3" t="b">
        <v>0</v>
      </c>
      <c r="BG481" s="3" t="b">
        <v>0</v>
      </c>
      <c r="BH481" s="3" t="b">
        <v>0</v>
      </c>
      <c r="BI481" s="3" t="b">
        <v>0</v>
      </c>
      <c r="BJ481" s="3"/>
      <c r="BK481" s="3"/>
      <c r="BL481" s="3"/>
      <c r="BM481" s="3"/>
      <c r="BN481" s="3"/>
      <c r="BO481" s="3" t="s">
        <v>1365</v>
      </c>
      <c r="BP481" s="3" t="b">
        <v>1</v>
      </c>
      <c r="BQ481" s="3" t="b">
        <v>0</v>
      </c>
      <c r="BR481" s="3" t="b">
        <v>0</v>
      </c>
      <c r="BS481" s="3" t="b">
        <v>0</v>
      </c>
      <c r="BT481" s="3" t="b">
        <v>0</v>
      </c>
      <c r="BU481" s="3"/>
      <c r="BV481" s="3"/>
      <c r="BW481" s="3"/>
      <c r="BX481" s="3"/>
    </row>
    <row r="482" spans="1:76" x14ac:dyDescent="0.35">
      <c r="A482" s="3"/>
      <c r="B482" s="3" t="s">
        <v>105</v>
      </c>
      <c r="C482" s="3" t="s">
        <v>25</v>
      </c>
      <c r="D482" s="3"/>
      <c r="E482" s="3"/>
      <c r="F482" s="3"/>
      <c r="G482" s="3" t="s">
        <v>3880</v>
      </c>
      <c r="H482" s="3" t="s">
        <v>31</v>
      </c>
      <c r="I482" s="3" t="b">
        <v>1</v>
      </c>
      <c r="J482" s="3" t="b">
        <v>1</v>
      </c>
      <c r="K482" s="3" t="b">
        <v>1</v>
      </c>
      <c r="L482" s="3" t="b">
        <v>1</v>
      </c>
      <c r="M482" s="3" t="b">
        <v>1</v>
      </c>
      <c r="N482" s="3" t="b">
        <f t="shared" si="12"/>
        <v>1</v>
      </c>
      <c r="O482" s="3" t="b">
        <f t="shared" si="13"/>
        <v>0</v>
      </c>
      <c r="P482" s="3" t="b">
        <f t="shared" si="14"/>
        <v>0</v>
      </c>
      <c r="Q482" s="3" t="b">
        <f t="shared" si="15"/>
        <v>0</v>
      </c>
      <c r="R482" s="3" t="b">
        <f t="shared" si="16"/>
        <v>0</v>
      </c>
      <c r="S482" s="3" t="b">
        <f t="shared" si="17"/>
        <v>0</v>
      </c>
      <c r="U482" s="3" t="s">
        <v>28</v>
      </c>
      <c r="V482" s="3" t="b">
        <v>1</v>
      </c>
      <c r="W482" s="3" t="b">
        <v>1</v>
      </c>
      <c r="X482" s="3" t="b">
        <v>1</v>
      </c>
      <c r="Y482" s="3" t="b">
        <v>1</v>
      </c>
      <c r="Z482" s="3" t="b">
        <v>1</v>
      </c>
      <c r="AA482" s="3"/>
      <c r="AB482" s="3"/>
      <c r="AC482" s="3"/>
      <c r="AD482" s="3"/>
      <c r="AE482" s="3"/>
      <c r="AF482" s="3" t="s">
        <v>28</v>
      </c>
      <c r="AG482" s="3" t="b">
        <v>1</v>
      </c>
      <c r="AH482" s="3" t="b">
        <v>1</v>
      </c>
      <c r="AI482" s="3" t="b">
        <v>1</v>
      </c>
      <c r="AJ482" s="3" t="b">
        <v>1</v>
      </c>
      <c r="AK482" s="3" t="b">
        <v>1</v>
      </c>
      <c r="AL482" s="3"/>
      <c r="AM482" s="3"/>
      <c r="AN482" s="3"/>
      <c r="AO482" s="3"/>
      <c r="AP482" s="3"/>
      <c r="AQ482" s="3" t="s">
        <v>28</v>
      </c>
      <c r="AR482" s="3" t="b">
        <v>1</v>
      </c>
      <c r="AS482" s="3" t="b">
        <v>1</v>
      </c>
      <c r="AT482" s="3" t="b">
        <v>1</v>
      </c>
      <c r="AU482" s="3" t="b">
        <v>1</v>
      </c>
      <c r="AV482" s="3" t="b">
        <v>1</v>
      </c>
      <c r="AW482" s="3" t="b">
        <f t="shared" si="18"/>
        <v>1</v>
      </c>
      <c r="AX482" s="3" t="b">
        <f t="shared" si="19"/>
        <v>0</v>
      </c>
      <c r="AY482" s="3" t="b">
        <f t="shared" si="20"/>
        <v>0</v>
      </c>
      <c r="AZ482" s="3" t="b">
        <f t="shared" si="21"/>
        <v>0</v>
      </c>
      <c r="BA482" s="3" t="b">
        <f t="shared" si="22"/>
        <v>0</v>
      </c>
      <c r="BB482" s="3" t="b">
        <f t="shared" si="23"/>
        <v>0</v>
      </c>
      <c r="BC482" s="3"/>
      <c r="BD482" s="3" t="s">
        <v>28</v>
      </c>
      <c r="BE482" s="3" t="b">
        <v>1</v>
      </c>
      <c r="BF482" s="3" t="b">
        <v>1</v>
      </c>
      <c r="BG482" s="3" t="b">
        <v>1</v>
      </c>
      <c r="BH482" s="3" t="b">
        <v>1</v>
      </c>
      <c r="BI482" s="3" t="b">
        <v>1</v>
      </c>
      <c r="BJ482" s="3"/>
      <c r="BK482" s="3"/>
      <c r="BL482" s="3"/>
      <c r="BM482" s="3"/>
      <c r="BN482" s="3"/>
      <c r="BO482" s="3" t="s">
        <v>28</v>
      </c>
      <c r="BP482" s="3" t="b">
        <v>1</v>
      </c>
      <c r="BQ482" s="3" t="b">
        <v>1</v>
      </c>
      <c r="BR482" s="3" t="b">
        <v>1</v>
      </c>
      <c r="BS482" s="3" t="b">
        <v>1</v>
      </c>
      <c r="BT482" s="3" t="b">
        <v>1</v>
      </c>
      <c r="BU482" s="3"/>
      <c r="BV482" s="3"/>
      <c r="BW482" s="3"/>
      <c r="BX482" s="3"/>
    </row>
    <row r="483" spans="1:76" x14ac:dyDescent="0.35">
      <c r="A483" s="3"/>
      <c r="B483" s="3"/>
      <c r="C483" s="3" t="s">
        <v>29</v>
      </c>
      <c r="D483" s="3"/>
      <c r="E483" s="3"/>
      <c r="F483" s="3"/>
      <c r="G483" s="3" t="s">
        <v>3881</v>
      </c>
      <c r="H483" s="3" t="s">
        <v>31</v>
      </c>
      <c r="I483" s="3" t="b">
        <v>1</v>
      </c>
      <c r="J483" s="3" t="b">
        <v>1</v>
      </c>
      <c r="K483" s="3" t="b">
        <v>1</v>
      </c>
      <c r="L483" s="3" t="b">
        <v>1</v>
      </c>
      <c r="M483" s="3" t="b">
        <v>1</v>
      </c>
      <c r="N483" s="3" t="b">
        <f t="shared" si="12"/>
        <v>1</v>
      </c>
      <c r="O483" s="3" t="b">
        <f t="shared" si="13"/>
        <v>0</v>
      </c>
      <c r="P483" s="3" t="b">
        <f t="shared" si="14"/>
        <v>0</v>
      </c>
      <c r="Q483" s="3" t="b">
        <f t="shared" si="15"/>
        <v>0</v>
      </c>
      <c r="R483" s="3" t="b">
        <f t="shared" si="16"/>
        <v>0</v>
      </c>
      <c r="S483" s="3" t="b">
        <f t="shared" si="17"/>
        <v>0</v>
      </c>
      <c r="U483" s="3" t="s">
        <v>31</v>
      </c>
      <c r="V483" s="3" t="b">
        <v>1</v>
      </c>
      <c r="W483" s="3" t="b">
        <v>1</v>
      </c>
      <c r="X483" s="3" t="b">
        <v>1</v>
      </c>
      <c r="Y483" s="3" t="b">
        <v>1</v>
      </c>
      <c r="Z483" s="3" t="b">
        <v>1</v>
      </c>
      <c r="AA483" s="3"/>
      <c r="AB483" s="3"/>
      <c r="AC483" s="3"/>
      <c r="AD483" s="3"/>
      <c r="AE483" s="3"/>
      <c r="AF483" s="3" t="s">
        <v>31</v>
      </c>
      <c r="AG483" s="3" t="b">
        <v>1</v>
      </c>
      <c r="AH483" s="3" t="b">
        <v>1</v>
      </c>
      <c r="AI483" s="3" t="b">
        <v>1</v>
      </c>
      <c r="AJ483" s="3" t="b">
        <v>1</v>
      </c>
      <c r="AK483" s="3" t="b">
        <v>1</v>
      </c>
      <c r="AL483" s="3"/>
      <c r="AM483" s="3"/>
      <c r="AN483" s="3"/>
      <c r="AO483" s="3"/>
      <c r="AP483" s="3"/>
      <c r="AQ483" s="3" t="s">
        <v>31</v>
      </c>
      <c r="AR483" s="3" t="b">
        <v>1</v>
      </c>
      <c r="AS483" s="3" t="b">
        <v>1</v>
      </c>
      <c r="AT483" s="3" t="b">
        <v>1</v>
      </c>
      <c r="AU483" s="3" t="b">
        <v>1</v>
      </c>
      <c r="AV483" s="3" t="b">
        <v>1</v>
      </c>
      <c r="AW483" s="3" t="b">
        <f t="shared" si="18"/>
        <v>1</v>
      </c>
      <c r="AX483" s="3" t="b">
        <f t="shared" si="19"/>
        <v>0</v>
      </c>
      <c r="AY483" s="3" t="b">
        <f t="shared" si="20"/>
        <v>0</v>
      </c>
      <c r="AZ483" s="3" t="b">
        <f t="shared" si="21"/>
        <v>0</v>
      </c>
      <c r="BA483" s="3" t="b">
        <f t="shared" si="22"/>
        <v>0</v>
      </c>
      <c r="BB483" s="3" t="b">
        <f t="shared" si="23"/>
        <v>0</v>
      </c>
      <c r="BC483" s="3"/>
      <c r="BD483" s="3" t="s">
        <v>31</v>
      </c>
      <c r="BE483" s="3" t="b">
        <v>1</v>
      </c>
      <c r="BF483" s="3" t="b">
        <v>1</v>
      </c>
      <c r="BG483" s="3" t="b">
        <v>1</v>
      </c>
      <c r="BH483" s="3" t="b">
        <v>1</v>
      </c>
      <c r="BI483" s="3" t="b">
        <v>1</v>
      </c>
      <c r="BJ483" s="3"/>
      <c r="BK483" s="3"/>
      <c r="BL483" s="3"/>
      <c r="BM483" s="3"/>
      <c r="BN483" s="3"/>
      <c r="BO483" s="3" t="s">
        <v>31</v>
      </c>
      <c r="BP483" s="3" t="b">
        <v>1</v>
      </c>
      <c r="BQ483" s="3" t="b">
        <v>1</v>
      </c>
      <c r="BR483" s="3" t="b">
        <v>1</v>
      </c>
      <c r="BS483" s="3" t="b">
        <v>1</v>
      </c>
      <c r="BT483" s="3" t="b">
        <v>1</v>
      </c>
      <c r="BU483" s="3"/>
      <c r="BV483" s="3"/>
      <c r="BW483" s="3"/>
      <c r="BX483" s="3"/>
    </row>
    <row r="484" spans="1:76" x14ac:dyDescent="0.35">
      <c r="A484" s="3"/>
      <c r="B484" s="3" t="s">
        <v>1368</v>
      </c>
      <c r="C484" s="3"/>
      <c r="D484" s="3"/>
      <c r="E484" s="3"/>
      <c r="F484" s="3"/>
      <c r="G484" s="3"/>
      <c r="H484" s="3"/>
      <c r="I484" s="3"/>
      <c r="J484" s="3"/>
      <c r="K484" s="3"/>
      <c r="L484" s="3"/>
      <c r="M484" s="3"/>
      <c r="N484" s="3">
        <f t="shared" si="12"/>
        <v>0</v>
      </c>
      <c r="O484" s="3">
        <f t="shared" si="13"/>
        <v>0</v>
      </c>
      <c r="P484" s="3">
        <f t="shared" si="14"/>
        <v>0</v>
      </c>
      <c r="Q484" s="3">
        <f t="shared" si="15"/>
        <v>0</v>
      </c>
      <c r="R484" s="3">
        <f t="shared" si="16"/>
        <v>0</v>
      </c>
      <c r="S484" s="3">
        <f t="shared" si="17"/>
        <v>0</v>
      </c>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f t="shared" si="18"/>
        <v>0</v>
      </c>
      <c r="AX484" s="3">
        <f t="shared" si="19"/>
        <v>0</v>
      </c>
      <c r="AY484" s="3">
        <f t="shared" si="20"/>
        <v>0</v>
      </c>
      <c r="AZ484" s="3">
        <f t="shared" si="21"/>
        <v>0</v>
      </c>
      <c r="BA484" s="3">
        <f t="shared" si="22"/>
        <v>0</v>
      </c>
      <c r="BB484" s="3">
        <f t="shared" si="23"/>
        <v>0</v>
      </c>
      <c r="BC484" s="3"/>
      <c r="BD484" s="3"/>
      <c r="BE484" s="3"/>
      <c r="BF484" s="3"/>
      <c r="BG484" s="3"/>
      <c r="BH484" s="3"/>
      <c r="BI484" s="3"/>
      <c r="BJ484" s="3"/>
      <c r="BK484" s="3"/>
      <c r="BL484" s="3"/>
      <c r="BM484" s="3"/>
      <c r="BN484" s="3"/>
      <c r="BO484" s="3"/>
      <c r="BP484" s="3"/>
      <c r="BQ484" s="3"/>
      <c r="BR484" s="3"/>
      <c r="BS484" s="3"/>
      <c r="BT484" s="3"/>
      <c r="BU484" s="3"/>
      <c r="BV484" s="3"/>
      <c r="BW484" s="3"/>
      <c r="BX484" s="3"/>
    </row>
    <row r="485" spans="1:76" x14ac:dyDescent="0.35">
      <c r="A485" s="3"/>
      <c r="B485" s="3" t="s">
        <v>108</v>
      </c>
      <c r="C485" s="2" t="s">
        <v>109</v>
      </c>
      <c r="D485" s="3"/>
      <c r="E485" s="3"/>
      <c r="F485" s="3"/>
      <c r="G485" s="3" t="s">
        <v>3882</v>
      </c>
      <c r="H485" s="3" t="s">
        <v>111</v>
      </c>
      <c r="I485" s="3" t="b">
        <v>1</v>
      </c>
      <c r="J485" s="3" t="b">
        <v>1</v>
      </c>
      <c r="K485" s="3" t="b">
        <v>1</v>
      </c>
      <c r="L485" s="3" t="b">
        <v>1</v>
      </c>
      <c r="M485" s="3" t="b">
        <v>1</v>
      </c>
      <c r="N485" s="3" t="b">
        <f t="shared" si="12"/>
        <v>1</v>
      </c>
      <c r="O485" s="3" t="b">
        <f t="shared" si="13"/>
        <v>0</v>
      </c>
      <c r="P485" s="3" t="b">
        <f t="shared" si="14"/>
        <v>0</v>
      </c>
      <c r="Q485" s="3" t="b">
        <f t="shared" si="15"/>
        <v>0</v>
      </c>
      <c r="R485" s="3" t="b">
        <f t="shared" si="16"/>
        <v>0</v>
      </c>
      <c r="S485" s="3" t="b">
        <f t="shared" si="17"/>
        <v>0</v>
      </c>
      <c r="U485" s="3" t="s">
        <v>111</v>
      </c>
      <c r="V485" s="3" t="b">
        <v>1</v>
      </c>
      <c r="W485" s="3" t="b">
        <v>1</v>
      </c>
      <c r="X485" s="3" t="b">
        <v>1</v>
      </c>
      <c r="Y485" s="3" t="b">
        <v>1</v>
      </c>
      <c r="Z485" s="3" t="b">
        <v>1</v>
      </c>
      <c r="AA485" s="3"/>
      <c r="AB485" s="3"/>
      <c r="AC485" s="3"/>
      <c r="AD485" s="3"/>
      <c r="AE485" s="3"/>
      <c r="AF485" s="3" t="s">
        <v>111</v>
      </c>
      <c r="AG485" s="3" t="b">
        <v>1</v>
      </c>
      <c r="AH485" s="3" t="b">
        <v>1</v>
      </c>
      <c r="AI485" s="3" t="b">
        <v>1</v>
      </c>
      <c r="AJ485" s="3" t="b">
        <v>1</v>
      </c>
      <c r="AK485" s="3" t="b">
        <v>1</v>
      </c>
      <c r="AL485" s="3"/>
      <c r="AM485" s="3"/>
      <c r="AN485" s="3"/>
      <c r="AO485" s="3"/>
      <c r="AP485" s="3"/>
      <c r="AQ485" s="3" t="s">
        <v>236</v>
      </c>
      <c r="AR485" s="3" t="b">
        <v>1</v>
      </c>
      <c r="AS485" s="3" t="b">
        <v>0</v>
      </c>
      <c r="AT485" s="3" t="b">
        <v>0</v>
      </c>
      <c r="AU485" s="3" t="b">
        <v>1</v>
      </c>
      <c r="AV485" s="3" t="b">
        <v>0</v>
      </c>
      <c r="AW485" s="3" t="b">
        <f t="shared" si="18"/>
        <v>0</v>
      </c>
      <c r="AX485" s="3" t="b">
        <f t="shared" si="19"/>
        <v>0</v>
      </c>
      <c r="AY485" s="3" t="b">
        <f t="shared" si="20"/>
        <v>1</v>
      </c>
      <c r="AZ485" s="3" t="b">
        <f t="shared" si="21"/>
        <v>0</v>
      </c>
      <c r="BA485" s="3" t="b">
        <f t="shared" si="22"/>
        <v>0</v>
      </c>
      <c r="BB485" s="3" t="b">
        <f t="shared" si="23"/>
        <v>0</v>
      </c>
      <c r="BC485" s="3"/>
      <c r="BD485" s="3" t="s">
        <v>236</v>
      </c>
      <c r="BE485" s="3" t="b">
        <v>1</v>
      </c>
      <c r="BF485" s="3" t="b">
        <v>0</v>
      </c>
      <c r="BG485" s="3" t="b">
        <v>0</v>
      </c>
      <c r="BH485" s="3" t="b">
        <v>1</v>
      </c>
      <c r="BI485" s="3" t="b">
        <v>0</v>
      </c>
      <c r="BJ485" s="3"/>
      <c r="BK485" s="3"/>
      <c r="BL485" s="3"/>
      <c r="BM485" s="3"/>
      <c r="BN485" s="3"/>
      <c r="BO485" s="3" t="s">
        <v>236</v>
      </c>
      <c r="BP485" s="3" t="b">
        <v>1</v>
      </c>
      <c r="BQ485" s="3" t="b">
        <v>0</v>
      </c>
      <c r="BR485" s="3" t="b">
        <v>0</v>
      </c>
      <c r="BS485" s="3" t="b">
        <v>1</v>
      </c>
      <c r="BT485" s="3" t="b">
        <v>0</v>
      </c>
      <c r="BU485" s="3"/>
      <c r="BV485" s="3"/>
      <c r="BW485" s="3"/>
      <c r="BX485" s="3"/>
    </row>
    <row r="486" spans="1:76" x14ac:dyDescent="0.35">
      <c r="A486" s="3"/>
      <c r="B486" s="3"/>
      <c r="C486" s="2" t="s">
        <v>1370</v>
      </c>
      <c r="D486" s="3"/>
      <c r="E486" s="3"/>
      <c r="F486" s="3"/>
      <c r="G486" s="3" t="s">
        <v>3883</v>
      </c>
      <c r="H486" s="3"/>
      <c r="I486" s="3" t="b">
        <v>1</v>
      </c>
      <c r="J486" s="3" t="b">
        <v>0</v>
      </c>
      <c r="K486" s="3" t="b">
        <v>0</v>
      </c>
      <c r="L486" s="3" t="b">
        <v>0</v>
      </c>
      <c r="M486" s="3" t="b">
        <v>0</v>
      </c>
      <c r="N486" s="3" t="b">
        <f t="shared" si="12"/>
        <v>0</v>
      </c>
      <c r="O486" s="3" t="b">
        <f t="shared" si="13"/>
        <v>0</v>
      </c>
      <c r="P486" s="3" t="b">
        <f t="shared" si="14"/>
        <v>1</v>
      </c>
      <c r="Q486" s="3" t="b">
        <f t="shared" si="15"/>
        <v>0</v>
      </c>
      <c r="R486" s="3" t="b">
        <f t="shared" si="16"/>
        <v>0</v>
      </c>
      <c r="S486" s="3" t="b">
        <f t="shared" si="17"/>
        <v>0</v>
      </c>
      <c r="U486" s="3" t="s">
        <v>1372</v>
      </c>
      <c r="V486" s="3" t="b">
        <v>1</v>
      </c>
      <c r="W486" s="3" t="b">
        <v>1</v>
      </c>
      <c r="X486" s="3" t="b">
        <v>1</v>
      </c>
      <c r="Y486" s="3" t="b">
        <v>1</v>
      </c>
      <c r="Z486" s="3" t="b">
        <v>1</v>
      </c>
      <c r="AA486" s="3"/>
      <c r="AB486" s="3"/>
      <c r="AC486" s="3"/>
      <c r="AD486" s="3"/>
      <c r="AE486" s="3"/>
      <c r="AF486" s="3" t="s">
        <v>1373</v>
      </c>
      <c r="AG486" s="3" t="b">
        <v>1</v>
      </c>
      <c r="AH486" s="3" t="b">
        <v>1</v>
      </c>
      <c r="AI486" s="3" t="b">
        <v>1</v>
      </c>
      <c r="AJ486" s="3" t="b">
        <v>1</v>
      </c>
      <c r="AK486" s="3" t="b">
        <v>1</v>
      </c>
      <c r="AL486" s="3"/>
      <c r="AM486" s="3"/>
      <c r="AN486" s="3"/>
      <c r="AO486" s="3"/>
      <c r="AP486" s="3"/>
      <c r="AQ486" s="3" t="s">
        <v>122</v>
      </c>
      <c r="AR486" s="3" t="b">
        <v>1</v>
      </c>
      <c r="AS486" s="3" t="b">
        <v>0</v>
      </c>
      <c r="AT486" s="3" t="b">
        <v>0</v>
      </c>
      <c r="AU486" s="3" t="b">
        <v>1</v>
      </c>
      <c r="AV486" s="3" t="b">
        <v>0</v>
      </c>
      <c r="AW486" s="3" t="b">
        <f t="shared" si="18"/>
        <v>0</v>
      </c>
      <c r="AX486" s="3" t="b">
        <f t="shared" si="19"/>
        <v>0</v>
      </c>
      <c r="AY486" s="3" t="b">
        <f t="shared" si="20"/>
        <v>1</v>
      </c>
      <c r="AZ486" s="3" t="b">
        <f t="shared" si="21"/>
        <v>0</v>
      </c>
      <c r="BA486" s="3" t="b">
        <f t="shared" si="22"/>
        <v>0</v>
      </c>
      <c r="BB486" s="3" t="b">
        <f t="shared" si="23"/>
        <v>0</v>
      </c>
      <c r="BC486" s="3"/>
      <c r="BD486" s="3" t="s">
        <v>240</v>
      </c>
      <c r="BE486" s="3" t="b">
        <v>1</v>
      </c>
      <c r="BF486" s="3" t="b">
        <v>1</v>
      </c>
      <c r="BG486" s="3" t="b">
        <v>1</v>
      </c>
      <c r="BH486" s="3" t="b">
        <v>1</v>
      </c>
      <c r="BI486" s="3" t="b">
        <v>1</v>
      </c>
      <c r="BJ486" s="3"/>
      <c r="BK486" s="3"/>
      <c r="BL486" s="3"/>
      <c r="BM486" s="3"/>
      <c r="BN486" s="3"/>
      <c r="BO486" s="3" t="s">
        <v>240</v>
      </c>
      <c r="BP486" s="3" t="b">
        <v>1</v>
      </c>
      <c r="BQ486" s="3" t="b">
        <v>1</v>
      </c>
      <c r="BR486" s="3" t="b">
        <v>1</v>
      </c>
      <c r="BS486" s="3" t="b">
        <v>1</v>
      </c>
      <c r="BT486" s="3" t="b">
        <v>1</v>
      </c>
      <c r="BU486" s="3"/>
      <c r="BV486" s="3"/>
      <c r="BW486" s="3"/>
      <c r="BX486" s="3"/>
    </row>
    <row r="487" spans="1:76" x14ac:dyDescent="0.35">
      <c r="A487" s="3"/>
      <c r="B487" s="5" t="s">
        <v>1374</v>
      </c>
      <c r="C487" s="5" t="s">
        <v>131</v>
      </c>
      <c r="D487" s="3"/>
      <c r="E487" s="3"/>
      <c r="F487" s="3"/>
      <c r="G487" s="3"/>
      <c r="H487" s="3"/>
      <c r="I487" s="3"/>
      <c r="J487" s="3"/>
      <c r="K487" s="3"/>
      <c r="L487" s="3"/>
      <c r="M487" s="3"/>
      <c r="N487" s="3">
        <f t="shared" si="12"/>
        <v>0</v>
      </c>
      <c r="O487" s="3">
        <f t="shared" si="13"/>
        <v>0</v>
      </c>
      <c r="P487" s="3">
        <f t="shared" si="14"/>
        <v>0</v>
      </c>
      <c r="Q487" s="3">
        <f t="shared" si="15"/>
        <v>0</v>
      </c>
      <c r="R487" s="3">
        <f t="shared" si="16"/>
        <v>0</v>
      </c>
      <c r="S487" s="3">
        <f t="shared" si="17"/>
        <v>0</v>
      </c>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f t="shared" si="18"/>
        <v>0</v>
      </c>
      <c r="AX487" s="3">
        <f t="shared" si="19"/>
        <v>0</v>
      </c>
      <c r="AY487" s="3">
        <f t="shared" si="20"/>
        <v>0</v>
      </c>
      <c r="AZ487" s="3">
        <f t="shared" si="21"/>
        <v>0</v>
      </c>
      <c r="BA487" s="3">
        <f t="shared" si="22"/>
        <v>0</v>
      </c>
      <c r="BB487" s="3">
        <f t="shared" si="23"/>
        <v>0</v>
      </c>
      <c r="BC487" s="3"/>
      <c r="BD487" s="3"/>
      <c r="BE487" s="3"/>
      <c r="BF487" s="3"/>
      <c r="BG487" s="3"/>
      <c r="BH487" s="3"/>
      <c r="BI487" s="3"/>
      <c r="BJ487" s="3"/>
      <c r="BK487" s="3"/>
      <c r="BL487" s="3"/>
      <c r="BM487" s="3"/>
      <c r="BN487" s="3"/>
      <c r="BO487" s="3"/>
      <c r="BP487" s="3"/>
      <c r="BQ487" s="3"/>
      <c r="BR487" s="3"/>
      <c r="BS487" s="3"/>
      <c r="BT487" s="3"/>
      <c r="BU487" s="3"/>
      <c r="BV487" s="3"/>
      <c r="BW487" s="3"/>
      <c r="BX487" s="3"/>
    </row>
    <row r="488" spans="1:76" x14ac:dyDescent="0.35">
      <c r="A488" s="3"/>
      <c r="B488" s="5" t="s">
        <v>1375</v>
      </c>
      <c r="C488" s="5" t="s">
        <v>131</v>
      </c>
      <c r="D488" s="3"/>
      <c r="E488" s="3"/>
      <c r="F488" s="3"/>
      <c r="G488" s="3"/>
      <c r="H488" s="3"/>
      <c r="I488" s="3"/>
      <c r="J488" s="3"/>
      <c r="K488" s="3"/>
      <c r="L488" s="3"/>
      <c r="M488" s="3"/>
      <c r="N488" s="3">
        <f t="shared" si="12"/>
        <v>0</v>
      </c>
      <c r="O488" s="3">
        <f t="shared" si="13"/>
        <v>0</v>
      </c>
      <c r="P488" s="3">
        <f t="shared" si="14"/>
        <v>0</v>
      </c>
      <c r="Q488" s="3">
        <f t="shared" si="15"/>
        <v>0</v>
      </c>
      <c r="R488" s="3">
        <f t="shared" si="16"/>
        <v>0</v>
      </c>
      <c r="S488" s="3">
        <f t="shared" si="17"/>
        <v>0</v>
      </c>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f t="shared" si="18"/>
        <v>0</v>
      </c>
      <c r="AX488" s="3">
        <f t="shared" si="19"/>
        <v>0</v>
      </c>
      <c r="AY488" s="3">
        <f t="shared" si="20"/>
        <v>0</v>
      </c>
      <c r="AZ488" s="3">
        <f t="shared" si="21"/>
        <v>0</v>
      </c>
      <c r="BA488" s="3">
        <f t="shared" si="22"/>
        <v>0</v>
      </c>
      <c r="BB488" s="3">
        <f t="shared" si="23"/>
        <v>0</v>
      </c>
      <c r="BC488" s="3"/>
      <c r="BD488" s="3"/>
      <c r="BE488" s="3"/>
      <c r="BF488" s="3"/>
      <c r="BG488" s="3"/>
      <c r="BH488" s="3"/>
      <c r="BI488" s="3"/>
      <c r="BJ488" s="3"/>
      <c r="BK488" s="3"/>
      <c r="BL488" s="3"/>
      <c r="BM488" s="3"/>
      <c r="BN488" s="3"/>
      <c r="BO488" s="3"/>
      <c r="BP488" s="3"/>
      <c r="BQ488" s="3"/>
      <c r="BR488" s="3"/>
      <c r="BS488" s="3"/>
      <c r="BT488" s="3"/>
      <c r="BU488" s="3"/>
      <c r="BV488" s="3"/>
      <c r="BW488" s="3"/>
      <c r="BX488" s="3"/>
    </row>
    <row r="489" spans="1:76" x14ac:dyDescent="0.35">
      <c r="A489" s="3"/>
      <c r="B489" s="5" t="s">
        <v>1376</v>
      </c>
      <c r="C489" s="5" t="s">
        <v>131</v>
      </c>
      <c r="D489" s="3"/>
      <c r="E489" s="3"/>
      <c r="F489" s="3"/>
      <c r="G489" s="3"/>
      <c r="H489" s="3"/>
      <c r="I489" s="3"/>
      <c r="J489" s="3"/>
      <c r="K489" s="3"/>
      <c r="L489" s="3"/>
      <c r="M489" s="3"/>
      <c r="N489" s="3">
        <f t="shared" si="12"/>
        <v>0</v>
      </c>
      <c r="O489" s="3">
        <f t="shared" si="13"/>
        <v>0</v>
      </c>
      <c r="P489" s="3">
        <f t="shared" si="14"/>
        <v>0</v>
      </c>
      <c r="Q489" s="3">
        <f t="shared" si="15"/>
        <v>0</v>
      </c>
      <c r="R489" s="3">
        <f t="shared" si="16"/>
        <v>0</v>
      </c>
      <c r="S489" s="3">
        <f t="shared" si="17"/>
        <v>0</v>
      </c>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f t="shared" si="18"/>
        <v>0</v>
      </c>
      <c r="AX489" s="3">
        <f t="shared" si="19"/>
        <v>0</v>
      </c>
      <c r="AY489" s="3">
        <f t="shared" si="20"/>
        <v>0</v>
      </c>
      <c r="AZ489" s="3">
        <f t="shared" si="21"/>
        <v>0</v>
      </c>
      <c r="BA489" s="3">
        <f t="shared" si="22"/>
        <v>0</v>
      </c>
      <c r="BB489" s="3">
        <f t="shared" si="23"/>
        <v>0</v>
      </c>
      <c r="BC489" s="3"/>
      <c r="BD489" s="3"/>
      <c r="BE489" s="3"/>
      <c r="BF489" s="3"/>
      <c r="BG489" s="3"/>
      <c r="BH489" s="3"/>
      <c r="BI489" s="3"/>
      <c r="BJ489" s="3"/>
      <c r="BK489" s="3"/>
      <c r="BL489" s="3"/>
      <c r="BM489" s="3"/>
      <c r="BN489" s="3"/>
      <c r="BO489" s="3"/>
      <c r="BP489" s="3"/>
      <c r="BQ489" s="3"/>
      <c r="BR489" s="3"/>
      <c r="BS489" s="3"/>
      <c r="BT489" s="3"/>
      <c r="BU489" s="3"/>
      <c r="BV489" s="3"/>
      <c r="BW489" s="3"/>
      <c r="BX489" s="3"/>
    </row>
    <row r="490" spans="1:76" x14ac:dyDescent="0.35">
      <c r="A490" s="3"/>
      <c r="B490" s="3"/>
      <c r="C490" s="3"/>
      <c r="D490" s="3"/>
      <c r="E490" s="3"/>
      <c r="F490" s="3"/>
      <c r="G490" s="3"/>
      <c r="H490" s="3"/>
      <c r="I490" s="3"/>
      <c r="J490" s="3"/>
      <c r="K490" s="3"/>
      <c r="L490" s="3"/>
      <c r="M490" s="3"/>
      <c r="N490" s="3">
        <f t="shared" si="12"/>
        <v>0</v>
      </c>
      <c r="O490" s="3">
        <f t="shared" si="13"/>
        <v>0</v>
      </c>
      <c r="P490" s="3">
        <f t="shared" si="14"/>
        <v>0</v>
      </c>
      <c r="Q490" s="3">
        <f t="shared" si="15"/>
        <v>0</v>
      </c>
      <c r="R490" s="3">
        <f t="shared" si="16"/>
        <v>0</v>
      </c>
      <c r="S490" s="3">
        <f t="shared" si="17"/>
        <v>0</v>
      </c>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f t="shared" si="18"/>
        <v>0</v>
      </c>
      <c r="AX490" s="3">
        <f t="shared" si="19"/>
        <v>0</v>
      </c>
      <c r="AY490" s="3">
        <f t="shared" si="20"/>
        <v>0</v>
      </c>
      <c r="AZ490" s="3">
        <f t="shared" si="21"/>
        <v>0</v>
      </c>
      <c r="BA490" s="3">
        <f t="shared" si="22"/>
        <v>0</v>
      </c>
      <c r="BB490" s="3">
        <f t="shared" si="23"/>
        <v>0</v>
      </c>
      <c r="BC490" s="3"/>
      <c r="BD490" s="3"/>
      <c r="BE490" s="3"/>
      <c r="BF490" s="3"/>
      <c r="BG490" s="3"/>
      <c r="BH490" s="3"/>
      <c r="BI490" s="3"/>
      <c r="BJ490" s="3"/>
      <c r="BK490" s="3"/>
      <c r="BL490" s="3"/>
      <c r="BM490" s="3"/>
      <c r="BN490" s="3"/>
      <c r="BO490" s="3"/>
      <c r="BP490" s="3"/>
      <c r="BQ490" s="3"/>
      <c r="BR490" s="3"/>
      <c r="BS490" s="3"/>
      <c r="BT490" s="3"/>
      <c r="BU490" s="3"/>
      <c r="BV490" s="3"/>
      <c r="BW490" s="3"/>
      <c r="BX490" s="3"/>
    </row>
    <row r="491" spans="1:76" x14ac:dyDescent="0.35">
      <c r="A491" t="s">
        <v>1377</v>
      </c>
      <c r="B491" t="s">
        <v>1378</v>
      </c>
      <c r="C491" t="s">
        <v>1379</v>
      </c>
      <c r="D491" t="s">
        <v>1380</v>
      </c>
      <c r="E491" t="s">
        <v>1381</v>
      </c>
      <c r="F491" s="3"/>
      <c r="G491" t="s">
        <v>3884</v>
      </c>
      <c r="H491" t="s">
        <v>1383</v>
      </c>
      <c r="I491" t="b">
        <v>1</v>
      </c>
      <c r="J491" t="b">
        <v>1</v>
      </c>
      <c r="K491" t="b">
        <v>1</v>
      </c>
      <c r="L491" t="b">
        <v>1</v>
      </c>
      <c r="M491" t="b">
        <v>1</v>
      </c>
      <c r="N491" s="3" t="b">
        <f t="shared" si="12"/>
        <v>1</v>
      </c>
      <c r="O491" s="3" t="b">
        <f t="shared" si="13"/>
        <v>0</v>
      </c>
      <c r="P491" s="3" t="b">
        <f t="shared" si="14"/>
        <v>0</v>
      </c>
      <c r="Q491" s="3" t="b">
        <f t="shared" si="15"/>
        <v>0</v>
      </c>
      <c r="R491" s="3" t="b">
        <f t="shared" si="16"/>
        <v>0</v>
      </c>
      <c r="S491" s="3" t="b">
        <f t="shared" si="17"/>
        <v>0</v>
      </c>
      <c r="U491" t="s">
        <v>1383</v>
      </c>
      <c r="V491" t="b">
        <v>1</v>
      </c>
      <c r="W491" t="b">
        <v>1</v>
      </c>
      <c r="X491" t="b">
        <v>1</v>
      </c>
      <c r="Y491" t="b">
        <v>1</v>
      </c>
      <c r="Z491" t="b">
        <v>1</v>
      </c>
      <c r="AA491" s="3"/>
      <c r="AB491" s="3"/>
      <c r="AC491" s="3"/>
      <c r="AD491" s="3"/>
      <c r="AE491" s="3"/>
      <c r="AF491" t="s">
        <v>1383</v>
      </c>
      <c r="AG491" t="b">
        <v>1</v>
      </c>
      <c r="AH491" t="b">
        <v>1</v>
      </c>
      <c r="AI491" t="b">
        <v>1</v>
      </c>
      <c r="AJ491" t="b">
        <v>1</v>
      </c>
      <c r="AK491" t="b">
        <v>1</v>
      </c>
      <c r="AL491" s="3"/>
      <c r="AM491" s="3"/>
      <c r="AN491" s="3"/>
      <c r="AO491" s="3"/>
      <c r="AP491" s="3"/>
      <c r="AQ491" s="3" t="s">
        <v>1384</v>
      </c>
      <c r="AR491" s="3" t="b">
        <v>1</v>
      </c>
      <c r="AS491" s="3" t="b">
        <v>1</v>
      </c>
      <c r="AT491" s="3" t="b">
        <v>1</v>
      </c>
      <c r="AU491" s="3" t="b">
        <v>1</v>
      </c>
      <c r="AV491" s="3" t="b">
        <v>1</v>
      </c>
      <c r="AW491" s="3" t="b">
        <f t="shared" si="18"/>
        <v>1</v>
      </c>
      <c r="AX491" s="3" t="b">
        <f t="shared" si="19"/>
        <v>0</v>
      </c>
      <c r="AY491" s="3" t="b">
        <f t="shared" si="20"/>
        <v>0</v>
      </c>
      <c r="AZ491" s="3" t="b">
        <f t="shared" si="21"/>
        <v>0</v>
      </c>
      <c r="BA491" s="3" t="b">
        <f t="shared" si="22"/>
        <v>0</v>
      </c>
      <c r="BB491" s="3" t="b">
        <f t="shared" si="23"/>
        <v>0</v>
      </c>
      <c r="BC491" s="3"/>
      <c r="BD491" s="3" t="s">
        <v>1384</v>
      </c>
      <c r="BE491" s="3" t="b">
        <v>1</v>
      </c>
      <c r="BF491" s="3" t="b">
        <v>1</v>
      </c>
      <c r="BG491" s="3" t="b">
        <v>1</v>
      </c>
      <c r="BH491" s="3" t="b">
        <v>1</v>
      </c>
      <c r="BI491" s="3" t="b">
        <v>1</v>
      </c>
      <c r="BJ491" s="3"/>
      <c r="BK491" s="3"/>
      <c r="BL491" s="3"/>
      <c r="BM491" s="3"/>
      <c r="BN491" s="3"/>
      <c r="BO491" s="3" t="s">
        <v>1385</v>
      </c>
      <c r="BP491" s="3" t="b">
        <v>1</v>
      </c>
      <c r="BQ491" s="3" t="b">
        <v>1</v>
      </c>
      <c r="BR491" s="3" t="b">
        <v>1</v>
      </c>
      <c r="BS491" s="3" t="b">
        <v>1</v>
      </c>
      <c r="BT491" s="3" t="b">
        <v>1</v>
      </c>
      <c r="BU491" s="3"/>
      <c r="BV491" s="3"/>
      <c r="BW491" s="3"/>
      <c r="BX491" s="3"/>
    </row>
    <row r="492" spans="1:76" x14ac:dyDescent="0.35">
      <c r="C492" t="s">
        <v>1386</v>
      </c>
      <c r="F492" s="3"/>
      <c r="G492" t="s">
        <v>3885</v>
      </c>
      <c r="H492" t="s">
        <v>1388</v>
      </c>
      <c r="I492" t="b">
        <v>1</v>
      </c>
      <c r="J492" t="b">
        <v>1</v>
      </c>
      <c r="K492" t="b">
        <v>1</v>
      </c>
      <c r="L492" t="b">
        <v>1</v>
      </c>
      <c r="M492" t="b">
        <v>1</v>
      </c>
      <c r="N492" s="3" t="b">
        <f t="shared" si="12"/>
        <v>1</v>
      </c>
      <c r="O492" s="3" t="b">
        <f t="shared" si="13"/>
        <v>0</v>
      </c>
      <c r="P492" s="3" t="b">
        <f t="shared" si="14"/>
        <v>0</v>
      </c>
      <c r="Q492" s="3" t="b">
        <f t="shared" si="15"/>
        <v>0</v>
      </c>
      <c r="R492" s="3" t="b">
        <f t="shared" si="16"/>
        <v>0</v>
      </c>
      <c r="S492" s="3" t="b">
        <f t="shared" si="17"/>
        <v>0</v>
      </c>
      <c r="U492" t="s">
        <v>1388</v>
      </c>
      <c r="V492" t="b">
        <v>1</v>
      </c>
      <c r="W492" t="b">
        <v>1</v>
      </c>
      <c r="X492" t="b">
        <v>1</v>
      </c>
      <c r="Y492" t="b">
        <v>1</v>
      </c>
      <c r="Z492" t="b">
        <v>1</v>
      </c>
      <c r="AA492" s="3"/>
      <c r="AB492" s="3"/>
      <c r="AC492" s="3"/>
      <c r="AD492" s="3"/>
      <c r="AE492" s="3"/>
      <c r="AF492" t="s">
        <v>1389</v>
      </c>
      <c r="AG492" t="b">
        <v>1</v>
      </c>
      <c r="AH492" t="b">
        <v>1</v>
      </c>
      <c r="AI492" t="b">
        <v>1</v>
      </c>
      <c r="AJ492" t="b">
        <v>1</v>
      </c>
      <c r="AK492" t="b">
        <v>1</v>
      </c>
      <c r="AL492" s="3"/>
      <c r="AM492" s="3"/>
      <c r="AN492" s="3"/>
      <c r="AO492" s="3"/>
      <c r="AP492" s="3"/>
      <c r="AQ492" s="3" t="s">
        <v>1389</v>
      </c>
      <c r="AR492" s="3" t="b">
        <v>1</v>
      </c>
      <c r="AS492" s="3" t="b">
        <v>1</v>
      </c>
      <c r="AT492" s="3" t="b">
        <v>1</v>
      </c>
      <c r="AU492" s="3" t="b">
        <v>1</v>
      </c>
      <c r="AV492" s="3" t="b">
        <v>1</v>
      </c>
      <c r="AW492" s="3" t="b">
        <f t="shared" si="18"/>
        <v>1</v>
      </c>
      <c r="AX492" s="3" t="b">
        <f t="shared" si="19"/>
        <v>0</v>
      </c>
      <c r="AY492" s="3" t="b">
        <f t="shared" si="20"/>
        <v>0</v>
      </c>
      <c r="AZ492" s="3" t="b">
        <f t="shared" si="21"/>
        <v>0</v>
      </c>
      <c r="BA492" s="3" t="b">
        <f t="shared" si="22"/>
        <v>0</v>
      </c>
      <c r="BB492" s="3" t="b">
        <f t="shared" si="23"/>
        <v>0</v>
      </c>
      <c r="BC492" s="3"/>
      <c r="BD492" s="3" t="s">
        <v>1389</v>
      </c>
      <c r="BE492" s="3" t="b">
        <v>1</v>
      </c>
      <c r="BF492" s="3" t="b">
        <v>1</v>
      </c>
      <c r="BG492" s="3" t="b">
        <v>1</v>
      </c>
      <c r="BH492" s="3" t="b">
        <v>1</v>
      </c>
      <c r="BI492" s="3" t="b">
        <v>1</v>
      </c>
      <c r="BJ492" s="3"/>
      <c r="BK492" s="3"/>
      <c r="BL492" s="3"/>
      <c r="BM492" s="3"/>
      <c r="BN492" s="3"/>
      <c r="BO492" s="3" t="s">
        <v>1389</v>
      </c>
      <c r="BP492" s="3" t="b">
        <v>1</v>
      </c>
      <c r="BQ492" s="3" t="b">
        <v>1</v>
      </c>
      <c r="BR492" s="3" t="b">
        <v>1</v>
      </c>
      <c r="BS492" s="3" t="b">
        <v>1</v>
      </c>
      <c r="BT492" s="3" t="b">
        <v>1</v>
      </c>
      <c r="BU492" s="3"/>
      <c r="BV492" s="3"/>
      <c r="BW492" s="3"/>
      <c r="BX492" s="3"/>
    </row>
    <row r="493" spans="1:76" x14ac:dyDescent="0.35">
      <c r="B493" t="s">
        <v>636</v>
      </c>
      <c r="F493" s="3"/>
      <c r="N493" s="3">
        <f t="shared" si="12"/>
        <v>0</v>
      </c>
      <c r="O493" s="3">
        <f t="shared" si="13"/>
        <v>0</v>
      </c>
      <c r="P493" s="3">
        <f t="shared" si="14"/>
        <v>0</v>
      </c>
      <c r="Q493" s="3">
        <f t="shared" si="15"/>
        <v>0</v>
      </c>
      <c r="R493" s="3">
        <f t="shared" si="16"/>
        <v>0</v>
      </c>
      <c r="S493" s="3">
        <f t="shared" si="17"/>
        <v>0</v>
      </c>
      <c r="AA493" s="3"/>
      <c r="AB493" s="3"/>
      <c r="AC493" s="3"/>
      <c r="AD493" s="3"/>
      <c r="AE493" s="3"/>
      <c r="AL493" s="3"/>
      <c r="AM493" s="3"/>
      <c r="AN493" s="3"/>
      <c r="AO493" s="3"/>
      <c r="AP493" s="3"/>
      <c r="AQ493" s="3"/>
      <c r="AR493" s="3"/>
      <c r="AS493" s="3"/>
      <c r="AT493" s="3"/>
      <c r="AU493" s="3"/>
      <c r="AV493" s="3"/>
      <c r="AW493" s="3">
        <f t="shared" si="18"/>
        <v>0</v>
      </c>
      <c r="AX493" s="3">
        <f t="shared" si="19"/>
        <v>0</v>
      </c>
      <c r="AY493" s="3">
        <f t="shared" si="20"/>
        <v>0</v>
      </c>
      <c r="AZ493" s="3">
        <f t="shared" si="21"/>
        <v>0</v>
      </c>
      <c r="BA493" s="3">
        <f t="shared" si="22"/>
        <v>0</v>
      </c>
      <c r="BB493" s="3">
        <f t="shared" si="23"/>
        <v>0</v>
      </c>
      <c r="BC493" s="3"/>
      <c r="BD493" s="3"/>
      <c r="BE493" s="3"/>
      <c r="BF493" s="3"/>
      <c r="BG493" s="3"/>
      <c r="BH493" s="3"/>
      <c r="BI493" s="3"/>
      <c r="BJ493" s="3"/>
      <c r="BK493" s="3"/>
      <c r="BL493" s="3"/>
      <c r="BM493" s="3"/>
      <c r="BN493" s="3"/>
      <c r="BO493" s="3"/>
      <c r="BP493" s="3"/>
      <c r="BQ493" s="3"/>
      <c r="BR493" s="3"/>
      <c r="BS493" s="3"/>
      <c r="BT493" s="3"/>
      <c r="BU493" s="3"/>
      <c r="BV493" s="3"/>
      <c r="BW493" s="3"/>
      <c r="BX493" s="3"/>
    </row>
    <row r="494" spans="1:76" x14ac:dyDescent="0.35">
      <c r="B494" t="s">
        <v>254</v>
      </c>
      <c r="F494" s="3"/>
      <c r="N494" s="3">
        <f t="shared" si="12"/>
        <v>0</v>
      </c>
      <c r="O494" s="3">
        <f t="shared" si="13"/>
        <v>0</v>
      </c>
      <c r="P494" s="3">
        <f t="shared" si="14"/>
        <v>0</v>
      </c>
      <c r="Q494" s="3">
        <f t="shared" si="15"/>
        <v>0</v>
      </c>
      <c r="R494" s="3">
        <f t="shared" si="16"/>
        <v>0</v>
      </c>
      <c r="S494" s="3">
        <f t="shared" si="17"/>
        <v>0</v>
      </c>
      <c r="AA494" s="3"/>
      <c r="AB494" s="3"/>
      <c r="AC494" s="3"/>
      <c r="AD494" s="3"/>
      <c r="AE494" s="3"/>
      <c r="AL494" s="3"/>
      <c r="AM494" s="3"/>
      <c r="AN494" s="3"/>
      <c r="AO494" s="3"/>
      <c r="AP494" s="3"/>
      <c r="AQ494" s="3"/>
      <c r="AR494" s="3"/>
      <c r="AS494" s="3"/>
      <c r="AT494" s="3"/>
      <c r="AU494" s="3"/>
      <c r="AV494" s="3"/>
      <c r="AW494" s="3">
        <f t="shared" si="18"/>
        <v>0</v>
      </c>
      <c r="AX494" s="3">
        <f t="shared" si="19"/>
        <v>0</v>
      </c>
      <c r="AY494" s="3">
        <f t="shared" si="20"/>
        <v>0</v>
      </c>
      <c r="AZ494" s="3">
        <f t="shared" si="21"/>
        <v>0</v>
      </c>
      <c r="BA494" s="3">
        <f t="shared" si="22"/>
        <v>0</v>
      </c>
      <c r="BB494" s="3">
        <f t="shared" si="23"/>
        <v>0</v>
      </c>
      <c r="BC494" s="3"/>
      <c r="BD494" s="3"/>
      <c r="BE494" s="3"/>
      <c r="BF494" s="3"/>
      <c r="BG494" s="3"/>
      <c r="BH494" s="3"/>
      <c r="BI494" s="3"/>
      <c r="BJ494" s="3"/>
      <c r="BK494" s="3"/>
      <c r="BL494" s="3"/>
      <c r="BM494" s="3"/>
      <c r="BN494" s="3"/>
      <c r="BO494" s="3"/>
      <c r="BP494" s="3"/>
      <c r="BQ494" s="3"/>
      <c r="BR494" s="3"/>
      <c r="BS494" s="3"/>
      <c r="BT494" s="3"/>
      <c r="BU494" s="3"/>
      <c r="BV494" s="3"/>
      <c r="BW494" s="3"/>
      <c r="BX494" s="3"/>
    </row>
    <row r="495" spans="1:76" x14ac:dyDescent="0.35">
      <c r="B495" t="s">
        <v>264</v>
      </c>
      <c r="C495" t="s">
        <v>637</v>
      </c>
      <c r="D495" t="s">
        <v>638</v>
      </c>
      <c r="E495" t="s">
        <v>639</v>
      </c>
      <c r="G495" t="s">
        <v>3886</v>
      </c>
      <c r="H495" t="s">
        <v>1390</v>
      </c>
      <c r="I495" t="b">
        <v>1</v>
      </c>
      <c r="J495" t="b">
        <v>1</v>
      </c>
      <c r="K495" t="b">
        <v>1</v>
      </c>
      <c r="L495" t="b">
        <v>1</v>
      </c>
      <c r="M495" t="b">
        <v>0</v>
      </c>
      <c r="N495" s="3" t="b">
        <f t="shared" si="12"/>
        <v>0</v>
      </c>
      <c r="O495" s="3" t="b">
        <f t="shared" si="13"/>
        <v>1</v>
      </c>
      <c r="P495" s="3" t="b">
        <f t="shared" si="14"/>
        <v>0</v>
      </c>
      <c r="Q495" s="3" t="b">
        <f t="shared" si="15"/>
        <v>0</v>
      </c>
      <c r="R495" s="3" t="b">
        <f t="shared" si="16"/>
        <v>1</v>
      </c>
      <c r="S495" s="3" t="b">
        <f t="shared" si="17"/>
        <v>0</v>
      </c>
      <c r="V495" t="b">
        <v>1</v>
      </c>
      <c r="W495" t="b">
        <v>0</v>
      </c>
      <c r="X495" t="b">
        <v>0</v>
      </c>
      <c r="Y495" t="b">
        <v>0</v>
      </c>
      <c r="Z495" t="b">
        <v>0</v>
      </c>
      <c r="AA495" s="3"/>
      <c r="AB495" s="3"/>
      <c r="AC495" s="3"/>
      <c r="AD495" s="3"/>
      <c r="AF495" t="s">
        <v>1391</v>
      </c>
      <c r="AG495" t="b">
        <v>1</v>
      </c>
      <c r="AH495" t="b">
        <v>1</v>
      </c>
      <c r="AI495" t="b">
        <v>1</v>
      </c>
      <c r="AJ495" t="b">
        <v>1</v>
      </c>
      <c r="AK495" t="b">
        <v>0</v>
      </c>
      <c r="AL495" s="3"/>
      <c r="AM495" s="3"/>
      <c r="AN495" s="3"/>
      <c r="AO495" s="3"/>
      <c r="AQ495" s="4" t="s">
        <v>1392</v>
      </c>
      <c r="AR495" s="4" t="b">
        <v>1</v>
      </c>
      <c r="AS495" s="4" t="b">
        <v>0</v>
      </c>
      <c r="AT495" s="4" t="b">
        <v>0</v>
      </c>
      <c r="AU495" s="4" t="b">
        <v>0</v>
      </c>
      <c r="AV495" s="4" t="b">
        <v>0</v>
      </c>
      <c r="AW495" s="3" t="b">
        <f t="shared" si="18"/>
        <v>0</v>
      </c>
      <c r="AX495" s="3" t="b">
        <f t="shared" si="19"/>
        <v>0</v>
      </c>
      <c r="AY495" s="3" t="b">
        <f t="shared" si="20"/>
        <v>1</v>
      </c>
      <c r="AZ495" s="3" t="b">
        <f t="shared" si="21"/>
        <v>0</v>
      </c>
      <c r="BA495" s="3" t="b">
        <f t="shared" si="22"/>
        <v>0</v>
      </c>
      <c r="BB495" s="3" t="b">
        <f t="shared" si="23"/>
        <v>0</v>
      </c>
      <c r="BD495" s="4" t="s">
        <v>1393</v>
      </c>
      <c r="BE495" s="4" t="b">
        <v>1</v>
      </c>
      <c r="BF495" s="4" t="b">
        <v>0</v>
      </c>
      <c r="BG495" s="4" t="b">
        <v>0</v>
      </c>
      <c r="BH495" s="4" t="b">
        <v>0</v>
      </c>
      <c r="BI495" s="4" t="b">
        <v>0</v>
      </c>
      <c r="BO495" s="4" t="s">
        <v>1394</v>
      </c>
      <c r="BP495" s="4" t="b">
        <v>1</v>
      </c>
      <c r="BQ495" s="4" t="b">
        <v>1</v>
      </c>
      <c r="BR495" s="4" t="b">
        <v>1</v>
      </c>
      <c r="BS495" s="4" t="b">
        <v>0</v>
      </c>
      <c r="BT495" s="4" t="b">
        <v>0</v>
      </c>
    </row>
    <row r="496" spans="1:76" x14ac:dyDescent="0.35">
      <c r="B496" t="s">
        <v>644</v>
      </c>
      <c r="C496" t="s">
        <v>645</v>
      </c>
      <c r="G496" t="s">
        <v>3887</v>
      </c>
      <c r="H496" t="s">
        <v>647</v>
      </c>
      <c r="I496" t="b">
        <v>1</v>
      </c>
      <c r="J496" t="b">
        <v>1</v>
      </c>
      <c r="K496" t="b">
        <v>1</v>
      </c>
      <c r="L496" t="b">
        <v>1</v>
      </c>
      <c r="M496" t="b">
        <v>1</v>
      </c>
      <c r="N496" s="3" t="b">
        <f t="shared" si="12"/>
        <v>1</v>
      </c>
      <c r="O496" s="3" t="b">
        <f t="shared" si="13"/>
        <v>0</v>
      </c>
      <c r="P496" s="3" t="b">
        <f t="shared" si="14"/>
        <v>0</v>
      </c>
      <c r="Q496" s="3" t="b">
        <f t="shared" si="15"/>
        <v>0</v>
      </c>
      <c r="R496" s="3" t="b">
        <f t="shared" si="16"/>
        <v>0</v>
      </c>
      <c r="S496" s="3" t="b">
        <f t="shared" si="17"/>
        <v>0</v>
      </c>
      <c r="U496" t="s">
        <v>647</v>
      </c>
      <c r="V496" t="b">
        <v>1</v>
      </c>
      <c r="W496" t="b">
        <v>1</v>
      </c>
      <c r="X496" t="b">
        <v>1</v>
      </c>
      <c r="Y496" t="b">
        <v>1</v>
      </c>
      <c r="Z496" t="b">
        <v>1</v>
      </c>
      <c r="AA496" s="3"/>
      <c r="AB496" s="3"/>
      <c r="AC496" s="3"/>
      <c r="AD496" s="3"/>
      <c r="AF496" t="s">
        <v>647</v>
      </c>
      <c r="AG496" t="b">
        <v>1</v>
      </c>
      <c r="AH496" t="b">
        <v>1</v>
      </c>
      <c r="AI496" t="b">
        <v>1</v>
      </c>
      <c r="AJ496" t="b">
        <v>1</v>
      </c>
      <c r="AK496" t="b">
        <v>1</v>
      </c>
      <c r="AL496" s="3"/>
      <c r="AM496" s="3"/>
      <c r="AN496" s="3"/>
      <c r="AO496" s="3"/>
      <c r="AQ496" s="4" t="s">
        <v>647</v>
      </c>
      <c r="AR496" s="4" t="b">
        <v>1</v>
      </c>
      <c r="AS496" s="4" t="b">
        <v>1</v>
      </c>
      <c r="AT496" s="4" t="b">
        <v>1</v>
      </c>
      <c r="AU496" s="4" t="b">
        <v>1</v>
      </c>
      <c r="AV496" s="4" t="b">
        <v>1</v>
      </c>
      <c r="AW496" s="3" t="b">
        <f t="shared" si="18"/>
        <v>1</v>
      </c>
      <c r="AX496" s="3" t="b">
        <f t="shared" si="19"/>
        <v>0</v>
      </c>
      <c r="AY496" s="3" t="b">
        <f t="shared" si="20"/>
        <v>0</v>
      </c>
      <c r="AZ496" s="3" t="b">
        <f t="shared" si="21"/>
        <v>0</v>
      </c>
      <c r="BA496" s="3" t="b">
        <f t="shared" si="22"/>
        <v>0</v>
      </c>
      <c r="BB496" s="3" t="b">
        <f t="shared" si="23"/>
        <v>0</v>
      </c>
      <c r="BD496" s="4" t="s">
        <v>647</v>
      </c>
      <c r="BE496" s="4" t="b">
        <v>1</v>
      </c>
      <c r="BF496" s="4" t="b">
        <v>1</v>
      </c>
      <c r="BG496" s="4" t="b">
        <v>1</v>
      </c>
      <c r="BH496" s="4" t="b">
        <v>1</v>
      </c>
      <c r="BI496" s="4" t="b">
        <v>1</v>
      </c>
      <c r="BO496" s="4" t="s">
        <v>647</v>
      </c>
      <c r="BP496" s="4" t="b">
        <v>1</v>
      </c>
      <c r="BQ496" s="4" t="b">
        <v>1</v>
      </c>
      <c r="BR496" s="4" t="b">
        <v>1</v>
      </c>
      <c r="BS496" s="4" t="b">
        <v>1</v>
      </c>
      <c r="BT496" s="4" t="b">
        <v>1</v>
      </c>
    </row>
    <row r="497" spans="1:72" x14ac:dyDescent="0.35">
      <c r="C497" t="s">
        <v>648</v>
      </c>
      <c r="G497" t="s">
        <v>3888</v>
      </c>
      <c r="H497" t="s">
        <v>1396</v>
      </c>
      <c r="I497" t="b">
        <v>1</v>
      </c>
      <c r="J497" t="b">
        <v>0</v>
      </c>
      <c r="K497" t="b">
        <v>0</v>
      </c>
      <c r="L497" t="b">
        <v>1</v>
      </c>
      <c r="M497" t="b">
        <v>0</v>
      </c>
      <c r="N497" s="3" t="b">
        <f t="shared" si="12"/>
        <v>0</v>
      </c>
      <c r="O497" s="3" t="b">
        <f t="shared" si="13"/>
        <v>0</v>
      </c>
      <c r="P497" s="3" t="b">
        <f t="shared" si="14"/>
        <v>1</v>
      </c>
      <c r="Q497" s="3" t="b">
        <f t="shared" si="15"/>
        <v>0</v>
      </c>
      <c r="R497" s="3" t="b">
        <f t="shared" si="16"/>
        <v>0</v>
      </c>
      <c r="S497" s="3" t="b">
        <f t="shared" si="17"/>
        <v>0</v>
      </c>
      <c r="U497" t="s">
        <v>1397</v>
      </c>
      <c r="V497" t="b">
        <v>1</v>
      </c>
      <c r="W497" t="b">
        <v>1</v>
      </c>
      <c r="X497" t="b">
        <v>1</v>
      </c>
      <c r="Y497" t="b">
        <v>1</v>
      </c>
      <c r="Z497" t="b">
        <v>1</v>
      </c>
      <c r="AA497" s="3"/>
      <c r="AB497" s="3"/>
      <c r="AC497" s="3"/>
      <c r="AD497" s="3"/>
      <c r="AF497" t="s">
        <v>1396</v>
      </c>
      <c r="AG497" t="b">
        <v>1</v>
      </c>
      <c r="AH497" t="b">
        <v>0</v>
      </c>
      <c r="AI497" t="b">
        <v>0</v>
      </c>
      <c r="AJ497" t="b">
        <v>1</v>
      </c>
      <c r="AK497" t="b">
        <v>0</v>
      </c>
      <c r="AL497" s="3"/>
      <c r="AM497" s="3"/>
      <c r="AN497" s="3"/>
      <c r="AO497" s="3"/>
      <c r="AQ497" s="4" t="s">
        <v>1396</v>
      </c>
      <c r="AR497" s="4" t="b">
        <v>1</v>
      </c>
      <c r="AS497" s="4" t="b">
        <v>0</v>
      </c>
      <c r="AT497" s="4" t="b">
        <v>0</v>
      </c>
      <c r="AU497" s="4" t="b">
        <v>1</v>
      </c>
      <c r="AV497" s="4" t="b">
        <v>0</v>
      </c>
      <c r="AW497" s="3" t="b">
        <f t="shared" si="18"/>
        <v>0</v>
      </c>
      <c r="AX497" s="3" t="b">
        <f t="shared" si="19"/>
        <v>0</v>
      </c>
      <c r="AY497" s="3" t="b">
        <f t="shared" si="20"/>
        <v>1</v>
      </c>
      <c r="AZ497" s="3" t="b">
        <f t="shared" si="21"/>
        <v>0</v>
      </c>
      <c r="BA497" s="3" t="b">
        <f t="shared" si="22"/>
        <v>0</v>
      </c>
      <c r="BB497" s="3" t="b">
        <f t="shared" si="23"/>
        <v>0</v>
      </c>
      <c r="BD497" s="4" t="s">
        <v>1398</v>
      </c>
      <c r="BE497" s="4" t="b">
        <v>1</v>
      </c>
      <c r="BF497" s="4" t="b">
        <v>0</v>
      </c>
      <c r="BG497" s="4" t="b">
        <v>0</v>
      </c>
      <c r="BH497" s="4" t="b">
        <v>1</v>
      </c>
      <c r="BI497" s="4" t="b">
        <v>0</v>
      </c>
      <c r="BO497" s="4" t="s">
        <v>1399</v>
      </c>
      <c r="BP497" s="4" t="b">
        <v>1</v>
      </c>
      <c r="BQ497" s="4" t="b">
        <v>0</v>
      </c>
      <c r="BR497" s="4" t="b">
        <v>0</v>
      </c>
      <c r="BS497" s="4" t="b">
        <v>1</v>
      </c>
      <c r="BT497" s="4" t="b">
        <v>0</v>
      </c>
    </row>
    <row r="498" spans="1:72" x14ac:dyDescent="0.35">
      <c r="N498" s="3">
        <f t="shared" si="12"/>
        <v>0</v>
      </c>
      <c r="O498" s="3">
        <f t="shared" si="13"/>
        <v>0</v>
      </c>
      <c r="P498" s="3">
        <f t="shared" si="14"/>
        <v>0</v>
      </c>
      <c r="Q498" s="3">
        <f t="shared" si="15"/>
        <v>0</v>
      </c>
      <c r="R498" s="3">
        <f t="shared" si="16"/>
        <v>0</v>
      </c>
      <c r="S498" s="3">
        <f t="shared" si="17"/>
        <v>0</v>
      </c>
      <c r="AA498" s="3"/>
      <c r="AB498" s="3"/>
      <c r="AC498" s="3"/>
      <c r="AD498" s="3"/>
      <c r="AL498" s="3"/>
      <c r="AM498" s="3"/>
      <c r="AN498" s="3"/>
      <c r="AO498" s="3"/>
      <c r="AW498" s="3">
        <f t="shared" si="18"/>
        <v>0</v>
      </c>
      <c r="AX498" s="3">
        <f t="shared" si="19"/>
        <v>0</v>
      </c>
      <c r="AY498" s="3">
        <f t="shared" si="20"/>
        <v>0</v>
      </c>
      <c r="AZ498" s="3">
        <f t="shared" si="21"/>
        <v>0</v>
      </c>
      <c r="BA498" s="3">
        <f t="shared" si="22"/>
        <v>0</v>
      </c>
      <c r="BB498" s="3">
        <f t="shared" si="23"/>
        <v>0</v>
      </c>
    </row>
    <row r="499" spans="1:72" x14ac:dyDescent="0.35">
      <c r="A499" t="s">
        <v>1400</v>
      </c>
      <c r="B499" t="s">
        <v>1401</v>
      </c>
      <c r="C499" t="s">
        <v>25</v>
      </c>
      <c r="G499" t="s">
        <v>3889</v>
      </c>
      <c r="H499" t="s">
        <v>31</v>
      </c>
      <c r="I499" t="b">
        <v>1</v>
      </c>
      <c r="J499" t="b">
        <v>1</v>
      </c>
      <c r="K499" t="b">
        <v>1</v>
      </c>
      <c r="L499" t="b">
        <v>1</v>
      </c>
      <c r="M499" t="b">
        <v>1</v>
      </c>
      <c r="N499" s="3" t="b">
        <f t="shared" si="12"/>
        <v>1</v>
      </c>
      <c r="O499" s="3" t="b">
        <f t="shared" si="13"/>
        <v>0</v>
      </c>
      <c r="P499" s="3" t="b">
        <f t="shared" si="14"/>
        <v>0</v>
      </c>
      <c r="Q499" s="3" t="b">
        <f t="shared" si="15"/>
        <v>0</v>
      </c>
      <c r="R499" s="3" t="b">
        <f t="shared" si="16"/>
        <v>0</v>
      </c>
      <c r="S499" s="3" t="b">
        <f t="shared" si="17"/>
        <v>0</v>
      </c>
      <c r="U499" t="s">
        <v>27</v>
      </c>
      <c r="V499" t="b">
        <v>1</v>
      </c>
      <c r="W499" t="b">
        <v>1</v>
      </c>
      <c r="X499" t="b">
        <v>1</v>
      </c>
      <c r="Y499" t="b">
        <v>1</v>
      </c>
      <c r="Z499" t="b">
        <v>1</v>
      </c>
      <c r="AA499" s="3"/>
      <c r="AB499" s="3"/>
      <c r="AC499" s="3"/>
      <c r="AD499" s="3"/>
      <c r="AF499" t="s">
        <v>27</v>
      </c>
      <c r="AG499" t="b">
        <v>1</v>
      </c>
      <c r="AH499" t="b">
        <v>1</v>
      </c>
      <c r="AI499" t="b">
        <v>1</v>
      </c>
      <c r="AJ499" t="b">
        <v>1</v>
      </c>
      <c r="AK499" t="b">
        <v>1</v>
      </c>
      <c r="AL499" s="3"/>
      <c r="AM499" s="3"/>
      <c r="AN499" s="3"/>
      <c r="AO499" s="3"/>
      <c r="AQ499" s="4" t="s">
        <v>28</v>
      </c>
      <c r="AR499" s="4" t="b">
        <v>1</v>
      </c>
      <c r="AS499" s="4" t="b">
        <v>1</v>
      </c>
      <c r="AT499" s="4" t="b">
        <v>1</v>
      </c>
      <c r="AU499" s="4" t="b">
        <v>1</v>
      </c>
      <c r="AV499" s="4" t="b">
        <v>1</v>
      </c>
      <c r="AW499" s="3" t="b">
        <f t="shared" si="18"/>
        <v>1</v>
      </c>
      <c r="AX499" s="3" t="b">
        <f t="shared" si="19"/>
        <v>0</v>
      </c>
      <c r="AY499" s="3" t="b">
        <f t="shared" si="20"/>
        <v>0</v>
      </c>
      <c r="AZ499" s="3" t="b">
        <f t="shared" si="21"/>
        <v>0</v>
      </c>
      <c r="BA499" s="3" t="b">
        <f t="shared" si="22"/>
        <v>0</v>
      </c>
      <c r="BB499" s="3" t="b">
        <f t="shared" si="23"/>
        <v>0</v>
      </c>
      <c r="BD499" s="4" t="s">
        <v>28</v>
      </c>
      <c r="BE499" s="4" t="b">
        <v>1</v>
      </c>
      <c r="BF499" s="4" t="b">
        <v>1</v>
      </c>
      <c r="BG499" s="4" t="b">
        <v>1</v>
      </c>
      <c r="BH499" s="4" t="b">
        <v>1</v>
      </c>
      <c r="BI499" s="4" t="b">
        <v>1</v>
      </c>
      <c r="BO499" s="4" t="s">
        <v>28</v>
      </c>
      <c r="BP499" s="4" t="b">
        <v>1</v>
      </c>
      <c r="BQ499" s="4" t="b">
        <v>1</v>
      </c>
      <c r="BR499" s="4" t="b">
        <v>1</v>
      </c>
      <c r="BS499" s="4" t="b">
        <v>1</v>
      </c>
      <c r="BT499" s="4" t="b">
        <v>1</v>
      </c>
    </row>
    <row r="500" spans="1:72" x14ac:dyDescent="0.35">
      <c r="C500" t="s">
        <v>29</v>
      </c>
      <c r="G500" t="s">
        <v>3890</v>
      </c>
      <c r="H500" t="s">
        <v>31</v>
      </c>
      <c r="I500" t="b">
        <v>1</v>
      </c>
      <c r="J500" t="b">
        <v>1</v>
      </c>
      <c r="K500" t="b">
        <v>1</v>
      </c>
      <c r="L500" t="b">
        <v>1</v>
      </c>
      <c r="M500" t="b">
        <v>1</v>
      </c>
      <c r="N500" s="3" t="b">
        <f t="shared" si="12"/>
        <v>1</v>
      </c>
      <c r="O500" s="3" t="b">
        <f t="shared" si="13"/>
        <v>0</v>
      </c>
      <c r="P500" s="3" t="b">
        <f t="shared" si="14"/>
        <v>0</v>
      </c>
      <c r="Q500" s="3" t="b">
        <f t="shared" si="15"/>
        <v>0</v>
      </c>
      <c r="R500" s="3" t="b">
        <f t="shared" si="16"/>
        <v>0</v>
      </c>
      <c r="S500" s="3" t="b">
        <f t="shared" si="17"/>
        <v>0</v>
      </c>
      <c r="U500" t="s">
        <v>31</v>
      </c>
      <c r="V500" t="b">
        <v>1</v>
      </c>
      <c r="W500" t="b">
        <v>1</v>
      </c>
      <c r="X500" t="b">
        <v>1</v>
      </c>
      <c r="Y500" t="b">
        <v>1</v>
      </c>
      <c r="Z500" t="b">
        <v>1</v>
      </c>
      <c r="AA500" s="3"/>
      <c r="AB500" s="3"/>
      <c r="AC500" s="3"/>
      <c r="AD500" s="3"/>
      <c r="AF500" t="s">
        <v>31</v>
      </c>
      <c r="AG500" t="b">
        <v>1</v>
      </c>
      <c r="AH500" t="b">
        <v>1</v>
      </c>
      <c r="AI500" t="b">
        <v>1</v>
      </c>
      <c r="AJ500" t="b">
        <v>1</v>
      </c>
      <c r="AK500" t="b">
        <v>1</v>
      </c>
      <c r="AL500" s="3"/>
      <c r="AM500" s="3"/>
      <c r="AN500" s="3"/>
      <c r="AO500" s="3"/>
      <c r="AQ500" s="4" t="s">
        <v>31</v>
      </c>
      <c r="AR500" s="4" t="b">
        <v>1</v>
      </c>
      <c r="AS500" s="4" t="b">
        <v>1</v>
      </c>
      <c r="AT500" s="4" t="b">
        <v>1</v>
      </c>
      <c r="AU500" s="4" t="b">
        <v>1</v>
      </c>
      <c r="AV500" s="4" t="b">
        <v>1</v>
      </c>
      <c r="AW500" s="3" t="b">
        <f t="shared" si="18"/>
        <v>1</v>
      </c>
      <c r="AX500" s="3" t="b">
        <f t="shared" si="19"/>
        <v>0</v>
      </c>
      <c r="AY500" s="3" t="b">
        <f t="shared" si="20"/>
        <v>0</v>
      </c>
      <c r="AZ500" s="3" t="b">
        <f t="shared" si="21"/>
        <v>0</v>
      </c>
      <c r="BA500" s="3" t="b">
        <f t="shared" si="22"/>
        <v>0</v>
      </c>
      <c r="BB500" s="3" t="b">
        <f t="shared" si="23"/>
        <v>0</v>
      </c>
      <c r="BD500" s="4" t="s">
        <v>31</v>
      </c>
      <c r="BE500" s="4" t="b">
        <v>1</v>
      </c>
      <c r="BF500" s="4" t="b">
        <v>1</v>
      </c>
      <c r="BG500" s="4" t="b">
        <v>1</v>
      </c>
      <c r="BH500" s="4" t="b">
        <v>1</v>
      </c>
      <c r="BI500" s="4" t="b">
        <v>1</v>
      </c>
      <c r="BO500" s="4" t="s">
        <v>31</v>
      </c>
      <c r="BP500" s="4" t="b">
        <v>1</v>
      </c>
      <c r="BQ500" s="4" t="b">
        <v>1</v>
      </c>
      <c r="BR500" s="4" t="b">
        <v>1</v>
      </c>
      <c r="BS500" s="4" t="b">
        <v>1</v>
      </c>
      <c r="BT500" s="4" t="b">
        <v>1</v>
      </c>
    </row>
    <row r="501" spans="1:72" x14ac:dyDescent="0.35">
      <c r="B501" t="s">
        <v>1403</v>
      </c>
      <c r="C501" t="s">
        <v>1404</v>
      </c>
      <c r="D501" t="s">
        <v>1405</v>
      </c>
      <c r="E501" t="s">
        <v>1406</v>
      </c>
      <c r="G501" t="s">
        <v>3891</v>
      </c>
      <c r="H501" t="s">
        <v>1408</v>
      </c>
      <c r="I501" t="b">
        <v>1</v>
      </c>
      <c r="J501" t="b">
        <v>0</v>
      </c>
      <c r="K501" t="b">
        <v>0</v>
      </c>
      <c r="L501" t="b">
        <v>1</v>
      </c>
      <c r="M501" t="b">
        <v>0</v>
      </c>
      <c r="N501" s="3" t="b">
        <f t="shared" si="12"/>
        <v>0</v>
      </c>
      <c r="O501" s="3" t="b">
        <f t="shared" si="13"/>
        <v>0</v>
      </c>
      <c r="P501" s="3" t="b">
        <f t="shared" si="14"/>
        <v>1</v>
      </c>
      <c r="Q501" s="3" t="b">
        <f t="shared" si="15"/>
        <v>0</v>
      </c>
      <c r="R501" s="3" t="b">
        <f t="shared" si="16"/>
        <v>0</v>
      </c>
      <c r="S501" s="3" t="b">
        <f t="shared" si="17"/>
        <v>0</v>
      </c>
      <c r="U501" t="s">
        <v>1408</v>
      </c>
      <c r="V501" t="b">
        <v>1</v>
      </c>
      <c r="W501" t="b">
        <v>0</v>
      </c>
      <c r="X501" t="b">
        <v>0</v>
      </c>
      <c r="Y501" t="b">
        <v>1</v>
      </c>
      <c r="Z501" t="b">
        <v>0</v>
      </c>
      <c r="AA501" s="3"/>
      <c r="AB501" s="3"/>
      <c r="AC501" s="3"/>
      <c r="AD501" s="3"/>
      <c r="AG501" t="b">
        <v>1</v>
      </c>
      <c r="AH501" t="b">
        <v>0</v>
      </c>
      <c r="AI501" t="b">
        <v>0</v>
      </c>
      <c r="AJ501" t="b">
        <v>0</v>
      </c>
      <c r="AK501" t="b">
        <v>0</v>
      </c>
      <c r="AL501" s="3"/>
      <c r="AM501" s="3"/>
      <c r="AN501" s="3"/>
      <c r="AO501" s="3"/>
      <c r="AQ501" s="4" t="s">
        <v>1409</v>
      </c>
      <c r="AR501" s="4" t="b">
        <v>1</v>
      </c>
      <c r="AS501" s="4" t="b">
        <v>1</v>
      </c>
      <c r="AT501" s="4" t="b">
        <v>1</v>
      </c>
      <c r="AU501" s="4" t="b">
        <v>1</v>
      </c>
      <c r="AV501" s="4" t="b">
        <v>1</v>
      </c>
      <c r="AW501" s="3" t="b">
        <f t="shared" si="18"/>
        <v>1</v>
      </c>
      <c r="AX501" s="3" t="b">
        <f t="shared" si="19"/>
        <v>0</v>
      </c>
      <c r="AY501" s="3" t="b">
        <f t="shared" si="20"/>
        <v>0</v>
      </c>
      <c r="AZ501" s="3" t="b">
        <f t="shared" si="21"/>
        <v>0</v>
      </c>
      <c r="BA501" s="3" t="b">
        <f t="shared" si="22"/>
        <v>0</v>
      </c>
      <c r="BB501" s="3" t="b">
        <f t="shared" si="23"/>
        <v>0</v>
      </c>
      <c r="BD501" s="4" t="s">
        <v>1409</v>
      </c>
      <c r="BE501" s="4" t="b">
        <v>1</v>
      </c>
      <c r="BF501" s="4" t="b">
        <v>1</v>
      </c>
      <c r="BG501" s="4" t="b">
        <v>1</v>
      </c>
      <c r="BH501" s="4" t="b">
        <v>1</v>
      </c>
      <c r="BI501" s="4" t="b">
        <v>1</v>
      </c>
      <c r="BO501" s="4" t="s">
        <v>1409</v>
      </c>
      <c r="BP501" s="4" t="b">
        <v>1</v>
      </c>
      <c r="BQ501" s="4" t="b">
        <v>1</v>
      </c>
      <c r="BR501" s="4" t="b">
        <v>1</v>
      </c>
      <c r="BS501" s="4" t="b">
        <v>1</v>
      </c>
      <c r="BT501" s="4" t="b">
        <v>1</v>
      </c>
    </row>
    <row r="502" spans="1:72" x14ac:dyDescent="0.35">
      <c r="C502" t="s">
        <v>1410</v>
      </c>
      <c r="G502" t="s">
        <v>3892</v>
      </c>
      <c r="H502" t="s">
        <v>1412</v>
      </c>
      <c r="I502" t="b">
        <v>1</v>
      </c>
      <c r="J502" t="b">
        <v>1</v>
      </c>
      <c r="K502" t="b">
        <v>1</v>
      </c>
      <c r="L502" t="b">
        <v>1</v>
      </c>
      <c r="M502" t="b">
        <v>0</v>
      </c>
      <c r="N502" s="3" t="b">
        <f t="shared" si="12"/>
        <v>0</v>
      </c>
      <c r="O502" s="3" t="b">
        <f t="shared" si="13"/>
        <v>1</v>
      </c>
      <c r="P502" s="3" t="b">
        <f t="shared" si="14"/>
        <v>0</v>
      </c>
      <c r="Q502" s="3" t="b">
        <f t="shared" si="15"/>
        <v>0</v>
      </c>
      <c r="R502" s="3" t="b">
        <f t="shared" si="16"/>
        <v>1</v>
      </c>
      <c r="S502" s="3" t="b">
        <f t="shared" si="17"/>
        <v>0</v>
      </c>
      <c r="U502" t="s">
        <v>1413</v>
      </c>
      <c r="V502" t="b">
        <v>1</v>
      </c>
      <c r="W502" t="b">
        <v>1</v>
      </c>
      <c r="X502" t="b">
        <v>1</v>
      </c>
      <c r="Y502" t="b">
        <v>1</v>
      </c>
      <c r="Z502" t="b">
        <v>0</v>
      </c>
      <c r="AA502" s="3"/>
      <c r="AB502" s="3"/>
      <c r="AC502" s="3"/>
      <c r="AD502" s="3"/>
      <c r="AF502" t="s">
        <v>1413</v>
      </c>
      <c r="AG502" t="b">
        <v>1</v>
      </c>
      <c r="AH502" t="b">
        <v>1</v>
      </c>
      <c r="AI502" t="b">
        <v>1</v>
      </c>
      <c r="AJ502" t="b">
        <v>1</v>
      </c>
      <c r="AK502" t="b">
        <v>0</v>
      </c>
      <c r="AL502" s="3"/>
      <c r="AM502" s="3"/>
      <c r="AN502" s="3"/>
      <c r="AO502" s="3"/>
      <c r="AQ502" s="4" t="s">
        <v>1414</v>
      </c>
      <c r="AR502" s="4" t="b">
        <v>1</v>
      </c>
      <c r="AS502" s="4" t="b">
        <v>1</v>
      </c>
      <c r="AT502" s="4" t="b">
        <v>1</v>
      </c>
      <c r="AU502" s="4" t="b">
        <v>0</v>
      </c>
      <c r="AV502" s="4" t="b">
        <v>0</v>
      </c>
      <c r="AW502" s="3" t="b">
        <f t="shared" si="18"/>
        <v>0</v>
      </c>
      <c r="AX502" s="3" t="b">
        <f t="shared" si="19"/>
        <v>0</v>
      </c>
      <c r="AY502" s="3" t="b">
        <f t="shared" si="20"/>
        <v>1</v>
      </c>
      <c r="AZ502" s="3" t="b">
        <f t="shared" si="21"/>
        <v>0</v>
      </c>
      <c r="BA502" s="3" t="b">
        <f t="shared" si="22"/>
        <v>1</v>
      </c>
      <c r="BB502" s="3" t="b">
        <f t="shared" si="23"/>
        <v>0</v>
      </c>
      <c r="BD502" s="4" t="s">
        <v>1414</v>
      </c>
      <c r="BE502" s="4" t="b">
        <v>1</v>
      </c>
      <c r="BF502" s="4" t="b">
        <v>1</v>
      </c>
      <c r="BG502" s="4" t="b">
        <v>1</v>
      </c>
      <c r="BH502" s="4" t="b">
        <v>0</v>
      </c>
      <c r="BI502" s="4" t="b">
        <v>0</v>
      </c>
      <c r="BO502" s="4" t="s">
        <v>1414</v>
      </c>
      <c r="BP502" s="4" t="b">
        <v>1</v>
      </c>
      <c r="BQ502" s="4" t="b">
        <v>1</v>
      </c>
      <c r="BR502" s="4" t="b">
        <v>1</v>
      </c>
      <c r="BS502" s="4" t="b">
        <v>0</v>
      </c>
      <c r="BT502" s="4" t="b">
        <v>0</v>
      </c>
    </row>
    <row r="503" spans="1:72" x14ac:dyDescent="0.35">
      <c r="C503" t="s">
        <v>1415</v>
      </c>
      <c r="G503" t="s">
        <v>3893</v>
      </c>
      <c r="H503" t="s">
        <v>1417</v>
      </c>
      <c r="I503" t="b">
        <v>1</v>
      </c>
      <c r="J503" t="b">
        <v>1</v>
      </c>
      <c r="K503" t="b">
        <v>1</v>
      </c>
      <c r="L503" t="b">
        <v>1</v>
      </c>
      <c r="M503" t="b">
        <v>1</v>
      </c>
      <c r="N503" s="3" t="b">
        <f t="shared" si="12"/>
        <v>1</v>
      </c>
      <c r="O503" s="3" t="b">
        <f t="shared" si="13"/>
        <v>0</v>
      </c>
      <c r="P503" s="3" t="b">
        <f t="shared" si="14"/>
        <v>0</v>
      </c>
      <c r="Q503" s="3" t="b">
        <f t="shared" si="15"/>
        <v>0</v>
      </c>
      <c r="R503" s="3" t="b">
        <f t="shared" si="16"/>
        <v>0</v>
      </c>
      <c r="S503" s="3" t="b">
        <f t="shared" si="17"/>
        <v>0</v>
      </c>
      <c r="V503" t="b">
        <v>1</v>
      </c>
      <c r="W503" t="b">
        <v>0</v>
      </c>
      <c r="X503" t="b">
        <v>0</v>
      </c>
      <c r="Y503" t="b">
        <v>0</v>
      </c>
      <c r="Z503" t="b">
        <v>0</v>
      </c>
      <c r="AA503" s="3"/>
      <c r="AB503" s="3"/>
      <c r="AC503" s="3"/>
      <c r="AD503" s="3"/>
      <c r="AF503" t="s">
        <v>1417</v>
      </c>
      <c r="AG503" t="b">
        <v>1</v>
      </c>
      <c r="AH503" t="b">
        <v>1</v>
      </c>
      <c r="AI503" t="b">
        <v>1</v>
      </c>
      <c r="AJ503" t="b">
        <v>1</v>
      </c>
      <c r="AK503" t="b">
        <v>1</v>
      </c>
      <c r="AL503" s="3"/>
      <c r="AM503" s="3"/>
      <c r="AN503" s="3"/>
      <c r="AO503" s="3"/>
      <c r="AQ503" s="4" t="s">
        <v>1418</v>
      </c>
      <c r="AR503" s="4" t="b">
        <v>1</v>
      </c>
      <c r="AS503" s="4" t="b">
        <v>1</v>
      </c>
      <c r="AT503" s="4" t="b">
        <v>1</v>
      </c>
      <c r="AU503" s="4" t="b">
        <v>0</v>
      </c>
      <c r="AV503" s="4" t="b">
        <v>1</v>
      </c>
      <c r="AW503" s="3" t="b">
        <f t="shared" si="18"/>
        <v>0</v>
      </c>
      <c r="AX503" s="3" t="b">
        <f t="shared" si="19"/>
        <v>0</v>
      </c>
      <c r="AY503" s="3" t="b">
        <f t="shared" si="20"/>
        <v>0</v>
      </c>
      <c r="AZ503" s="3" t="b">
        <f t="shared" si="21"/>
        <v>1</v>
      </c>
      <c r="BA503" s="3" t="b">
        <f t="shared" si="22"/>
        <v>0</v>
      </c>
      <c r="BB503" s="3" t="b">
        <f t="shared" si="23"/>
        <v>0</v>
      </c>
      <c r="BD503" s="4" t="s">
        <v>1418</v>
      </c>
      <c r="BE503" s="4" t="b">
        <v>1</v>
      </c>
      <c r="BF503" s="4" t="b">
        <v>1</v>
      </c>
      <c r="BG503" s="4" t="b">
        <v>1</v>
      </c>
      <c r="BH503" s="4" t="b">
        <v>0</v>
      </c>
      <c r="BI503" s="4" t="b">
        <v>1</v>
      </c>
      <c r="BO503" s="4" t="s">
        <v>1419</v>
      </c>
      <c r="BP503" s="4" t="b">
        <v>1</v>
      </c>
      <c r="BQ503" s="4" t="b">
        <v>1</v>
      </c>
      <c r="BR503" s="4" t="b">
        <v>1</v>
      </c>
      <c r="BS503" s="4" t="b">
        <v>1</v>
      </c>
      <c r="BT503" s="4" t="b">
        <v>1</v>
      </c>
    </row>
    <row r="504" spans="1:72" x14ac:dyDescent="0.35">
      <c r="B504" t="s">
        <v>1420</v>
      </c>
      <c r="C504" t="s">
        <v>359</v>
      </c>
      <c r="G504" t="s">
        <v>3894</v>
      </c>
      <c r="H504" t="s">
        <v>361</v>
      </c>
      <c r="I504" t="b">
        <v>1</v>
      </c>
      <c r="J504" t="b">
        <v>1</v>
      </c>
      <c r="K504" t="b">
        <v>1</v>
      </c>
      <c r="L504" t="b">
        <v>1</v>
      </c>
      <c r="M504" t="b">
        <v>1</v>
      </c>
      <c r="N504" s="3" t="b">
        <f t="shared" si="12"/>
        <v>1</v>
      </c>
      <c r="O504" s="3" t="b">
        <f t="shared" si="13"/>
        <v>0</v>
      </c>
      <c r="P504" s="3" t="b">
        <f t="shared" si="14"/>
        <v>0</v>
      </c>
      <c r="Q504" s="3" t="b">
        <f t="shared" si="15"/>
        <v>0</v>
      </c>
      <c r="R504" s="3" t="b">
        <f t="shared" si="16"/>
        <v>0</v>
      </c>
      <c r="S504" s="3" t="b">
        <f t="shared" si="17"/>
        <v>0</v>
      </c>
      <c r="U504" t="s">
        <v>361</v>
      </c>
      <c r="V504" t="b">
        <v>1</v>
      </c>
      <c r="W504" t="b">
        <v>1</v>
      </c>
      <c r="X504" t="b">
        <v>1</v>
      </c>
      <c r="Y504" t="b">
        <v>1</v>
      </c>
      <c r="Z504" t="b">
        <v>1</v>
      </c>
      <c r="AA504" s="3"/>
      <c r="AB504" s="3"/>
      <c r="AC504" s="3"/>
      <c r="AD504" s="3"/>
      <c r="AF504" t="s">
        <v>361</v>
      </c>
      <c r="AG504" t="b">
        <v>1</v>
      </c>
      <c r="AH504" t="b">
        <v>1</v>
      </c>
      <c r="AI504" t="b">
        <v>1</v>
      </c>
      <c r="AJ504" t="b">
        <v>1</v>
      </c>
      <c r="AK504" t="b">
        <v>1</v>
      </c>
      <c r="AL504" s="3"/>
      <c r="AM504" s="3"/>
      <c r="AN504" s="3"/>
      <c r="AO504" s="3"/>
      <c r="AQ504" s="4" t="s">
        <v>363</v>
      </c>
      <c r="AR504" s="4" t="b">
        <v>1</v>
      </c>
      <c r="AS504" s="4" t="b">
        <v>1</v>
      </c>
      <c r="AT504" s="4" t="b">
        <v>1</v>
      </c>
      <c r="AU504" s="4" t="b">
        <v>1</v>
      </c>
      <c r="AV504" s="4" t="b">
        <v>1</v>
      </c>
      <c r="AW504" s="3" t="b">
        <f t="shared" si="18"/>
        <v>1</v>
      </c>
      <c r="AX504" s="3" t="b">
        <f t="shared" si="19"/>
        <v>0</v>
      </c>
      <c r="AY504" s="3" t="b">
        <f t="shared" si="20"/>
        <v>0</v>
      </c>
      <c r="AZ504" s="3" t="b">
        <f t="shared" si="21"/>
        <v>0</v>
      </c>
      <c r="BA504" s="3" t="b">
        <f t="shared" si="22"/>
        <v>0</v>
      </c>
      <c r="BB504" s="3" t="b">
        <f t="shared" si="23"/>
        <v>0</v>
      </c>
      <c r="BD504" s="4" t="s">
        <v>363</v>
      </c>
      <c r="BE504" s="4" t="b">
        <v>1</v>
      </c>
      <c r="BF504" s="4" t="b">
        <v>1</v>
      </c>
      <c r="BG504" s="4" t="b">
        <v>1</v>
      </c>
      <c r="BH504" s="4" t="b">
        <v>1</v>
      </c>
      <c r="BI504" s="4" t="b">
        <v>1</v>
      </c>
      <c r="BO504" s="4" t="s">
        <v>363</v>
      </c>
      <c r="BP504" s="4" t="b">
        <v>1</v>
      </c>
      <c r="BQ504" s="4" t="b">
        <v>1</v>
      </c>
      <c r="BR504" s="4" t="b">
        <v>1</v>
      </c>
      <c r="BS504" s="4" t="b">
        <v>1</v>
      </c>
      <c r="BT504" s="4" t="b">
        <v>1</v>
      </c>
    </row>
    <row r="505" spans="1:72" x14ac:dyDescent="0.35">
      <c r="C505" t="s">
        <v>364</v>
      </c>
      <c r="G505" t="s">
        <v>3895</v>
      </c>
      <c r="H505" t="s">
        <v>1423</v>
      </c>
      <c r="I505" t="b">
        <v>1</v>
      </c>
      <c r="J505" t="b">
        <v>0</v>
      </c>
      <c r="K505" t="b">
        <v>0</v>
      </c>
      <c r="L505" t="b">
        <v>1</v>
      </c>
      <c r="M505" t="b">
        <v>0</v>
      </c>
      <c r="N505" s="3" t="b">
        <f t="shared" si="12"/>
        <v>0</v>
      </c>
      <c r="O505" s="3" t="b">
        <f t="shared" si="13"/>
        <v>0</v>
      </c>
      <c r="P505" s="3" t="b">
        <f t="shared" si="14"/>
        <v>1</v>
      </c>
      <c r="Q505" s="3" t="b">
        <f t="shared" si="15"/>
        <v>0</v>
      </c>
      <c r="R505" s="3" t="b">
        <f t="shared" si="16"/>
        <v>0</v>
      </c>
      <c r="S505" s="3" t="b">
        <f t="shared" si="17"/>
        <v>0</v>
      </c>
      <c r="U505" t="s">
        <v>1423</v>
      </c>
      <c r="V505" t="b">
        <v>1</v>
      </c>
      <c r="W505" t="b">
        <v>0</v>
      </c>
      <c r="X505" t="b">
        <v>0</v>
      </c>
      <c r="Y505" t="b">
        <v>1</v>
      </c>
      <c r="Z505" t="b">
        <v>0</v>
      </c>
      <c r="AA505" s="3"/>
      <c r="AB505" s="3"/>
      <c r="AC505" s="3"/>
      <c r="AD505" s="3"/>
      <c r="AF505" t="s">
        <v>1424</v>
      </c>
      <c r="AG505" t="b">
        <v>1</v>
      </c>
      <c r="AH505" t="b">
        <v>1</v>
      </c>
      <c r="AI505" t="b">
        <v>1</v>
      </c>
      <c r="AJ505" t="b">
        <v>1</v>
      </c>
      <c r="AK505" t="b">
        <v>1</v>
      </c>
      <c r="AL505" s="3"/>
      <c r="AM505" s="3"/>
      <c r="AN505" s="3"/>
      <c r="AO505" s="3"/>
      <c r="AQ505" s="4" t="s">
        <v>1425</v>
      </c>
      <c r="AR505" s="4" t="b">
        <v>1</v>
      </c>
      <c r="AS505" s="4" t="b">
        <v>0</v>
      </c>
      <c r="AT505" s="4" t="b">
        <v>0</v>
      </c>
      <c r="AU505" s="4" t="b">
        <v>0</v>
      </c>
      <c r="AV505" s="4" t="b">
        <v>0</v>
      </c>
      <c r="AW505" s="3" t="b">
        <f t="shared" si="18"/>
        <v>0</v>
      </c>
      <c r="AX505" s="3" t="b">
        <f t="shared" si="19"/>
        <v>0</v>
      </c>
      <c r="AY505" s="3" t="b">
        <f t="shared" si="20"/>
        <v>1</v>
      </c>
      <c r="AZ505" s="3" t="b">
        <f t="shared" si="21"/>
        <v>0</v>
      </c>
      <c r="BA505" s="3" t="b">
        <f t="shared" si="22"/>
        <v>0</v>
      </c>
      <c r="BB505" s="3" t="b">
        <f t="shared" si="23"/>
        <v>0</v>
      </c>
      <c r="BD505" s="4" t="s">
        <v>1426</v>
      </c>
      <c r="BE505" s="4" t="b">
        <v>1</v>
      </c>
      <c r="BF505" s="4" t="b">
        <v>0</v>
      </c>
      <c r="BG505" s="4" t="b">
        <v>0</v>
      </c>
      <c r="BH505" s="4" t="b">
        <v>0</v>
      </c>
      <c r="BI505" s="4" t="b">
        <v>0</v>
      </c>
      <c r="BO505" s="4" t="s">
        <v>1427</v>
      </c>
      <c r="BP505" s="4" t="b">
        <v>1</v>
      </c>
      <c r="BQ505" s="4" t="b">
        <v>0</v>
      </c>
      <c r="BR505" s="4" t="b">
        <v>0</v>
      </c>
      <c r="BS505" s="4" t="b">
        <v>0</v>
      </c>
      <c r="BT505" s="4" t="b">
        <v>0</v>
      </c>
    </row>
    <row r="506" spans="1:72" x14ac:dyDescent="0.35">
      <c r="C506" t="s">
        <v>89</v>
      </c>
      <c r="G506" t="s">
        <v>3896</v>
      </c>
      <c r="H506" t="s">
        <v>1429</v>
      </c>
      <c r="I506" t="b">
        <v>1</v>
      </c>
      <c r="J506" t="b">
        <v>0</v>
      </c>
      <c r="K506" t="b">
        <v>0</v>
      </c>
      <c r="L506" t="b">
        <v>1</v>
      </c>
      <c r="M506" t="b">
        <v>0</v>
      </c>
      <c r="N506" s="3" t="b">
        <f t="shared" si="12"/>
        <v>0</v>
      </c>
      <c r="O506" s="3" t="b">
        <f t="shared" si="13"/>
        <v>0</v>
      </c>
      <c r="P506" s="3" t="b">
        <f t="shared" si="14"/>
        <v>1</v>
      </c>
      <c r="Q506" s="3" t="b">
        <f t="shared" si="15"/>
        <v>0</v>
      </c>
      <c r="R506" s="3" t="b">
        <f t="shared" si="16"/>
        <v>0</v>
      </c>
      <c r="S506" s="3" t="b">
        <f t="shared" si="17"/>
        <v>0</v>
      </c>
      <c r="V506" t="b">
        <v>1</v>
      </c>
      <c r="W506" t="b">
        <v>0</v>
      </c>
      <c r="X506" t="b">
        <v>0</v>
      </c>
      <c r="Y506" t="b">
        <v>0</v>
      </c>
      <c r="Z506" t="b">
        <v>0</v>
      </c>
      <c r="AA506" s="3"/>
      <c r="AB506" s="3"/>
      <c r="AC506" s="3"/>
      <c r="AD506" s="3"/>
      <c r="AF506" t="s">
        <v>1430</v>
      </c>
      <c r="AG506" t="b">
        <v>1</v>
      </c>
      <c r="AH506" t="b">
        <v>0</v>
      </c>
      <c r="AI506" t="b">
        <v>0</v>
      </c>
      <c r="AJ506" t="b">
        <v>1</v>
      </c>
      <c r="AK506" t="b">
        <v>0</v>
      </c>
      <c r="AL506" s="3"/>
      <c r="AM506" s="3"/>
      <c r="AN506" s="3"/>
      <c r="AO506" s="3"/>
      <c r="AQ506" s="4" t="s">
        <v>326</v>
      </c>
      <c r="AR506" s="4" t="b">
        <v>1</v>
      </c>
      <c r="AS506" s="4" t="b">
        <v>0</v>
      </c>
      <c r="AT506" s="4" t="b">
        <v>0</v>
      </c>
      <c r="AU506" s="4" t="b">
        <v>1</v>
      </c>
      <c r="AV506" s="4" t="b">
        <v>0</v>
      </c>
      <c r="AW506" s="3" t="b">
        <f t="shared" si="18"/>
        <v>0</v>
      </c>
      <c r="AX506" s="3" t="b">
        <f t="shared" si="19"/>
        <v>0</v>
      </c>
      <c r="AY506" s="3" t="b">
        <f t="shared" si="20"/>
        <v>1</v>
      </c>
      <c r="AZ506" s="3" t="b">
        <f t="shared" si="21"/>
        <v>0</v>
      </c>
      <c r="BA506" s="3" t="b">
        <f t="shared" si="22"/>
        <v>0</v>
      </c>
      <c r="BB506" s="3" t="b">
        <f t="shared" si="23"/>
        <v>0</v>
      </c>
      <c r="BD506" s="4" t="s">
        <v>1431</v>
      </c>
      <c r="BE506" s="4" t="b">
        <v>1</v>
      </c>
      <c r="BF506" s="4" t="b">
        <v>1</v>
      </c>
      <c r="BG506" s="4" t="b">
        <v>1</v>
      </c>
      <c r="BH506" s="4" t="b">
        <v>1</v>
      </c>
      <c r="BI506" s="4" t="b">
        <v>1</v>
      </c>
      <c r="BO506" s="4" t="s">
        <v>1431</v>
      </c>
      <c r="BP506" s="4" t="b">
        <v>1</v>
      </c>
      <c r="BQ506" s="4" t="b">
        <v>1</v>
      </c>
      <c r="BR506" s="4" t="b">
        <v>1</v>
      </c>
      <c r="BS506" s="4" t="b">
        <v>1</v>
      </c>
      <c r="BT506" s="4" t="b">
        <v>1</v>
      </c>
    </row>
    <row r="507" spans="1:72" x14ac:dyDescent="0.35">
      <c r="C507" t="s">
        <v>97</v>
      </c>
      <c r="G507" t="s">
        <v>3897</v>
      </c>
      <c r="H507" t="s">
        <v>488</v>
      </c>
      <c r="I507" t="b">
        <v>1</v>
      </c>
      <c r="J507" t="b">
        <v>0</v>
      </c>
      <c r="K507" t="b">
        <v>0</v>
      </c>
      <c r="L507" t="b">
        <v>1</v>
      </c>
      <c r="M507" t="b">
        <v>0</v>
      </c>
      <c r="N507" s="3" t="b">
        <f t="shared" si="12"/>
        <v>0</v>
      </c>
      <c r="O507" s="3" t="b">
        <f t="shared" si="13"/>
        <v>0</v>
      </c>
      <c r="P507" s="3" t="b">
        <f t="shared" si="14"/>
        <v>1</v>
      </c>
      <c r="Q507" s="3" t="b">
        <f t="shared" si="15"/>
        <v>0</v>
      </c>
      <c r="R507" s="3" t="b">
        <f t="shared" si="16"/>
        <v>0</v>
      </c>
      <c r="S507" s="3" t="b">
        <f t="shared" si="17"/>
        <v>0</v>
      </c>
      <c r="U507" t="s">
        <v>1433</v>
      </c>
      <c r="V507" t="b">
        <v>1</v>
      </c>
      <c r="W507" t="b">
        <v>0</v>
      </c>
      <c r="X507" t="b">
        <v>0</v>
      </c>
      <c r="Y507" t="b">
        <v>1</v>
      </c>
      <c r="Z507" t="b">
        <v>0</v>
      </c>
      <c r="AA507" s="3"/>
      <c r="AB507" s="3"/>
      <c r="AC507" s="3"/>
      <c r="AD507" s="3"/>
      <c r="AF507" t="s">
        <v>1434</v>
      </c>
      <c r="AG507" t="b">
        <v>1</v>
      </c>
      <c r="AH507" t="b">
        <v>1</v>
      </c>
      <c r="AI507" t="b">
        <v>1</v>
      </c>
      <c r="AJ507" t="b">
        <v>1</v>
      </c>
      <c r="AK507" t="b">
        <v>1</v>
      </c>
      <c r="AL507" s="3"/>
      <c r="AM507" s="3"/>
      <c r="AN507" s="3"/>
      <c r="AO507" s="3"/>
      <c r="AQ507" s="4" t="s">
        <v>332</v>
      </c>
      <c r="AR507" s="4" t="b">
        <v>1</v>
      </c>
      <c r="AS507" s="4" t="b">
        <v>1</v>
      </c>
      <c r="AT507" s="4" t="b">
        <v>1</v>
      </c>
      <c r="AU507" s="4" t="b">
        <v>0</v>
      </c>
      <c r="AV507" s="4" t="b">
        <v>1</v>
      </c>
      <c r="AW507" s="3" t="b">
        <f t="shared" si="18"/>
        <v>0</v>
      </c>
      <c r="AX507" s="3" t="b">
        <f t="shared" si="19"/>
        <v>0</v>
      </c>
      <c r="AY507" s="3" t="b">
        <f t="shared" si="20"/>
        <v>0</v>
      </c>
      <c r="AZ507" s="3" t="b">
        <f t="shared" si="21"/>
        <v>1</v>
      </c>
      <c r="BA507" s="3" t="b">
        <f t="shared" si="22"/>
        <v>0</v>
      </c>
      <c r="BB507" s="3" t="b">
        <f t="shared" si="23"/>
        <v>0</v>
      </c>
      <c r="BD507" s="4" t="s">
        <v>332</v>
      </c>
      <c r="BE507" s="4" t="b">
        <v>1</v>
      </c>
      <c r="BF507" s="4" t="b">
        <v>1</v>
      </c>
      <c r="BG507" s="4" t="b">
        <v>1</v>
      </c>
      <c r="BH507" s="4" t="b">
        <v>0</v>
      </c>
      <c r="BI507" s="4" t="b">
        <v>1</v>
      </c>
      <c r="BO507" s="4" t="s">
        <v>1435</v>
      </c>
      <c r="BP507" s="4" t="b">
        <v>1</v>
      </c>
      <c r="BQ507" s="4" t="b">
        <v>1</v>
      </c>
      <c r="BR507" s="4" t="b">
        <v>0</v>
      </c>
      <c r="BS507" s="4" t="b">
        <v>0</v>
      </c>
      <c r="BT507" s="4" t="b">
        <v>0</v>
      </c>
    </row>
    <row r="508" spans="1:72" x14ac:dyDescent="0.35">
      <c r="B508" t="s">
        <v>103</v>
      </c>
      <c r="D508" t="s">
        <v>34</v>
      </c>
      <c r="E508" t="s">
        <v>35</v>
      </c>
      <c r="N508" s="3">
        <f t="shared" si="12"/>
        <v>0</v>
      </c>
      <c r="O508" s="3">
        <f t="shared" si="13"/>
        <v>0</v>
      </c>
      <c r="P508" s="3">
        <f t="shared" si="14"/>
        <v>0</v>
      </c>
      <c r="Q508" s="3">
        <f t="shared" si="15"/>
        <v>0</v>
      </c>
      <c r="R508" s="3">
        <f t="shared" si="16"/>
        <v>0</v>
      </c>
      <c r="S508" s="3">
        <f t="shared" si="17"/>
        <v>0</v>
      </c>
      <c r="AA508" s="3"/>
      <c r="AB508" s="3"/>
      <c r="AC508" s="3"/>
      <c r="AD508" s="3"/>
      <c r="AL508" s="3"/>
      <c r="AM508" s="3"/>
      <c r="AN508" s="3"/>
      <c r="AO508" s="3"/>
      <c r="AW508" s="3">
        <f t="shared" si="18"/>
        <v>0</v>
      </c>
      <c r="AX508" s="3">
        <f t="shared" si="19"/>
        <v>0</v>
      </c>
      <c r="AY508" s="3">
        <f t="shared" si="20"/>
        <v>0</v>
      </c>
      <c r="AZ508" s="3">
        <f t="shared" si="21"/>
        <v>0</v>
      </c>
      <c r="BA508" s="3">
        <f t="shared" si="22"/>
        <v>0</v>
      </c>
      <c r="BB508" s="3">
        <f t="shared" si="23"/>
        <v>0</v>
      </c>
    </row>
    <row r="509" spans="1:72" x14ac:dyDescent="0.35">
      <c r="B509" t="s">
        <v>105</v>
      </c>
      <c r="C509" t="s">
        <v>25</v>
      </c>
      <c r="G509" t="s">
        <v>3898</v>
      </c>
      <c r="H509" t="s">
        <v>28</v>
      </c>
      <c r="I509" t="b">
        <v>1</v>
      </c>
      <c r="J509" t="b">
        <v>1</v>
      </c>
      <c r="K509" t="b">
        <v>1</v>
      </c>
      <c r="L509" t="b">
        <v>1</v>
      </c>
      <c r="M509" t="b">
        <v>1</v>
      </c>
      <c r="N509" s="3" t="b">
        <f t="shared" si="12"/>
        <v>1</v>
      </c>
      <c r="O509" s="3" t="b">
        <f t="shared" si="13"/>
        <v>0</v>
      </c>
      <c r="P509" s="3" t="b">
        <f t="shared" si="14"/>
        <v>0</v>
      </c>
      <c r="Q509" s="3" t="b">
        <f t="shared" si="15"/>
        <v>0</v>
      </c>
      <c r="R509" s="3" t="b">
        <f t="shared" si="16"/>
        <v>0</v>
      </c>
      <c r="S509" s="3" t="b">
        <f t="shared" si="17"/>
        <v>0</v>
      </c>
      <c r="U509" t="s">
        <v>28</v>
      </c>
      <c r="V509" t="b">
        <v>1</v>
      </c>
      <c r="W509" t="b">
        <v>1</v>
      </c>
      <c r="X509" t="b">
        <v>1</v>
      </c>
      <c r="Y509" t="b">
        <v>1</v>
      </c>
      <c r="Z509" t="b">
        <v>1</v>
      </c>
      <c r="AA509" s="3"/>
      <c r="AB509" s="3"/>
      <c r="AC509" s="3"/>
      <c r="AD509" s="3"/>
      <c r="AF509" t="s">
        <v>27</v>
      </c>
      <c r="AG509" t="b">
        <v>1</v>
      </c>
      <c r="AH509" t="b">
        <v>1</v>
      </c>
      <c r="AI509" t="b">
        <v>1</v>
      </c>
      <c r="AJ509" t="b">
        <v>1</v>
      </c>
      <c r="AK509" t="b">
        <v>1</v>
      </c>
      <c r="AL509" s="3"/>
      <c r="AM509" s="3"/>
      <c r="AN509" s="3"/>
      <c r="AO509" s="3"/>
      <c r="AQ509" s="4" t="s">
        <v>28</v>
      </c>
      <c r="AR509" s="4" t="b">
        <v>1</v>
      </c>
      <c r="AS509" s="4" t="b">
        <v>1</v>
      </c>
      <c r="AT509" s="4" t="b">
        <v>1</v>
      </c>
      <c r="AU509" s="4" t="b">
        <v>1</v>
      </c>
      <c r="AV509" s="4" t="b">
        <v>1</v>
      </c>
      <c r="AW509" s="3" t="b">
        <f t="shared" si="18"/>
        <v>1</v>
      </c>
      <c r="AX509" s="3" t="b">
        <f t="shared" si="19"/>
        <v>0</v>
      </c>
      <c r="AY509" s="3" t="b">
        <f t="shared" si="20"/>
        <v>0</v>
      </c>
      <c r="AZ509" s="3" t="b">
        <f t="shared" si="21"/>
        <v>0</v>
      </c>
      <c r="BA509" s="3" t="b">
        <f t="shared" si="22"/>
        <v>0</v>
      </c>
      <c r="BB509" s="3" t="b">
        <f t="shared" si="23"/>
        <v>0</v>
      </c>
      <c r="BD509" s="4" t="s">
        <v>28</v>
      </c>
      <c r="BE509" s="4" t="b">
        <v>1</v>
      </c>
      <c r="BF509" s="4" t="b">
        <v>1</v>
      </c>
      <c r="BG509" s="4" t="b">
        <v>1</v>
      </c>
      <c r="BH509" s="4" t="b">
        <v>1</v>
      </c>
      <c r="BI509" s="4" t="b">
        <v>1</v>
      </c>
      <c r="BO509" s="4" t="s">
        <v>28</v>
      </c>
      <c r="BP509" s="4" t="b">
        <v>1</v>
      </c>
      <c r="BQ509" s="4" t="b">
        <v>1</v>
      </c>
      <c r="BR509" s="4" t="b">
        <v>1</v>
      </c>
      <c r="BS509" s="4" t="b">
        <v>1</v>
      </c>
      <c r="BT509" s="4" t="b">
        <v>1</v>
      </c>
    </row>
    <row r="510" spans="1:72" x14ac:dyDescent="0.35">
      <c r="C510" t="s">
        <v>29</v>
      </c>
      <c r="G510" t="s">
        <v>3899</v>
      </c>
      <c r="H510" t="s">
        <v>31</v>
      </c>
      <c r="I510" t="b">
        <v>1</v>
      </c>
      <c r="J510" t="b">
        <v>1</v>
      </c>
      <c r="K510" t="b">
        <v>1</v>
      </c>
      <c r="L510" t="b">
        <v>1</v>
      </c>
      <c r="M510" t="b">
        <v>1</v>
      </c>
      <c r="N510" s="3" t="b">
        <f t="shared" si="12"/>
        <v>1</v>
      </c>
      <c r="O510" s="3" t="b">
        <f t="shared" si="13"/>
        <v>0</v>
      </c>
      <c r="P510" s="3" t="b">
        <f t="shared" si="14"/>
        <v>0</v>
      </c>
      <c r="Q510" s="3" t="b">
        <f t="shared" si="15"/>
        <v>0</v>
      </c>
      <c r="R510" s="3" t="b">
        <f t="shared" si="16"/>
        <v>0</v>
      </c>
      <c r="S510" s="3" t="b">
        <f t="shared" si="17"/>
        <v>0</v>
      </c>
      <c r="U510" t="s">
        <v>31</v>
      </c>
      <c r="V510" t="b">
        <v>1</v>
      </c>
      <c r="W510" t="b">
        <v>1</v>
      </c>
      <c r="X510" t="b">
        <v>1</v>
      </c>
      <c r="Y510" t="b">
        <v>1</v>
      </c>
      <c r="Z510" t="b">
        <v>1</v>
      </c>
      <c r="AA510" s="3"/>
      <c r="AB510" s="3"/>
      <c r="AC510" s="3"/>
      <c r="AD510" s="3"/>
      <c r="AF510" t="s">
        <v>31</v>
      </c>
      <c r="AG510" t="b">
        <v>1</v>
      </c>
      <c r="AH510" t="b">
        <v>1</v>
      </c>
      <c r="AI510" t="b">
        <v>1</v>
      </c>
      <c r="AJ510" t="b">
        <v>1</v>
      </c>
      <c r="AK510" t="b">
        <v>1</v>
      </c>
      <c r="AL510" s="3"/>
      <c r="AM510" s="3"/>
      <c r="AN510" s="3"/>
      <c r="AO510" s="3"/>
      <c r="AQ510" s="4" t="s">
        <v>31</v>
      </c>
      <c r="AR510" s="4" t="b">
        <v>1</v>
      </c>
      <c r="AS510" s="4" t="b">
        <v>1</v>
      </c>
      <c r="AT510" s="4" t="b">
        <v>1</v>
      </c>
      <c r="AU510" s="4" t="b">
        <v>1</v>
      </c>
      <c r="AV510" s="4" t="b">
        <v>1</v>
      </c>
      <c r="AW510" s="3" t="b">
        <f t="shared" si="18"/>
        <v>1</v>
      </c>
      <c r="AX510" s="3" t="b">
        <f t="shared" si="19"/>
        <v>0</v>
      </c>
      <c r="AY510" s="3" t="b">
        <f t="shared" si="20"/>
        <v>0</v>
      </c>
      <c r="AZ510" s="3" t="b">
        <f t="shared" si="21"/>
        <v>0</v>
      </c>
      <c r="BA510" s="3" t="b">
        <f t="shared" si="22"/>
        <v>0</v>
      </c>
      <c r="BB510" s="3" t="b">
        <f t="shared" si="23"/>
        <v>0</v>
      </c>
      <c r="BD510" s="4" t="s">
        <v>31</v>
      </c>
      <c r="BE510" s="4" t="b">
        <v>1</v>
      </c>
      <c r="BF510" s="4" t="b">
        <v>1</v>
      </c>
      <c r="BG510" s="4" t="b">
        <v>1</v>
      </c>
      <c r="BH510" s="4" t="b">
        <v>1</v>
      </c>
      <c r="BI510" s="4" t="b">
        <v>1</v>
      </c>
      <c r="BO510" s="4" t="s">
        <v>31</v>
      </c>
      <c r="BP510" s="4" t="b">
        <v>1</v>
      </c>
      <c r="BQ510" s="4" t="b">
        <v>1</v>
      </c>
      <c r="BR510" s="4" t="b">
        <v>1</v>
      </c>
      <c r="BS510" s="4" t="b">
        <v>1</v>
      </c>
      <c r="BT510" s="4" t="b">
        <v>1</v>
      </c>
    </row>
    <row r="511" spans="1:72" x14ac:dyDescent="0.35">
      <c r="B511" s="6" t="s">
        <v>137</v>
      </c>
      <c r="C511" s="6" t="s">
        <v>131</v>
      </c>
      <c r="N511" s="3">
        <f t="shared" si="12"/>
        <v>0</v>
      </c>
      <c r="O511" s="3">
        <f t="shared" si="13"/>
        <v>0</v>
      </c>
      <c r="P511" s="3">
        <f t="shared" si="14"/>
        <v>0</v>
      </c>
      <c r="Q511" s="3">
        <f t="shared" si="15"/>
        <v>0</v>
      </c>
      <c r="R511" s="3">
        <f t="shared" si="16"/>
        <v>0</v>
      </c>
      <c r="S511" s="3">
        <f t="shared" si="17"/>
        <v>0</v>
      </c>
      <c r="AA511" s="3"/>
      <c r="AB511" s="3"/>
      <c r="AC511" s="3"/>
      <c r="AD511" s="3"/>
      <c r="AL511" s="3"/>
      <c r="AM511" s="3"/>
      <c r="AN511" s="3"/>
      <c r="AO511" s="3"/>
      <c r="AW511" s="3">
        <f t="shared" si="18"/>
        <v>0</v>
      </c>
      <c r="AX511" s="3">
        <f t="shared" si="19"/>
        <v>0</v>
      </c>
      <c r="AY511" s="3">
        <f t="shared" si="20"/>
        <v>0</v>
      </c>
      <c r="AZ511" s="3">
        <f t="shared" si="21"/>
        <v>0</v>
      </c>
      <c r="BA511" s="3">
        <f t="shared" si="22"/>
        <v>0</v>
      </c>
      <c r="BB511" s="3">
        <f t="shared" si="23"/>
        <v>0</v>
      </c>
    </row>
    <row r="512" spans="1:72" x14ac:dyDescent="0.35">
      <c r="B512" s="6" t="s">
        <v>139</v>
      </c>
      <c r="C512" s="6" t="s">
        <v>131</v>
      </c>
      <c r="N512" s="3">
        <f t="shared" ref="N512:N591" si="24">IF(COUNTA(I512:M512)=0, ,AND(AND(I512,J512,K512,L512),M512))</f>
        <v>0</v>
      </c>
      <c r="O512" s="3">
        <f t="shared" ref="O512:O591" si="25">IF(COUNTA(I512:M512)=0, ,AND(AND(I512,J512,K512,L512),NOT(M512)))</f>
        <v>0</v>
      </c>
      <c r="P512" s="3">
        <f t="shared" ref="P512:P591" si="26">IF(COUNTA(I512:M512)=0, ,AND(NOT(AND(I512,J512,K512,L512)),NOT(M512)))</f>
        <v>0</v>
      </c>
      <c r="Q512" s="3">
        <f t="shared" ref="Q512:Q591" si="27">IF(COUNTA(I512:M512)=0, ,AND(NOT(AND(I512,J512,K512,L512)),M512))</f>
        <v>0</v>
      </c>
      <c r="R512" s="3">
        <f t="shared" ref="R512:R591" si="28">IF(COUNTA(I512:M512)=0, ,AND(AND(I512,J512,K512),NOT(M512)))</f>
        <v>0</v>
      </c>
      <c r="S512" s="3">
        <f t="shared" ref="S512:S591" si="29">IF(COUNTA(I512:M512)=0, ,AND(NOT(AND(I512,J512,K512)),M512))</f>
        <v>0</v>
      </c>
      <c r="AA512" s="3"/>
      <c r="AB512" s="3"/>
      <c r="AC512" s="3"/>
      <c r="AD512" s="3"/>
      <c r="AL512" s="3"/>
      <c r="AM512" s="3"/>
      <c r="AN512" s="3"/>
      <c r="AO512" s="3"/>
      <c r="AW512" s="3">
        <f t="shared" ref="AW512:AW591" si="30">IF(COUNTA(AR512:AV512)=0, ,AND(AND(AR512,AS512,AT512,AU512),AV512))</f>
        <v>0</v>
      </c>
      <c r="AX512" s="3">
        <f t="shared" ref="AX512:AX591" si="31">IF(COUNTA(AR512:AV512)=0, ,AND(AND(AR512,AS512,AT512,AU512),NOT(AV512)))</f>
        <v>0</v>
      </c>
      <c r="AY512" s="3">
        <f t="shared" ref="AY512:AY591" si="32">IF(COUNTA(AR512:AV512)=0, ,AND(NOT(AND(AR512,AS512,AT512,AU512)),NOT(AV512)))</f>
        <v>0</v>
      </c>
      <c r="AZ512" s="3">
        <f t="shared" ref="AZ512:AZ591" si="33">IF(COUNTA(AR512:AV512)=0, ,AND(NOT(AND(AR512,AS512,AT512,AU512)),AV512))</f>
        <v>0</v>
      </c>
      <c r="BA512" s="3">
        <f t="shared" ref="BA512:BA591" si="34">IF(COUNTA(AR512:AV512)=0, ,AND(AND(AR512,AS512,AT512),NOT(AV512)))</f>
        <v>0</v>
      </c>
      <c r="BB512" s="3">
        <f t="shared" ref="BB512:BB591" si="35">IF(COUNTA(AR512:AV512)=0, ,AND(NOT(AND(AR512,AS512,AT512)),AV512))</f>
        <v>0</v>
      </c>
    </row>
    <row r="513" spans="1:72" x14ac:dyDescent="0.35">
      <c r="B513" s="6" t="s">
        <v>1437</v>
      </c>
      <c r="C513" s="6" t="s">
        <v>131</v>
      </c>
      <c r="N513" s="3">
        <f t="shared" si="24"/>
        <v>0</v>
      </c>
      <c r="O513" s="3">
        <f t="shared" si="25"/>
        <v>0</v>
      </c>
      <c r="P513" s="3">
        <f t="shared" si="26"/>
        <v>0</v>
      </c>
      <c r="Q513" s="3">
        <f t="shared" si="27"/>
        <v>0</v>
      </c>
      <c r="R513" s="3">
        <f t="shared" si="28"/>
        <v>0</v>
      </c>
      <c r="S513" s="3">
        <f t="shared" si="29"/>
        <v>0</v>
      </c>
      <c r="AA513" s="3"/>
      <c r="AB513" s="3"/>
      <c r="AC513" s="3"/>
      <c r="AD513" s="3"/>
      <c r="AL513" s="3"/>
      <c r="AM513" s="3"/>
      <c r="AN513" s="3"/>
      <c r="AO513" s="3"/>
      <c r="AW513" s="3">
        <f t="shared" si="30"/>
        <v>0</v>
      </c>
      <c r="AX513" s="3">
        <f t="shared" si="31"/>
        <v>0</v>
      </c>
      <c r="AY513" s="3">
        <f t="shared" si="32"/>
        <v>0</v>
      </c>
      <c r="AZ513" s="3">
        <f t="shared" si="33"/>
        <v>0</v>
      </c>
      <c r="BA513" s="3">
        <f t="shared" si="34"/>
        <v>0</v>
      </c>
      <c r="BB513" s="3">
        <f t="shared" si="35"/>
        <v>0</v>
      </c>
    </row>
    <row r="514" spans="1:72" x14ac:dyDescent="0.35">
      <c r="B514" t="s">
        <v>141</v>
      </c>
      <c r="C514" t="s">
        <v>142</v>
      </c>
      <c r="G514" t="s">
        <v>3900</v>
      </c>
      <c r="H514" t="s">
        <v>953</v>
      </c>
      <c r="I514" t="b">
        <v>1</v>
      </c>
      <c r="J514" t="b">
        <v>1</v>
      </c>
      <c r="K514" t="b">
        <v>1</v>
      </c>
      <c r="L514" t="b">
        <v>1</v>
      </c>
      <c r="M514" t="b">
        <v>1</v>
      </c>
      <c r="N514" s="3" t="b">
        <f t="shared" si="24"/>
        <v>1</v>
      </c>
      <c r="O514" s="3" t="b">
        <f t="shared" si="25"/>
        <v>0</v>
      </c>
      <c r="P514" s="3" t="b">
        <f t="shared" si="26"/>
        <v>0</v>
      </c>
      <c r="Q514" s="3" t="b">
        <f t="shared" si="27"/>
        <v>0</v>
      </c>
      <c r="R514" s="3" t="b">
        <f t="shared" si="28"/>
        <v>0</v>
      </c>
      <c r="S514" s="3" t="b">
        <f t="shared" si="29"/>
        <v>0</v>
      </c>
      <c r="U514" t="s">
        <v>146</v>
      </c>
      <c r="V514" t="b">
        <v>1</v>
      </c>
      <c r="W514" t="b">
        <v>1</v>
      </c>
      <c r="X514" t="b">
        <v>1</v>
      </c>
      <c r="Y514" t="b">
        <v>1</v>
      </c>
      <c r="Z514" t="b">
        <v>1</v>
      </c>
      <c r="AA514" s="3"/>
      <c r="AB514" s="3"/>
      <c r="AC514" s="3"/>
      <c r="AD514" s="3"/>
      <c r="AF514" t="s">
        <v>146</v>
      </c>
      <c r="AG514" t="b">
        <v>1</v>
      </c>
      <c r="AH514" t="b">
        <v>1</v>
      </c>
      <c r="AI514" t="b">
        <v>1</v>
      </c>
      <c r="AJ514" t="b">
        <v>1</v>
      </c>
      <c r="AK514" t="b">
        <v>1</v>
      </c>
      <c r="AL514" s="3"/>
      <c r="AM514" s="3"/>
      <c r="AN514" s="3"/>
      <c r="AO514" s="3"/>
      <c r="AQ514" s="4" t="s">
        <v>147</v>
      </c>
      <c r="AR514" s="4" t="b">
        <v>1</v>
      </c>
      <c r="AS514" s="4" t="b">
        <v>1</v>
      </c>
      <c r="AT514" s="4" t="b">
        <v>1</v>
      </c>
      <c r="AU514" s="4" t="b">
        <v>1</v>
      </c>
      <c r="AV514" s="4" t="b">
        <v>1</v>
      </c>
      <c r="AW514" s="3" t="b">
        <f t="shared" si="30"/>
        <v>1</v>
      </c>
      <c r="AX514" s="3" t="b">
        <f t="shared" si="31"/>
        <v>0</v>
      </c>
      <c r="AY514" s="3" t="b">
        <f t="shared" si="32"/>
        <v>0</v>
      </c>
      <c r="AZ514" s="3" t="b">
        <f t="shared" si="33"/>
        <v>0</v>
      </c>
      <c r="BA514" s="3" t="b">
        <f t="shared" si="34"/>
        <v>0</v>
      </c>
      <c r="BB514" s="3" t="b">
        <f t="shared" si="35"/>
        <v>0</v>
      </c>
      <c r="BD514" s="4" t="s">
        <v>147</v>
      </c>
      <c r="BE514" s="4" t="b">
        <v>1</v>
      </c>
      <c r="BF514" s="4" t="b">
        <v>1</v>
      </c>
      <c r="BG514" s="4" t="b">
        <v>1</v>
      </c>
      <c r="BH514" s="4" t="b">
        <v>1</v>
      </c>
      <c r="BI514" s="4" t="b">
        <v>1</v>
      </c>
      <c r="BO514" s="4" t="s">
        <v>147</v>
      </c>
      <c r="BP514" s="4" t="b">
        <v>1</v>
      </c>
      <c r="BQ514" s="4" t="b">
        <v>1</v>
      </c>
      <c r="BR514" s="4" t="b">
        <v>1</v>
      </c>
      <c r="BS514" s="4" t="b">
        <v>1</v>
      </c>
      <c r="BT514" s="4" t="b">
        <v>1</v>
      </c>
    </row>
    <row r="515" spans="1:72" x14ac:dyDescent="0.35">
      <c r="C515" t="s">
        <v>148</v>
      </c>
      <c r="G515" t="s">
        <v>3901</v>
      </c>
      <c r="H515" t="s">
        <v>178</v>
      </c>
      <c r="I515" t="b">
        <v>1</v>
      </c>
      <c r="J515" t="b">
        <v>0</v>
      </c>
      <c r="K515" t="b">
        <v>0</v>
      </c>
      <c r="L515" t="b">
        <v>1</v>
      </c>
      <c r="M515" t="b">
        <v>0</v>
      </c>
      <c r="N515" s="3" t="b">
        <f t="shared" si="24"/>
        <v>0</v>
      </c>
      <c r="O515" s="3" t="b">
        <f t="shared" si="25"/>
        <v>0</v>
      </c>
      <c r="P515" s="3" t="b">
        <f t="shared" si="26"/>
        <v>1</v>
      </c>
      <c r="Q515" s="3" t="b">
        <f t="shared" si="27"/>
        <v>0</v>
      </c>
      <c r="R515" s="3" t="b">
        <f t="shared" si="28"/>
        <v>0</v>
      </c>
      <c r="S515" s="3" t="b">
        <f t="shared" si="29"/>
        <v>0</v>
      </c>
      <c r="U515" t="s">
        <v>567</v>
      </c>
      <c r="V515" t="b">
        <v>1</v>
      </c>
      <c r="W515" t="b">
        <v>1</v>
      </c>
      <c r="X515" t="b">
        <v>1</v>
      </c>
      <c r="Y515" t="b">
        <v>1</v>
      </c>
      <c r="Z515" t="b">
        <v>1</v>
      </c>
      <c r="AA515" s="3"/>
      <c r="AB515" s="3"/>
      <c r="AC515" s="3"/>
      <c r="AD515" s="3"/>
      <c r="AF515" t="s">
        <v>1440</v>
      </c>
      <c r="AG515" t="b">
        <v>1</v>
      </c>
      <c r="AH515" t="b">
        <v>0</v>
      </c>
      <c r="AI515" t="b">
        <v>0</v>
      </c>
      <c r="AJ515" t="b">
        <v>1</v>
      </c>
      <c r="AK515" t="b">
        <v>0</v>
      </c>
      <c r="AL515" s="3"/>
      <c r="AM515" s="3"/>
      <c r="AN515" s="3"/>
      <c r="AO515" s="3"/>
      <c r="AQ515" s="4" t="s">
        <v>570</v>
      </c>
      <c r="AR515" s="4" t="b">
        <v>1</v>
      </c>
      <c r="AS515" s="4" t="b">
        <v>1</v>
      </c>
      <c r="AT515" s="4" t="b">
        <v>1</v>
      </c>
      <c r="AU515" s="4" t="b">
        <v>1</v>
      </c>
      <c r="AV515" s="4" t="b">
        <v>1</v>
      </c>
      <c r="AW515" s="3" t="b">
        <f t="shared" si="30"/>
        <v>1</v>
      </c>
      <c r="AX515" s="3" t="b">
        <f t="shared" si="31"/>
        <v>0</v>
      </c>
      <c r="AY515" s="3" t="b">
        <f t="shared" si="32"/>
        <v>0</v>
      </c>
      <c r="AZ515" s="3" t="b">
        <f t="shared" si="33"/>
        <v>0</v>
      </c>
      <c r="BA515" s="3" t="b">
        <f t="shared" si="34"/>
        <v>0</v>
      </c>
      <c r="BB515" s="3" t="b">
        <f t="shared" si="35"/>
        <v>0</v>
      </c>
      <c r="BD515" s="4" t="s">
        <v>389</v>
      </c>
      <c r="BE515" s="4" t="b">
        <v>1</v>
      </c>
      <c r="BF515" s="4" t="b">
        <v>1</v>
      </c>
      <c r="BG515" s="4" t="b">
        <v>1</v>
      </c>
      <c r="BH515" s="4" t="b">
        <v>1</v>
      </c>
      <c r="BI515" s="4" t="b">
        <v>1</v>
      </c>
      <c r="BO515" s="4" t="s">
        <v>389</v>
      </c>
      <c r="BP515" s="4" t="b">
        <v>1</v>
      </c>
      <c r="BQ515" s="4" t="b">
        <v>1</v>
      </c>
      <c r="BR515" s="4" t="b">
        <v>1</v>
      </c>
      <c r="BS515" s="4" t="b">
        <v>1</v>
      </c>
      <c r="BT515" s="4" t="b">
        <v>1</v>
      </c>
    </row>
    <row r="516" spans="1:72" x14ac:dyDescent="0.35">
      <c r="C516" t="s">
        <v>155</v>
      </c>
      <c r="G516" t="s">
        <v>3902</v>
      </c>
      <c r="H516" t="s">
        <v>1442</v>
      </c>
      <c r="I516" t="b">
        <v>1</v>
      </c>
      <c r="J516" t="b">
        <v>1</v>
      </c>
      <c r="K516" t="b">
        <v>0</v>
      </c>
      <c r="L516" t="b">
        <v>0</v>
      </c>
      <c r="M516" t="b">
        <v>1</v>
      </c>
      <c r="N516" s="3" t="b">
        <f t="shared" si="24"/>
        <v>0</v>
      </c>
      <c r="O516" s="3" t="b">
        <f t="shared" si="25"/>
        <v>0</v>
      </c>
      <c r="P516" s="3" t="b">
        <f t="shared" si="26"/>
        <v>0</v>
      </c>
      <c r="Q516" s="3" t="b">
        <f t="shared" si="27"/>
        <v>1</v>
      </c>
      <c r="R516" s="3" t="b">
        <f t="shared" si="28"/>
        <v>0</v>
      </c>
      <c r="S516" s="3" t="b">
        <f t="shared" si="29"/>
        <v>1</v>
      </c>
      <c r="U516" t="s">
        <v>1443</v>
      </c>
      <c r="V516" t="b">
        <v>1</v>
      </c>
      <c r="W516" t="b">
        <v>1</v>
      </c>
      <c r="X516" t="b">
        <v>0</v>
      </c>
      <c r="Y516" t="b">
        <v>0</v>
      </c>
      <c r="Z516" t="b">
        <v>1</v>
      </c>
      <c r="AA516" s="3"/>
      <c r="AB516" s="3"/>
      <c r="AC516" s="3"/>
      <c r="AD516" s="3"/>
      <c r="AF516" t="s">
        <v>1444</v>
      </c>
      <c r="AG516" t="b">
        <v>1</v>
      </c>
      <c r="AH516" t="b">
        <v>1</v>
      </c>
      <c r="AI516" t="b">
        <v>0</v>
      </c>
      <c r="AJ516" t="b">
        <v>0</v>
      </c>
      <c r="AK516" t="b">
        <v>1</v>
      </c>
      <c r="AL516" s="3"/>
      <c r="AM516" s="3"/>
      <c r="AN516" s="3"/>
      <c r="AO516" s="3"/>
      <c r="AQ516" s="4" t="s">
        <v>1445</v>
      </c>
      <c r="AR516" s="4" t="b">
        <v>1</v>
      </c>
      <c r="AS516" s="4" t="b">
        <v>1</v>
      </c>
      <c r="AT516" s="4" t="b">
        <v>0</v>
      </c>
      <c r="AU516" s="4" t="b">
        <v>0</v>
      </c>
      <c r="AV516" s="4" t="b">
        <v>1</v>
      </c>
      <c r="AW516" s="3" t="b">
        <f t="shared" si="30"/>
        <v>0</v>
      </c>
      <c r="AX516" s="3" t="b">
        <f t="shared" si="31"/>
        <v>0</v>
      </c>
      <c r="AY516" s="3" t="b">
        <f t="shared" si="32"/>
        <v>0</v>
      </c>
      <c r="AZ516" s="3" t="b">
        <f t="shared" si="33"/>
        <v>1</v>
      </c>
      <c r="BA516" s="3" t="b">
        <f t="shared" si="34"/>
        <v>0</v>
      </c>
      <c r="BB516" s="3" t="b">
        <f t="shared" si="35"/>
        <v>1</v>
      </c>
      <c r="BD516" s="4" t="s">
        <v>1445</v>
      </c>
      <c r="BE516" s="4" t="b">
        <v>1</v>
      </c>
      <c r="BF516" s="4" t="b">
        <v>1</v>
      </c>
      <c r="BG516" s="4" t="b">
        <v>0</v>
      </c>
      <c r="BH516" s="4" t="b">
        <v>0</v>
      </c>
      <c r="BI516" s="4" t="b">
        <v>1</v>
      </c>
      <c r="BO516" s="4" t="s">
        <v>1446</v>
      </c>
      <c r="BP516" s="4" t="b">
        <v>1</v>
      </c>
      <c r="BQ516" s="4" t="b">
        <v>1</v>
      </c>
      <c r="BR516" s="4" t="b">
        <v>0</v>
      </c>
      <c r="BS516" s="4" t="b">
        <v>0</v>
      </c>
      <c r="BT516" s="4" t="b">
        <v>1</v>
      </c>
    </row>
    <row r="517" spans="1:72" x14ac:dyDescent="0.35">
      <c r="B517" t="s">
        <v>1447</v>
      </c>
      <c r="C517" t="s">
        <v>142</v>
      </c>
      <c r="G517" t="s">
        <v>3903</v>
      </c>
      <c r="H517" t="s">
        <v>383</v>
      </c>
      <c r="I517" t="b">
        <v>1</v>
      </c>
      <c r="J517" t="b">
        <v>1</v>
      </c>
      <c r="K517" t="b">
        <v>1</v>
      </c>
      <c r="L517" t="b">
        <v>1</v>
      </c>
      <c r="M517" t="b">
        <v>1</v>
      </c>
      <c r="N517" s="3" t="b">
        <f t="shared" si="24"/>
        <v>1</v>
      </c>
      <c r="O517" s="3" t="b">
        <f t="shared" si="25"/>
        <v>0</v>
      </c>
      <c r="P517" s="3" t="b">
        <f t="shared" si="26"/>
        <v>0</v>
      </c>
      <c r="Q517" s="3" t="b">
        <f t="shared" si="27"/>
        <v>0</v>
      </c>
      <c r="R517" s="3" t="b">
        <f t="shared" si="28"/>
        <v>0</v>
      </c>
      <c r="S517" s="3" t="b">
        <f t="shared" si="29"/>
        <v>0</v>
      </c>
      <c r="U517" t="s">
        <v>1449</v>
      </c>
      <c r="V517" t="b">
        <v>1</v>
      </c>
      <c r="W517" t="b">
        <v>0</v>
      </c>
      <c r="X517" t="b">
        <v>0</v>
      </c>
      <c r="Y517" t="b">
        <v>1</v>
      </c>
      <c r="Z517" t="b">
        <v>0</v>
      </c>
      <c r="AA517" s="3"/>
      <c r="AB517" s="3"/>
      <c r="AC517" s="3"/>
      <c r="AD517" s="3"/>
      <c r="AF517" t="s">
        <v>146</v>
      </c>
      <c r="AG517" t="b">
        <v>1</v>
      </c>
      <c r="AH517" t="b">
        <v>1</v>
      </c>
      <c r="AI517" t="b">
        <v>1</v>
      </c>
      <c r="AJ517" t="b">
        <v>1</v>
      </c>
      <c r="AK517" t="b">
        <v>1</v>
      </c>
      <c r="AL517" s="3"/>
      <c r="AM517" s="3"/>
      <c r="AN517" s="3"/>
      <c r="AO517" s="3"/>
      <c r="AQ517" s="4" t="s">
        <v>147</v>
      </c>
      <c r="AR517" s="4" t="b">
        <v>1</v>
      </c>
      <c r="AS517" s="4" t="b">
        <v>1</v>
      </c>
      <c r="AT517" s="4" t="b">
        <v>1</v>
      </c>
      <c r="AU517" s="4" t="b">
        <v>1</v>
      </c>
      <c r="AV517" s="4" t="b">
        <v>1</v>
      </c>
      <c r="AW517" s="3" t="b">
        <f t="shared" si="30"/>
        <v>1</v>
      </c>
      <c r="AX517" s="3" t="b">
        <f t="shared" si="31"/>
        <v>0</v>
      </c>
      <c r="AY517" s="3" t="b">
        <f t="shared" si="32"/>
        <v>0</v>
      </c>
      <c r="AZ517" s="3" t="b">
        <f t="shared" si="33"/>
        <v>0</v>
      </c>
      <c r="BA517" s="3" t="b">
        <f t="shared" si="34"/>
        <v>0</v>
      </c>
      <c r="BB517" s="3" t="b">
        <f t="shared" si="35"/>
        <v>0</v>
      </c>
      <c r="BD517" s="4" t="s">
        <v>147</v>
      </c>
      <c r="BE517" s="4" t="b">
        <v>1</v>
      </c>
      <c r="BF517" s="4" t="b">
        <v>1</v>
      </c>
      <c r="BG517" s="4" t="b">
        <v>1</v>
      </c>
      <c r="BH517" s="4" t="b">
        <v>1</v>
      </c>
      <c r="BI517" s="4" t="b">
        <v>1</v>
      </c>
      <c r="BO517" s="4" t="s">
        <v>147</v>
      </c>
      <c r="BP517" s="4" t="b">
        <v>1</v>
      </c>
      <c r="BQ517" s="4" t="b">
        <v>1</v>
      </c>
      <c r="BR517" s="4" t="b">
        <v>1</v>
      </c>
      <c r="BS517" s="4" t="b">
        <v>1</v>
      </c>
      <c r="BT517" s="4" t="b">
        <v>1</v>
      </c>
    </row>
    <row r="518" spans="1:72" x14ac:dyDescent="0.35">
      <c r="C518" t="s">
        <v>148</v>
      </c>
      <c r="G518" t="s">
        <v>3904</v>
      </c>
      <c r="H518" t="s">
        <v>1451</v>
      </c>
      <c r="I518" t="b">
        <v>1</v>
      </c>
      <c r="J518" t="b">
        <v>1</v>
      </c>
      <c r="K518" t="b">
        <v>1</v>
      </c>
      <c r="L518" t="b">
        <v>1</v>
      </c>
      <c r="M518" t="b">
        <v>1</v>
      </c>
      <c r="N518" s="3" t="b">
        <f t="shared" si="24"/>
        <v>1</v>
      </c>
      <c r="O518" s="3" t="b">
        <f t="shared" si="25"/>
        <v>0</v>
      </c>
      <c r="P518" s="3" t="b">
        <f t="shared" si="26"/>
        <v>0</v>
      </c>
      <c r="Q518" s="3" t="b">
        <f t="shared" si="27"/>
        <v>0</v>
      </c>
      <c r="R518" s="3" t="b">
        <f t="shared" si="28"/>
        <v>0</v>
      </c>
      <c r="S518" s="3" t="b">
        <f t="shared" si="29"/>
        <v>0</v>
      </c>
      <c r="V518" t="b">
        <v>1</v>
      </c>
      <c r="W518" t="b">
        <v>0</v>
      </c>
      <c r="X518" t="b">
        <v>0</v>
      </c>
      <c r="Y518" t="b">
        <v>0</v>
      </c>
      <c r="Z518" t="b">
        <v>0</v>
      </c>
      <c r="AA518" s="3"/>
      <c r="AB518" s="3"/>
      <c r="AC518" s="3"/>
      <c r="AD518" s="3"/>
      <c r="AF518" t="s">
        <v>1452</v>
      </c>
      <c r="AG518" t="b">
        <v>1</v>
      </c>
      <c r="AH518" t="b">
        <v>1</v>
      </c>
      <c r="AI518" t="b">
        <v>1</v>
      </c>
      <c r="AJ518" t="b">
        <v>1</v>
      </c>
      <c r="AK518" t="b">
        <v>1</v>
      </c>
      <c r="AL518" s="3"/>
      <c r="AM518" s="3"/>
      <c r="AN518" s="3"/>
      <c r="AO518" s="3"/>
      <c r="AQ518" s="4" t="s">
        <v>1453</v>
      </c>
      <c r="AR518" s="4" t="b">
        <v>1</v>
      </c>
      <c r="AS518" s="4" t="b">
        <v>1</v>
      </c>
      <c r="AT518" s="4" t="b">
        <v>1</v>
      </c>
      <c r="AU518" s="4" t="b">
        <v>1</v>
      </c>
      <c r="AV518" s="4" t="b">
        <v>0</v>
      </c>
      <c r="AW518" s="3" t="b">
        <f t="shared" si="30"/>
        <v>0</v>
      </c>
      <c r="AX518" s="3" t="b">
        <f t="shared" si="31"/>
        <v>1</v>
      </c>
      <c r="AY518" s="3" t="b">
        <f t="shared" si="32"/>
        <v>0</v>
      </c>
      <c r="AZ518" s="3" t="b">
        <f t="shared" si="33"/>
        <v>0</v>
      </c>
      <c r="BA518" s="3" t="b">
        <f t="shared" si="34"/>
        <v>1</v>
      </c>
      <c r="BB518" s="3" t="b">
        <f t="shared" si="35"/>
        <v>0</v>
      </c>
      <c r="BD518" s="4" t="s">
        <v>1454</v>
      </c>
      <c r="BE518" s="4" t="b">
        <v>1</v>
      </c>
      <c r="BF518" s="4" t="b">
        <v>0</v>
      </c>
      <c r="BG518" s="4" t="b">
        <v>0</v>
      </c>
      <c r="BH518" s="4" t="b">
        <v>1</v>
      </c>
      <c r="BI518" s="4" t="b">
        <v>0</v>
      </c>
      <c r="BO518" s="4" t="s">
        <v>1455</v>
      </c>
      <c r="BP518" s="4" t="b">
        <v>1</v>
      </c>
      <c r="BQ518" s="4" t="b">
        <v>1</v>
      </c>
      <c r="BR518" s="4" t="b">
        <v>1</v>
      </c>
      <c r="BS518" s="4" t="b">
        <v>1</v>
      </c>
      <c r="BT518" s="4" t="b">
        <v>1</v>
      </c>
    </row>
    <row r="519" spans="1:72" x14ac:dyDescent="0.35">
      <c r="C519" t="s">
        <v>182</v>
      </c>
      <c r="G519" t="s">
        <v>3905</v>
      </c>
      <c r="H519" t="s">
        <v>1457</v>
      </c>
      <c r="I519" t="b">
        <v>1</v>
      </c>
      <c r="J519" t="b">
        <v>1</v>
      </c>
      <c r="K519" t="b">
        <v>1</v>
      </c>
      <c r="L519" t="b">
        <v>1</v>
      </c>
      <c r="M519" t="b">
        <v>0</v>
      </c>
      <c r="N519" s="3" t="b">
        <f t="shared" si="24"/>
        <v>0</v>
      </c>
      <c r="O519" s="3" t="b">
        <f t="shared" si="25"/>
        <v>1</v>
      </c>
      <c r="P519" s="3" t="b">
        <f t="shared" si="26"/>
        <v>0</v>
      </c>
      <c r="Q519" s="3" t="b">
        <f t="shared" si="27"/>
        <v>0</v>
      </c>
      <c r="R519" s="3" t="b">
        <f t="shared" si="28"/>
        <v>1</v>
      </c>
      <c r="S519" s="3" t="b">
        <f t="shared" si="29"/>
        <v>0</v>
      </c>
      <c r="U519" t="s">
        <v>1458</v>
      </c>
      <c r="V519" t="b">
        <v>1</v>
      </c>
      <c r="W519" t="b">
        <v>1</v>
      </c>
      <c r="X519" t="b">
        <v>1</v>
      </c>
      <c r="Y519" t="b">
        <v>1</v>
      </c>
      <c r="Z519" t="b">
        <v>0</v>
      </c>
      <c r="AA519" s="3"/>
      <c r="AB519" s="3"/>
      <c r="AC519" s="3"/>
      <c r="AD519" s="3"/>
      <c r="AF519" t="s">
        <v>1459</v>
      </c>
      <c r="AG519" t="b">
        <v>1</v>
      </c>
      <c r="AH519" t="b">
        <v>0</v>
      </c>
      <c r="AI519" t="b">
        <v>0</v>
      </c>
      <c r="AJ519" t="b">
        <v>1</v>
      </c>
      <c r="AK519" t="b">
        <v>0</v>
      </c>
      <c r="AL519" s="3"/>
      <c r="AM519" s="3"/>
      <c r="AN519" s="3"/>
      <c r="AO519" s="3"/>
      <c r="AQ519" s="4" t="s">
        <v>1460</v>
      </c>
      <c r="AR519" s="4" t="b">
        <v>1</v>
      </c>
      <c r="AS519" s="4" t="b">
        <v>1</v>
      </c>
      <c r="AT519" s="4" t="b">
        <v>1</v>
      </c>
      <c r="AU519" s="4" t="b">
        <v>1</v>
      </c>
      <c r="AV519" s="4" t="b">
        <v>0</v>
      </c>
      <c r="AW519" s="3" t="b">
        <f t="shared" si="30"/>
        <v>0</v>
      </c>
      <c r="AX519" s="3" t="b">
        <f t="shared" si="31"/>
        <v>1</v>
      </c>
      <c r="AY519" s="3" t="b">
        <f t="shared" si="32"/>
        <v>0</v>
      </c>
      <c r="AZ519" s="3" t="b">
        <f t="shared" si="33"/>
        <v>0</v>
      </c>
      <c r="BA519" s="3" t="b">
        <f t="shared" si="34"/>
        <v>1</v>
      </c>
      <c r="BB519" s="3" t="b">
        <f t="shared" si="35"/>
        <v>0</v>
      </c>
      <c r="BD519" s="4" t="s">
        <v>1461</v>
      </c>
      <c r="BE519" s="4" t="b">
        <v>1</v>
      </c>
      <c r="BF519" s="4" t="b">
        <v>0</v>
      </c>
      <c r="BG519" s="4" t="b">
        <v>0</v>
      </c>
      <c r="BH519" s="4" t="b">
        <v>0</v>
      </c>
      <c r="BI519" s="4" t="b">
        <v>0</v>
      </c>
      <c r="BO519" s="4" t="s">
        <v>1462</v>
      </c>
      <c r="BP519" s="4" t="b">
        <v>1</v>
      </c>
      <c r="BQ519" s="4" t="b">
        <v>1</v>
      </c>
      <c r="BR519" s="4" t="b">
        <v>1</v>
      </c>
      <c r="BS519" s="4" t="b">
        <v>1</v>
      </c>
      <c r="BT519" s="4" t="b">
        <v>0</v>
      </c>
    </row>
    <row r="520" spans="1:72" x14ac:dyDescent="0.35">
      <c r="B520" t="s">
        <v>188</v>
      </c>
      <c r="N520" s="3">
        <f t="shared" si="24"/>
        <v>0</v>
      </c>
      <c r="O520" s="3">
        <f t="shared" si="25"/>
        <v>0</v>
      </c>
      <c r="P520" s="3">
        <f t="shared" si="26"/>
        <v>0</v>
      </c>
      <c r="Q520" s="3">
        <f t="shared" si="27"/>
        <v>0</v>
      </c>
      <c r="R520" s="3">
        <f t="shared" si="28"/>
        <v>0</v>
      </c>
      <c r="S520" s="3">
        <f t="shared" si="29"/>
        <v>0</v>
      </c>
      <c r="AA520" s="3"/>
      <c r="AB520" s="3"/>
      <c r="AC520" s="3"/>
      <c r="AD520" s="3"/>
      <c r="AL520" s="3"/>
      <c r="AM520" s="3"/>
      <c r="AN520" s="3"/>
      <c r="AO520" s="3"/>
      <c r="AW520" s="3">
        <f t="shared" si="30"/>
        <v>0</v>
      </c>
      <c r="AX520" s="3">
        <f t="shared" si="31"/>
        <v>0</v>
      </c>
      <c r="AY520" s="3">
        <f t="shared" si="32"/>
        <v>0</v>
      </c>
      <c r="AZ520" s="3">
        <f t="shared" si="33"/>
        <v>0</v>
      </c>
      <c r="BA520" s="3">
        <f t="shared" si="34"/>
        <v>0</v>
      </c>
      <c r="BB520" s="3">
        <f t="shared" si="35"/>
        <v>0</v>
      </c>
    </row>
    <row r="521" spans="1:72" x14ac:dyDescent="0.35">
      <c r="B521" t="s">
        <v>195</v>
      </c>
      <c r="C521" t="s">
        <v>131</v>
      </c>
      <c r="G521" t="s">
        <v>3906</v>
      </c>
      <c r="H521" t="s">
        <v>133</v>
      </c>
      <c r="I521" t="b">
        <v>1</v>
      </c>
      <c r="J521" t="b">
        <v>1</v>
      </c>
      <c r="K521" t="b">
        <v>1</v>
      </c>
      <c r="L521" t="b">
        <v>1</v>
      </c>
      <c r="M521" t="b">
        <v>1</v>
      </c>
      <c r="N521" s="3" t="b">
        <f t="shared" si="24"/>
        <v>1</v>
      </c>
      <c r="O521" s="3" t="b">
        <f t="shared" si="25"/>
        <v>0</v>
      </c>
      <c r="P521" s="3" t="b">
        <f t="shared" si="26"/>
        <v>0</v>
      </c>
      <c r="Q521" s="3" t="b">
        <f t="shared" si="27"/>
        <v>0</v>
      </c>
      <c r="R521" s="3" t="b">
        <f t="shared" si="28"/>
        <v>0</v>
      </c>
      <c r="S521" s="3" t="b">
        <f t="shared" si="29"/>
        <v>0</v>
      </c>
      <c r="U521" t="s">
        <v>133</v>
      </c>
      <c r="V521" t="b">
        <v>1</v>
      </c>
      <c r="W521" t="b">
        <v>1</v>
      </c>
      <c r="X521" t="b">
        <v>1</v>
      </c>
      <c r="Y521" t="b">
        <v>1</v>
      </c>
      <c r="Z521" t="b">
        <v>1</v>
      </c>
      <c r="AA521" s="3"/>
      <c r="AB521" s="3"/>
      <c r="AC521" s="3"/>
      <c r="AD521" s="3"/>
      <c r="AF521" t="s">
        <v>133</v>
      </c>
      <c r="AG521" t="b">
        <v>1</v>
      </c>
      <c r="AH521" t="b">
        <v>1</v>
      </c>
      <c r="AI521" t="b">
        <v>1</v>
      </c>
      <c r="AJ521" t="b">
        <v>1</v>
      </c>
      <c r="AK521" t="b">
        <v>1</v>
      </c>
      <c r="AL521" s="3"/>
      <c r="AM521" s="3"/>
      <c r="AN521" s="3"/>
      <c r="AO521" s="3"/>
      <c r="AQ521" s="4" t="s">
        <v>133</v>
      </c>
      <c r="AR521" s="4" t="b">
        <v>1</v>
      </c>
      <c r="AS521" s="4" t="b">
        <v>1</v>
      </c>
      <c r="AT521" s="4" t="b">
        <v>1</v>
      </c>
      <c r="AU521" s="4" t="b">
        <v>1</v>
      </c>
      <c r="AV521" s="4" t="b">
        <v>1</v>
      </c>
      <c r="AW521" s="3" t="b">
        <f t="shared" si="30"/>
        <v>1</v>
      </c>
      <c r="AX521" s="3" t="b">
        <f t="shared" si="31"/>
        <v>0</v>
      </c>
      <c r="AY521" s="3" t="b">
        <f t="shared" si="32"/>
        <v>0</v>
      </c>
      <c r="AZ521" s="3" t="b">
        <f t="shared" si="33"/>
        <v>0</v>
      </c>
      <c r="BA521" s="3" t="b">
        <f t="shared" si="34"/>
        <v>0</v>
      </c>
      <c r="BB521" s="3" t="b">
        <f t="shared" si="35"/>
        <v>0</v>
      </c>
      <c r="BD521" s="4" t="s">
        <v>133</v>
      </c>
      <c r="BE521" s="4" t="b">
        <v>1</v>
      </c>
      <c r="BF521" s="4" t="b">
        <v>1</v>
      </c>
      <c r="BG521" s="4" t="b">
        <v>1</v>
      </c>
      <c r="BH521" s="4" t="b">
        <v>1</v>
      </c>
      <c r="BI521" s="4" t="b">
        <v>1</v>
      </c>
      <c r="BO521" s="4" t="s">
        <v>133</v>
      </c>
      <c r="BP521" s="4" t="b">
        <v>1</v>
      </c>
      <c r="BQ521" s="4" t="b">
        <v>1</v>
      </c>
      <c r="BR521" s="4" t="b">
        <v>1</v>
      </c>
      <c r="BS521" s="4" t="b">
        <v>1</v>
      </c>
      <c r="BT521" s="4" t="b">
        <v>1</v>
      </c>
    </row>
    <row r="522" spans="1:72" x14ac:dyDescent="0.35">
      <c r="C522" t="s">
        <v>197</v>
      </c>
      <c r="G522" t="s">
        <v>3907</v>
      </c>
      <c r="H522" t="s">
        <v>199</v>
      </c>
      <c r="I522" t="b">
        <v>1</v>
      </c>
      <c r="J522" t="b">
        <v>1</v>
      </c>
      <c r="K522" t="b">
        <v>1</v>
      </c>
      <c r="L522" t="b">
        <v>1</v>
      </c>
      <c r="M522" t="b">
        <v>1</v>
      </c>
      <c r="N522" s="3" t="b">
        <f t="shared" si="24"/>
        <v>1</v>
      </c>
      <c r="O522" s="3" t="b">
        <f t="shared" si="25"/>
        <v>0</v>
      </c>
      <c r="P522" s="3" t="b">
        <f t="shared" si="26"/>
        <v>0</v>
      </c>
      <c r="Q522" s="3" t="b">
        <f t="shared" si="27"/>
        <v>0</v>
      </c>
      <c r="R522" s="3" t="b">
        <f t="shared" si="28"/>
        <v>0</v>
      </c>
      <c r="S522" s="3" t="b">
        <f t="shared" si="29"/>
        <v>0</v>
      </c>
      <c r="U522" t="s">
        <v>199</v>
      </c>
      <c r="V522" t="b">
        <v>1</v>
      </c>
      <c r="W522" t="b">
        <v>1</v>
      </c>
      <c r="X522" t="b">
        <v>1</v>
      </c>
      <c r="Y522" t="b">
        <v>1</v>
      </c>
      <c r="Z522" t="b">
        <v>1</v>
      </c>
      <c r="AA522" s="3"/>
      <c r="AB522" s="3"/>
      <c r="AC522" s="3"/>
      <c r="AD522" s="3"/>
      <c r="AF522" t="s">
        <v>199</v>
      </c>
      <c r="AG522" t="b">
        <v>1</v>
      </c>
      <c r="AH522" t="b">
        <v>1</v>
      </c>
      <c r="AI522" t="b">
        <v>1</v>
      </c>
      <c r="AJ522" t="b">
        <v>1</v>
      </c>
      <c r="AK522" t="b">
        <v>1</v>
      </c>
      <c r="AL522" s="3"/>
      <c r="AM522" s="3"/>
      <c r="AN522" s="3"/>
      <c r="AO522" s="3"/>
      <c r="AQ522" s="4" t="s">
        <v>1464</v>
      </c>
      <c r="AR522" s="4" t="b">
        <v>1</v>
      </c>
      <c r="AS522" s="4" t="b">
        <v>0</v>
      </c>
      <c r="AT522" s="4" t="b">
        <v>0</v>
      </c>
      <c r="AU522" s="4" t="b">
        <v>1</v>
      </c>
      <c r="AV522" s="4" t="b">
        <v>0</v>
      </c>
      <c r="AW522" s="3" t="b">
        <f t="shared" si="30"/>
        <v>0</v>
      </c>
      <c r="AX522" s="3" t="b">
        <f t="shared" si="31"/>
        <v>0</v>
      </c>
      <c r="AY522" s="3" t="b">
        <f t="shared" si="32"/>
        <v>1</v>
      </c>
      <c r="AZ522" s="3" t="b">
        <f t="shared" si="33"/>
        <v>0</v>
      </c>
      <c r="BA522" s="3" t="b">
        <f t="shared" si="34"/>
        <v>0</v>
      </c>
      <c r="BB522" s="3" t="b">
        <f t="shared" si="35"/>
        <v>0</v>
      </c>
      <c r="BD522" s="4" t="s">
        <v>1464</v>
      </c>
      <c r="BE522" s="4" t="b">
        <v>1</v>
      </c>
      <c r="BF522" s="4" t="b">
        <v>0</v>
      </c>
      <c r="BG522" s="4" t="b">
        <v>0</v>
      </c>
      <c r="BH522" s="4" t="b">
        <v>1</v>
      </c>
      <c r="BI522" s="4" t="b">
        <v>0</v>
      </c>
      <c r="BO522" s="4" t="s">
        <v>1464</v>
      </c>
      <c r="BP522" s="4" t="b">
        <v>1</v>
      </c>
      <c r="BQ522" s="4" t="b">
        <v>0</v>
      </c>
      <c r="BR522" s="4" t="b">
        <v>0</v>
      </c>
      <c r="BS522" s="4" t="b">
        <v>1</v>
      </c>
      <c r="BT522" s="4" t="b">
        <v>0</v>
      </c>
    </row>
    <row r="523" spans="1:72" x14ac:dyDescent="0.35">
      <c r="C523" t="s">
        <v>200</v>
      </c>
      <c r="G523" t="s">
        <v>3908</v>
      </c>
      <c r="H523" t="s">
        <v>1466</v>
      </c>
      <c r="I523" t="b">
        <v>1</v>
      </c>
      <c r="J523" t="b">
        <v>0</v>
      </c>
      <c r="K523" t="b">
        <v>0</v>
      </c>
      <c r="L523" t="b">
        <v>1</v>
      </c>
      <c r="M523" t="b">
        <v>0</v>
      </c>
      <c r="N523" s="3" t="b">
        <f t="shared" si="24"/>
        <v>0</v>
      </c>
      <c r="O523" s="3" t="b">
        <f t="shared" si="25"/>
        <v>0</v>
      </c>
      <c r="P523" s="3" t="b">
        <f t="shared" si="26"/>
        <v>1</v>
      </c>
      <c r="Q523" s="3" t="b">
        <f t="shared" si="27"/>
        <v>0</v>
      </c>
      <c r="R523" s="3" t="b">
        <f t="shared" si="28"/>
        <v>0</v>
      </c>
      <c r="S523" s="3" t="b">
        <f t="shared" si="29"/>
        <v>0</v>
      </c>
      <c r="U523" t="s">
        <v>1467</v>
      </c>
      <c r="V523" t="b">
        <v>1</v>
      </c>
      <c r="W523" t="b">
        <v>1</v>
      </c>
      <c r="X523" t="b">
        <v>1</v>
      </c>
      <c r="Y523" t="b">
        <v>1</v>
      </c>
      <c r="Z523" t="b">
        <v>1</v>
      </c>
      <c r="AA523" s="3"/>
      <c r="AB523" s="3"/>
      <c r="AC523" s="3"/>
      <c r="AD523" s="3"/>
      <c r="AF523" t="s">
        <v>1468</v>
      </c>
      <c r="AG523" t="b">
        <v>1</v>
      </c>
      <c r="AH523" t="b">
        <v>1</v>
      </c>
      <c r="AI523" t="b">
        <v>1</v>
      </c>
      <c r="AJ523" t="b">
        <v>1</v>
      </c>
      <c r="AK523" t="b">
        <v>1</v>
      </c>
      <c r="AL523" s="3"/>
      <c r="AM523" s="3"/>
      <c r="AN523" s="3"/>
      <c r="AO523" s="3"/>
      <c r="AQ523" s="4" t="s">
        <v>1469</v>
      </c>
      <c r="AR523" s="4" t="b">
        <v>1</v>
      </c>
      <c r="AS523" s="4" t="b">
        <v>0</v>
      </c>
      <c r="AT523" s="4" t="b">
        <v>0</v>
      </c>
      <c r="AU523" s="4" t="b">
        <v>1</v>
      </c>
      <c r="AV523" s="4" t="b">
        <v>0</v>
      </c>
      <c r="AW523" s="3" t="b">
        <f t="shared" si="30"/>
        <v>0</v>
      </c>
      <c r="AX523" s="3" t="b">
        <f t="shared" si="31"/>
        <v>0</v>
      </c>
      <c r="AY523" s="3" t="b">
        <f t="shared" si="32"/>
        <v>1</v>
      </c>
      <c r="AZ523" s="3" t="b">
        <f t="shared" si="33"/>
        <v>0</v>
      </c>
      <c r="BA523" s="3" t="b">
        <f t="shared" si="34"/>
        <v>0</v>
      </c>
      <c r="BB523" s="3" t="b">
        <f t="shared" si="35"/>
        <v>0</v>
      </c>
      <c r="BD523" s="4" t="s">
        <v>1469</v>
      </c>
      <c r="BE523" s="4" t="b">
        <v>1</v>
      </c>
      <c r="BF523" s="4" t="b">
        <v>0</v>
      </c>
      <c r="BG523" s="4" t="b">
        <v>0</v>
      </c>
      <c r="BH523" s="4" t="b">
        <v>1</v>
      </c>
      <c r="BI523" s="4" t="b">
        <v>0</v>
      </c>
      <c r="BO523" s="4" t="s">
        <v>1469</v>
      </c>
      <c r="BP523" s="4" t="b">
        <v>1</v>
      </c>
      <c r="BQ523" s="4" t="b">
        <v>0</v>
      </c>
      <c r="BR523" s="4" t="b">
        <v>0</v>
      </c>
      <c r="BS523" s="4" t="b">
        <v>1</v>
      </c>
      <c r="BT523" s="4" t="b">
        <v>0</v>
      </c>
    </row>
    <row r="524" spans="1:72" x14ac:dyDescent="0.35">
      <c r="N524" s="3">
        <f t="shared" si="24"/>
        <v>0</v>
      </c>
      <c r="O524" s="3">
        <f t="shared" si="25"/>
        <v>0</v>
      </c>
      <c r="P524" s="3">
        <f t="shared" si="26"/>
        <v>0</v>
      </c>
      <c r="Q524" s="3">
        <f t="shared" si="27"/>
        <v>0</v>
      </c>
      <c r="R524" s="3">
        <f t="shared" si="28"/>
        <v>0</v>
      </c>
      <c r="S524" s="3">
        <f t="shared" si="29"/>
        <v>0</v>
      </c>
      <c r="AA524" s="3"/>
      <c r="AB524" s="3"/>
      <c r="AC524" s="3"/>
      <c r="AD524" s="3"/>
      <c r="AL524" s="3"/>
      <c r="AM524" s="3"/>
      <c r="AN524" s="3"/>
      <c r="AO524" s="3"/>
      <c r="AW524" s="3">
        <f t="shared" si="30"/>
        <v>0</v>
      </c>
      <c r="AX524" s="3">
        <f t="shared" si="31"/>
        <v>0</v>
      </c>
      <c r="AY524" s="3">
        <f t="shared" si="32"/>
        <v>0</v>
      </c>
      <c r="AZ524" s="3">
        <f t="shared" si="33"/>
        <v>0</v>
      </c>
      <c r="BA524" s="3">
        <f t="shared" si="34"/>
        <v>0</v>
      </c>
      <c r="BB524" s="3">
        <f t="shared" si="35"/>
        <v>0</v>
      </c>
    </row>
    <row r="525" spans="1:72" x14ac:dyDescent="0.35">
      <c r="A525" t="s">
        <v>1470</v>
      </c>
      <c r="B525" t="s">
        <v>1471</v>
      </c>
      <c r="C525" t="s">
        <v>25</v>
      </c>
      <c r="G525" t="s">
        <v>3909</v>
      </c>
      <c r="H525" t="s">
        <v>28</v>
      </c>
      <c r="I525" t="b">
        <v>1</v>
      </c>
      <c r="J525" t="b">
        <v>1</v>
      </c>
      <c r="K525" t="b">
        <v>1</v>
      </c>
      <c r="L525" t="b">
        <v>1</v>
      </c>
      <c r="M525" t="b">
        <v>1</v>
      </c>
      <c r="N525" s="3" t="b">
        <f t="shared" si="24"/>
        <v>1</v>
      </c>
      <c r="O525" s="3" t="b">
        <f t="shared" si="25"/>
        <v>0</v>
      </c>
      <c r="P525" s="3" t="b">
        <f t="shared" si="26"/>
        <v>0</v>
      </c>
      <c r="Q525" s="3" t="b">
        <f t="shared" si="27"/>
        <v>0</v>
      </c>
      <c r="R525" s="3" t="b">
        <f t="shared" si="28"/>
        <v>0</v>
      </c>
      <c r="S525" s="3" t="b">
        <f t="shared" si="29"/>
        <v>0</v>
      </c>
      <c r="U525" t="s">
        <v>28</v>
      </c>
      <c r="V525" t="b">
        <v>1</v>
      </c>
      <c r="W525" t="b">
        <v>1</v>
      </c>
      <c r="X525" t="b">
        <v>1</v>
      </c>
      <c r="Y525" t="b">
        <v>1</v>
      </c>
      <c r="Z525" t="b">
        <v>1</v>
      </c>
      <c r="AA525" s="3"/>
      <c r="AB525" s="3"/>
      <c r="AC525" s="3"/>
      <c r="AD525" s="3"/>
      <c r="AF525" t="s">
        <v>28</v>
      </c>
      <c r="AG525" t="b">
        <v>1</v>
      </c>
      <c r="AH525" t="b">
        <v>1</v>
      </c>
      <c r="AI525" t="b">
        <v>1</v>
      </c>
      <c r="AJ525" t="b">
        <v>1</v>
      </c>
      <c r="AK525" t="b">
        <v>1</v>
      </c>
      <c r="AL525" s="3"/>
      <c r="AM525" s="3"/>
      <c r="AN525" s="3"/>
      <c r="AO525" s="3"/>
      <c r="AQ525" s="4" t="s">
        <v>28</v>
      </c>
      <c r="AR525" s="4" t="b">
        <v>1</v>
      </c>
      <c r="AS525" s="4" t="b">
        <v>1</v>
      </c>
      <c r="AT525" s="4" t="b">
        <v>1</v>
      </c>
      <c r="AU525" s="4" t="b">
        <v>1</v>
      </c>
      <c r="AV525" s="4" t="b">
        <v>1</v>
      </c>
      <c r="AW525" s="3" t="b">
        <f t="shared" si="30"/>
        <v>1</v>
      </c>
      <c r="AX525" s="3" t="b">
        <f t="shared" si="31"/>
        <v>0</v>
      </c>
      <c r="AY525" s="3" t="b">
        <f t="shared" si="32"/>
        <v>0</v>
      </c>
      <c r="AZ525" s="3" t="b">
        <f t="shared" si="33"/>
        <v>0</v>
      </c>
      <c r="BA525" s="3" t="b">
        <f t="shared" si="34"/>
        <v>0</v>
      </c>
      <c r="BB525" s="3" t="b">
        <f t="shared" si="35"/>
        <v>0</v>
      </c>
      <c r="BD525" s="4" t="s">
        <v>28</v>
      </c>
      <c r="BE525" s="4" t="b">
        <v>1</v>
      </c>
      <c r="BF525" s="4" t="b">
        <v>1</v>
      </c>
      <c r="BG525" s="4" t="b">
        <v>1</v>
      </c>
      <c r="BH525" s="4" t="b">
        <v>1</v>
      </c>
      <c r="BI525" s="4" t="b">
        <v>1</v>
      </c>
      <c r="BO525" s="4" t="s">
        <v>28</v>
      </c>
      <c r="BP525" s="4" t="b">
        <v>1</v>
      </c>
      <c r="BQ525" s="4" t="b">
        <v>1</v>
      </c>
      <c r="BR525" s="4" t="b">
        <v>1</v>
      </c>
      <c r="BS525" s="4" t="b">
        <v>1</v>
      </c>
      <c r="BT525" s="4" t="b">
        <v>1</v>
      </c>
    </row>
    <row r="526" spans="1:72" x14ac:dyDescent="0.35">
      <c r="C526" t="s">
        <v>29</v>
      </c>
      <c r="G526" t="s">
        <v>3910</v>
      </c>
      <c r="H526" t="s">
        <v>31</v>
      </c>
      <c r="I526" t="b">
        <v>1</v>
      </c>
      <c r="J526" t="b">
        <v>1</v>
      </c>
      <c r="K526" t="b">
        <v>1</v>
      </c>
      <c r="L526" t="b">
        <v>1</v>
      </c>
      <c r="M526" t="b">
        <v>1</v>
      </c>
      <c r="N526" s="3" t="b">
        <f t="shared" si="24"/>
        <v>1</v>
      </c>
      <c r="O526" s="3" t="b">
        <f t="shared" si="25"/>
        <v>0</v>
      </c>
      <c r="P526" s="3" t="b">
        <f t="shared" si="26"/>
        <v>0</v>
      </c>
      <c r="Q526" s="3" t="b">
        <f t="shared" si="27"/>
        <v>0</v>
      </c>
      <c r="R526" s="3" t="b">
        <f t="shared" si="28"/>
        <v>0</v>
      </c>
      <c r="S526" s="3" t="b">
        <f t="shared" si="29"/>
        <v>0</v>
      </c>
      <c r="U526" t="s">
        <v>31</v>
      </c>
      <c r="V526" t="b">
        <v>1</v>
      </c>
      <c r="W526" t="b">
        <v>1</v>
      </c>
      <c r="X526" t="b">
        <v>1</v>
      </c>
      <c r="Y526" t="b">
        <v>1</v>
      </c>
      <c r="Z526" t="b">
        <v>1</v>
      </c>
      <c r="AA526" s="3"/>
      <c r="AB526" s="3"/>
      <c r="AC526" s="3"/>
      <c r="AD526" s="3"/>
      <c r="AF526" t="s">
        <v>31</v>
      </c>
      <c r="AG526" t="b">
        <v>1</v>
      </c>
      <c r="AH526" t="b">
        <v>1</v>
      </c>
      <c r="AI526" t="b">
        <v>1</v>
      </c>
      <c r="AJ526" t="b">
        <v>1</v>
      </c>
      <c r="AK526" t="b">
        <v>1</v>
      </c>
      <c r="AL526" s="3"/>
      <c r="AM526" s="3"/>
      <c r="AN526" s="3"/>
      <c r="AO526" s="3"/>
      <c r="AQ526" s="4" t="s">
        <v>31</v>
      </c>
      <c r="AR526" s="4" t="b">
        <v>1</v>
      </c>
      <c r="AS526" s="4" t="b">
        <v>1</v>
      </c>
      <c r="AT526" s="4" t="b">
        <v>1</v>
      </c>
      <c r="AU526" s="4" t="b">
        <v>1</v>
      </c>
      <c r="AV526" s="4" t="b">
        <v>1</v>
      </c>
      <c r="AW526" s="3" t="b">
        <f t="shared" si="30"/>
        <v>1</v>
      </c>
      <c r="AX526" s="3" t="b">
        <f t="shared" si="31"/>
        <v>0</v>
      </c>
      <c r="AY526" s="3" t="b">
        <f t="shared" si="32"/>
        <v>0</v>
      </c>
      <c r="AZ526" s="3" t="b">
        <f t="shared" si="33"/>
        <v>0</v>
      </c>
      <c r="BA526" s="3" t="b">
        <f t="shared" si="34"/>
        <v>0</v>
      </c>
      <c r="BB526" s="3" t="b">
        <f t="shared" si="35"/>
        <v>0</v>
      </c>
      <c r="BD526" s="4" t="s">
        <v>31</v>
      </c>
      <c r="BE526" s="4" t="b">
        <v>1</v>
      </c>
      <c r="BF526" s="4" t="b">
        <v>1</v>
      </c>
      <c r="BG526" s="4" t="b">
        <v>1</v>
      </c>
      <c r="BH526" s="4" t="b">
        <v>1</v>
      </c>
      <c r="BI526" s="4" t="b">
        <v>1</v>
      </c>
      <c r="BO526" s="4" t="s">
        <v>31</v>
      </c>
      <c r="BP526" s="4" t="b">
        <v>1</v>
      </c>
      <c r="BQ526" s="4" t="b">
        <v>1</v>
      </c>
      <c r="BR526" s="4" t="b">
        <v>1</v>
      </c>
      <c r="BS526" s="4" t="b">
        <v>1</v>
      </c>
      <c r="BT526" s="4" t="b">
        <v>1</v>
      </c>
    </row>
    <row r="527" spans="1:72" x14ac:dyDescent="0.35">
      <c r="B527" t="s">
        <v>1474</v>
      </c>
      <c r="C527" t="s">
        <v>1404</v>
      </c>
      <c r="D527" t="s">
        <v>1405</v>
      </c>
      <c r="E527" t="s">
        <v>1406</v>
      </c>
      <c r="G527" t="s">
        <v>3911</v>
      </c>
      <c r="H527" t="s">
        <v>1409</v>
      </c>
      <c r="I527" t="b">
        <v>1</v>
      </c>
      <c r="J527" t="b">
        <v>1</v>
      </c>
      <c r="K527" t="b">
        <v>1</v>
      </c>
      <c r="L527" t="b">
        <v>1</v>
      </c>
      <c r="M527" t="b">
        <v>1</v>
      </c>
      <c r="N527" s="3" t="b">
        <f t="shared" si="24"/>
        <v>1</v>
      </c>
      <c r="O527" s="3" t="b">
        <f t="shared" si="25"/>
        <v>0</v>
      </c>
      <c r="P527" s="3" t="b">
        <f t="shared" si="26"/>
        <v>0</v>
      </c>
      <c r="Q527" s="3" t="b">
        <f t="shared" si="27"/>
        <v>0</v>
      </c>
      <c r="R527" s="3" t="b">
        <f t="shared" si="28"/>
        <v>0</v>
      </c>
      <c r="S527" s="3" t="b">
        <f t="shared" si="29"/>
        <v>0</v>
      </c>
      <c r="U527" t="s">
        <v>1409</v>
      </c>
      <c r="V527" t="b">
        <v>1</v>
      </c>
      <c r="W527" t="b">
        <v>1</v>
      </c>
      <c r="X527" t="b">
        <v>1</v>
      </c>
      <c r="Y527" t="b">
        <v>1</v>
      </c>
      <c r="Z527" t="b">
        <v>1</v>
      </c>
      <c r="AA527" s="3"/>
      <c r="AB527" s="3"/>
      <c r="AC527" s="3"/>
      <c r="AD527" s="3"/>
      <c r="AF527" t="s">
        <v>1409</v>
      </c>
      <c r="AG527" t="b">
        <v>1</v>
      </c>
      <c r="AH527" t="b">
        <v>1</v>
      </c>
      <c r="AI527" t="b">
        <v>1</v>
      </c>
      <c r="AJ527" t="b">
        <v>1</v>
      </c>
      <c r="AK527" t="b">
        <v>1</v>
      </c>
      <c r="AL527" s="3"/>
      <c r="AM527" s="3"/>
      <c r="AN527" s="3"/>
      <c r="AO527" s="3"/>
      <c r="AQ527" s="4" t="s">
        <v>1409</v>
      </c>
      <c r="AR527" s="4" t="b">
        <v>1</v>
      </c>
      <c r="AS527" s="4" t="b">
        <v>1</v>
      </c>
      <c r="AT527" s="4" t="b">
        <v>1</v>
      </c>
      <c r="AU527" s="4" t="b">
        <v>1</v>
      </c>
      <c r="AV527" s="4" t="b">
        <v>1</v>
      </c>
      <c r="AW527" s="3" t="b">
        <f t="shared" si="30"/>
        <v>1</v>
      </c>
      <c r="AX527" s="3" t="b">
        <f t="shared" si="31"/>
        <v>0</v>
      </c>
      <c r="AY527" s="3" t="b">
        <f t="shared" si="32"/>
        <v>0</v>
      </c>
      <c r="AZ527" s="3" t="b">
        <f t="shared" si="33"/>
        <v>0</v>
      </c>
      <c r="BA527" s="3" t="b">
        <f t="shared" si="34"/>
        <v>0</v>
      </c>
      <c r="BB527" s="3" t="b">
        <f t="shared" si="35"/>
        <v>0</v>
      </c>
      <c r="BD527" s="4" t="s">
        <v>1409</v>
      </c>
      <c r="BE527" s="4" t="b">
        <v>1</v>
      </c>
      <c r="BF527" s="4" t="b">
        <v>1</v>
      </c>
      <c r="BG527" s="4" t="b">
        <v>1</v>
      </c>
      <c r="BH527" s="4" t="b">
        <v>1</v>
      </c>
      <c r="BI527" s="4" t="b">
        <v>1</v>
      </c>
      <c r="BO527" s="4" t="s">
        <v>1409</v>
      </c>
      <c r="BP527" s="4" t="b">
        <v>1</v>
      </c>
      <c r="BQ527" s="4" t="b">
        <v>1</v>
      </c>
      <c r="BR527" s="4" t="b">
        <v>1</v>
      </c>
      <c r="BS527" s="4" t="b">
        <v>1</v>
      </c>
      <c r="BT527" s="4" t="b">
        <v>1</v>
      </c>
    </row>
    <row r="528" spans="1:72" x14ac:dyDescent="0.35">
      <c r="C528" t="s">
        <v>1476</v>
      </c>
      <c r="G528" t="s">
        <v>3912</v>
      </c>
      <c r="H528" t="s">
        <v>1477</v>
      </c>
      <c r="I528" t="b">
        <v>1</v>
      </c>
      <c r="J528" t="b">
        <v>1</v>
      </c>
      <c r="K528" t="b">
        <v>1</v>
      </c>
      <c r="L528" t="b">
        <v>1</v>
      </c>
      <c r="M528" t="b">
        <v>0</v>
      </c>
      <c r="N528" s="3" t="b">
        <f t="shared" si="24"/>
        <v>0</v>
      </c>
      <c r="O528" s="3" t="b">
        <f t="shared" si="25"/>
        <v>1</v>
      </c>
      <c r="P528" s="3" t="b">
        <f t="shared" si="26"/>
        <v>0</v>
      </c>
      <c r="Q528" s="3" t="b">
        <f t="shared" si="27"/>
        <v>0</v>
      </c>
      <c r="R528" s="3" t="b">
        <f t="shared" si="28"/>
        <v>1</v>
      </c>
      <c r="S528" s="3" t="b">
        <f t="shared" si="29"/>
        <v>0</v>
      </c>
      <c r="U528" t="s">
        <v>1478</v>
      </c>
      <c r="V528" t="b">
        <v>1</v>
      </c>
      <c r="W528" t="b">
        <v>1</v>
      </c>
      <c r="X528" t="b">
        <v>1</v>
      </c>
      <c r="Y528" t="b">
        <v>1</v>
      </c>
      <c r="Z528" t="b">
        <v>0</v>
      </c>
      <c r="AA528" s="3"/>
      <c r="AB528" s="3"/>
      <c r="AC528" s="3"/>
      <c r="AD528" s="3"/>
      <c r="AF528" t="s">
        <v>1479</v>
      </c>
      <c r="AG528" t="b">
        <v>1</v>
      </c>
      <c r="AH528" t="b">
        <v>1</v>
      </c>
      <c r="AI528" t="b">
        <v>1</v>
      </c>
      <c r="AJ528" t="b">
        <v>1</v>
      </c>
      <c r="AK528" t="b">
        <v>0</v>
      </c>
      <c r="AL528" s="3"/>
      <c r="AM528" s="3"/>
      <c r="AN528" s="3"/>
      <c r="AO528" s="3"/>
      <c r="AQ528" s="4" t="s">
        <v>1480</v>
      </c>
      <c r="AR528" s="4" t="b">
        <v>1</v>
      </c>
      <c r="AS528" s="4" t="b">
        <v>1</v>
      </c>
      <c r="AT528" s="4" t="b">
        <v>1</v>
      </c>
      <c r="AU528" s="4" t="b">
        <v>1</v>
      </c>
      <c r="AV528" s="4" t="b">
        <v>0</v>
      </c>
      <c r="AW528" s="3" t="b">
        <f t="shared" si="30"/>
        <v>0</v>
      </c>
      <c r="AX528" s="3" t="b">
        <f t="shared" si="31"/>
        <v>1</v>
      </c>
      <c r="AY528" s="3" t="b">
        <f t="shared" si="32"/>
        <v>0</v>
      </c>
      <c r="AZ528" s="3" t="b">
        <f t="shared" si="33"/>
        <v>0</v>
      </c>
      <c r="BA528" s="3" t="b">
        <f t="shared" si="34"/>
        <v>1</v>
      </c>
      <c r="BB528" s="3" t="b">
        <f t="shared" si="35"/>
        <v>0</v>
      </c>
      <c r="BD528" s="4" t="s">
        <v>1481</v>
      </c>
      <c r="BE528" s="4" t="b">
        <v>1</v>
      </c>
      <c r="BF528" s="4" t="b">
        <v>0</v>
      </c>
      <c r="BG528" s="4" t="b">
        <v>0</v>
      </c>
      <c r="BH528" s="4" t="b">
        <v>0</v>
      </c>
      <c r="BI528" s="4" t="b">
        <v>0</v>
      </c>
      <c r="BO528" s="4" t="s">
        <v>1482</v>
      </c>
      <c r="BP528" s="4" t="b">
        <v>1</v>
      </c>
      <c r="BQ528" s="4" t="b">
        <v>1</v>
      </c>
      <c r="BR528" s="4" t="b">
        <v>1</v>
      </c>
      <c r="BS528" s="4" t="b">
        <v>1</v>
      </c>
      <c r="BT528" s="4" t="b">
        <v>0</v>
      </c>
    </row>
    <row r="529" spans="2:72" x14ac:dyDescent="0.35">
      <c r="C529" t="s">
        <v>1415</v>
      </c>
      <c r="G529" t="s">
        <v>3913</v>
      </c>
      <c r="H529" t="s">
        <v>1417</v>
      </c>
      <c r="I529" t="b">
        <v>1</v>
      </c>
      <c r="J529" t="b">
        <v>1</v>
      </c>
      <c r="K529" t="b">
        <v>1</v>
      </c>
      <c r="L529" t="b">
        <v>1</v>
      </c>
      <c r="M529" t="b">
        <v>1</v>
      </c>
      <c r="N529" s="3" t="b">
        <f t="shared" si="24"/>
        <v>1</v>
      </c>
      <c r="O529" s="3" t="b">
        <f t="shared" si="25"/>
        <v>0</v>
      </c>
      <c r="P529" s="3" t="b">
        <f t="shared" si="26"/>
        <v>0</v>
      </c>
      <c r="Q529" s="3" t="b">
        <f t="shared" si="27"/>
        <v>0</v>
      </c>
      <c r="R529" s="3" t="b">
        <f t="shared" si="28"/>
        <v>0</v>
      </c>
      <c r="S529" s="3" t="b">
        <f t="shared" si="29"/>
        <v>0</v>
      </c>
      <c r="U529" t="s">
        <v>1484</v>
      </c>
      <c r="V529" t="b">
        <v>1</v>
      </c>
      <c r="W529" t="b">
        <v>0</v>
      </c>
      <c r="X529" t="b">
        <v>0</v>
      </c>
      <c r="Y529" t="b">
        <v>0</v>
      </c>
      <c r="Z529" t="b">
        <v>0</v>
      </c>
      <c r="AA529" s="3"/>
      <c r="AB529" s="3"/>
      <c r="AC529" s="3"/>
      <c r="AD529" s="3"/>
      <c r="AF529" t="s">
        <v>1417</v>
      </c>
      <c r="AG529" t="b">
        <v>1</v>
      </c>
      <c r="AH529" t="b">
        <v>1</v>
      </c>
      <c r="AI529" t="b">
        <v>1</v>
      </c>
      <c r="AJ529" t="b">
        <v>1</v>
      </c>
      <c r="AK529" t="b">
        <v>1</v>
      </c>
      <c r="AL529" s="3"/>
      <c r="AM529" s="3"/>
      <c r="AN529" s="3"/>
      <c r="AO529" s="3"/>
      <c r="AQ529" s="4" t="s">
        <v>1485</v>
      </c>
      <c r="AR529" s="4" t="b">
        <v>1</v>
      </c>
      <c r="AS529" s="4" t="b">
        <v>1</v>
      </c>
      <c r="AT529" s="4" t="b">
        <v>1</v>
      </c>
      <c r="AU529" s="4" t="b">
        <v>1</v>
      </c>
      <c r="AV529" s="4" t="b">
        <v>1</v>
      </c>
      <c r="AW529" s="3" t="b">
        <f t="shared" si="30"/>
        <v>1</v>
      </c>
      <c r="AX529" s="3" t="b">
        <f t="shared" si="31"/>
        <v>0</v>
      </c>
      <c r="AY529" s="3" t="b">
        <f t="shared" si="32"/>
        <v>0</v>
      </c>
      <c r="AZ529" s="3" t="b">
        <f t="shared" si="33"/>
        <v>0</v>
      </c>
      <c r="BA529" s="3" t="b">
        <f t="shared" si="34"/>
        <v>0</v>
      </c>
      <c r="BB529" s="3" t="b">
        <f t="shared" si="35"/>
        <v>0</v>
      </c>
      <c r="BD529" s="4" t="s">
        <v>1486</v>
      </c>
      <c r="BE529" s="4" t="b">
        <v>1</v>
      </c>
      <c r="BF529" s="4" t="b">
        <v>1</v>
      </c>
      <c r="BG529" s="4" t="b">
        <v>1</v>
      </c>
      <c r="BH529" s="4" t="b">
        <v>1</v>
      </c>
      <c r="BI529" s="4" t="b">
        <v>1</v>
      </c>
      <c r="BO529" s="4" t="s">
        <v>1486</v>
      </c>
      <c r="BP529" s="4" t="b">
        <v>1</v>
      </c>
      <c r="BQ529" s="4" t="b">
        <v>1</v>
      </c>
      <c r="BR529" s="4" t="b">
        <v>1</v>
      </c>
      <c r="BS529" s="4" t="b">
        <v>1</v>
      </c>
      <c r="BT529" s="4" t="b">
        <v>1</v>
      </c>
    </row>
    <row r="530" spans="2:72" x14ac:dyDescent="0.35">
      <c r="B530" t="s">
        <v>1487</v>
      </c>
      <c r="C530" t="s">
        <v>1488</v>
      </c>
      <c r="D530" t="s">
        <v>1489</v>
      </c>
      <c r="E530" t="s">
        <v>1490</v>
      </c>
      <c r="G530" t="s">
        <v>3914</v>
      </c>
      <c r="H530" t="s">
        <v>1492</v>
      </c>
      <c r="I530" t="b">
        <v>1</v>
      </c>
      <c r="J530" t="b">
        <v>1</v>
      </c>
      <c r="K530" t="b">
        <v>1</v>
      </c>
      <c r="L530" t="b">
        <v>1</v>
      </c>
      <c r="M530" t="b">
        <v>1</v>
      </c>
      <c r="N530" s="3" t="b">
        <f t="shared" si="24"/>
        <v>1</v>
      </c>
      <c r="O530" s="3" t="b">
        <f t="shared" si="25"/>
        <v>0</v>
      </c>
      <c r="P530" s="3" t="b">
        <f t="shared" si="26"/>
        <v>0</v>
      </c>
      <c r="Q530" s="3" t="b">
        <f t="shared" si="27"/>
        <v>0</v>
      </c>
      <c r="R530" s="3" t="b">
        <f t="shared" si="28"/>
        <v>0</v>
      </c>
      <c r="S530" s="3" t="b">
        <f t="shared" si="29"/>
        <v>0</v>
      </c>
      <c r="U530" t="s">
        <v>1492</v>
      </c>
      <c r="V530" t="b">
        <v>1</v>
      </c>
      <c r="W530" t="b">
        <v>1</v>
      </c>
      <c r="X530" t="b">
        <v>1</v>
      </c>
      <c r="Y530" t="b">
        <v>1</v>
      </c>
      <c r="Z530" t="b">
        <v>1</v>
      </c>
      <c r="AA530" s="3"/>
      <c r="AB530" s="3"/>
      <c r="AC530" s="3"/>
      <c r="AD530" s="3"/>
      <c r="AF530" t="s">
        <v>1493</v>
      </c>
      <c r="AG530" t="b">
        <v>1</v>
      </c>
      <c r="AH530" t="b">
        <v>1</v>
      </c>
      <c r="AI530" t="b">
        <v>1</v>
      </c>
      <c r="AJ530" t="b">
        <v>1</v>
      </c>
      <c r="AK530" t="b">
        <v>1</v>
      </c>
      <c r="AL530" s="3"/>
      <c r="AM530" s="3"/>
      <c r="AN530" s="3"/>
      <c r="AO530" s="3"/>
      <c r="AQ530" s="4" t="s">
        <v>28</v>
      </c>
      <c r="AR530" s="4" t="b">
        <v>1</v>
      </c>
      <c r="AS530" s="4" t="b">
        <v>1</v>
      </c>
      <c r="AT530" s="4" t="b">
        <v>0</v>
      </c>
      <c r="AU530" s="4" t="b">
        <v>1</v>
      </c>
      <c r="AV530" s="4" t="b">
        <v>0</v>
      </c>
      <c r="AW530" s="3" t="b">
        <f t="shared" si="30"/>
        <v>0</v>
      </c>
      <c r="AX530" s="3" t="b">
        <f t="shared" si="31"/>
        <v>0</v>
      </c>
      <c r="AY530" s="3" t="b">
        <f t="shared" si="32"/>
        <v>1</v>
      </c>
      <c r="AZ530" s="3" t="b">
        <f t="shared" si="33"/>
        <v>0</v>
      </c>
      <c r="BA530" s="3" t="b">
        <f t="shared" si="34"/>
        <v>0</v>
      </c>
      <c r="BB530" s="3" t="b">
        <f t="shared" si="35"/>
        <v>0</v>
      </c>
      <c r="BD530" s="4" t="s">
        <v>28</v>
      </c>
      <c r="BE530" s="4" t="b">
        <v>1</v>
      </c>
      <c r="BF530" s="4" t="b">
        <v>1</v>
      </c>
      <c r="BG530" s="4" t="b">
        <v>0</v>
      </c>
      <c r="BH530" s="4" t="b">
        <v>1</v>
      </c>
      <c r="BI530" s="4" t="b">
        <v>0</v>
      </c>
      <c r="BO530" s="4" t="s">
        <v>28</v>
      </c>
      <c r="BP530" s="4" t="b">
        <v>1</v>
      </c>
      <c r="BQ530" s="4" t="b">
        <v>1</v>
      </c>
      <c r="BR530" s="4" t="b">
        <v>0</v>
      </c>
      <c r="BS530" s="4" t="b">
        <v>1</v>
      </c>
      <c r="BT530" s="4" t="b">
        <v>0</v>
      </c>
    </row>
    <row r="531" spans="2:72" x14ac:dyDescent="0.35">
      <c r="C531" t="s">
        <v>1494</v>
      </c>
      <c r="G531" t="s">
        <v>3915</v>
      </c>
      <c r="H531" t="s">
        <v>1496</v>
      </c>
      <c r="I531" t="b">
        <v>1</v>
      </c>
      <c r="J531" t="b">
        <v>1</v>
      </c>
      <c r="K531" t="b">
        <v>1</v>
      </c>
      <c r="L531" t="b">
        <v>1</v>
      </c>
      <c r="M531" t="b">
        <v>1</v>
      </c>
      <c r="N531" s="3" t="b">
        <f t="shared" si="24"/>
        <v>1</v>
      </c>
      <c r="O531" s="3" t="b">
        <f t="shared" si="25"/>
        <v>0</v>
      </c>
      <c r="P531" s="3" t="b">
        <f t="shared" si="26"/>
        <v>0</v>
      </c>
      <c r="Q531" s="3" t="b">
        <f t="shared" si="27"/>
        <v>0</v>
      </c>
      <c r="R531" s="3" t="b">
        <f t="shared" si="28"/>
        <v>0</v>
      </c>
      <c r="S531" s="3" t="b">
        <f t="shared" si="29"/>
        <v>0</v>
      </c>
      <c r="U531" t="s">
        <v>1496</v>
      </c>
      <c r="V531" t="b">
        <v>1</v>
      </c>
      <c r="W531" t="b">
        <v>1</v>
      </c>
      <c r="X531" t="b">
        <v>1</v>
      </c>
      <c r="Y531" t="b">
        <v>1</v>
      </c>
      <c r="Z531" t="b">
        <v>1</v>
      </c>
      <c r="AA531" s="3"/>
      <c r="AB531" s="3"/>
      <c r="AC531" s="3"/>
      <c r="AD531" s="3"/>
      <c r="AF531" t="s">
        <v>1496</v>
      </c>
      <c r="AG531" t="b">
        <v>1</v>
      </c>
      <c r="AH531" t="b">
        <v>1</v>
      </c>
      <c r="AI531" t="b">
        <v>1</v>
      </c>
      <c r="AJ531" t="b">
        <v>1</v>
      </c>
      <c r="AK531" t="b">
        <v>1</v>
      </c>
      <c r="AL531" s="3"/>
      <c r="AM531" s="3"/>
      <c r="AN531" s="3"/>
      <c r="AO531" s="3"/>
      <c r="AQ531" s="4" t="s">
        <v>1496</v>
      </c>
      <c r="AR531" s="4" t="b">
        <v>1</v>
      </c>
      <c r="AS531" s="4" t="b">
        <v>1</v>
      </c>
      <c r="AT531" s="4" t="b">
        <v>1</v>
      </c>
      <c r="AU531" s="4" t="b">
        <v>1</v>
      </c>
      <c r="AV531" s="4" t="b">
        <v>1</v>
      </c>
      <c r="AW531" s="3" t="b">
        <f t="shared" si="30"/>
        <v>1</v>
      </c>
      <c r="AX531" s="3" t="b">
        <f t="shared" si="31"/>
        <v>0</v>
      </c>
      <c r="AY531" s="3" t="b">
        <f t="shared" si="32"/>
        <v>0</v>
      </c>
      <c r="AZ531" s="3" t="b">
        <f t="shared" si="33"/>
        <v>0</v>
      </c>
      <c r="BA531" s="3" t="b">
        <f t="shared" si="34"/>
        <v>0</v>
      </c>
      <c r="BB531" s="3" t="b">
        <f t="shared" si="35"/>
        <v>0</v>
      </c>
      <c r="BD531" s="4" t="s">
        <v>1496</v>
      </c>
      <c r="BE531" s="4" t="b">
        <v>1</v>
      </c>
      <c r="BF531" s="4" t="b">
        <v>1</v>
      </c>
      <c r="BG531" s="4" t="b">
        <v>1</v>
      </c>
      <c r="BH531" s="4" t="b">
        <v>1</v>
      </c>
      <c r="BI531" s="4" t="b">
        <v>1</v>
      </c>
      <c r="BO531" s="4" t="s">
        <v>31</v>
      </c>
      <c r="BP531" s="4" t="b">
        <v>1</v>
      </c>
      <c r="BQ531" s="4" t="b">
        <v>1</v>
      </c>
      <c r="BR531" s="4" t="b">
        <v>0</v>
      </c>
      <c r="BS531" s="4" t="b">
        <v>1</v>
      </c>
      <c r="BT531" s="4" t="b">
        <v>0</v>
      </c>
    </row>
    <row r="532" spans="2:72" x14ac:dyDescent="0.35">
      <c r="B532" t="s">
        <v>1497</v>
      </c>
      <c r="C532" t="s">
        <v>1498</v>
      </c>
      <c r="D532" t="s">
        <v>1499</v>
      </c>
      <c r="E532" t="s">
        <v>1500</v>
      </c>
      <c r="G532" t="s">
        <v>3916</v>
      </c>
      <c r="H532" t="s">
        <v>1502</v>
      </c>
      <c r="I532" t="b">
        <v>1</v>
      </c>
      <c r="J532" t="b">
        <v>1</v>
      </c>
      <c r="K532" t="b">
        <v>1</v>
      </c>
      <c r="L532" t="b">
        <v>1</v>
      </c>
      <c r="M532" t="b">
        <v>1</v>
      </c>
      <c r="N532" s="3" t="b">
        <f t="shared" si="24"/>
        <v>1</v>
      </c>
      <c r="O532" s="3" t="b">
        <f t="shared" si="25"/>
        <v>0</v>
      </c>
      <c r="P532" s="3" t="b">
        <f t="shared" si="26"/>
        <v>0</v>
      </c>
      <c r="Q532" s="3" t="b">
        <f t="shared" si="27"/>
        <v>0</v>
      </c>
      <c r="R532" s="3" t="b">
        <f t="shared" si="28"/>
        <v>0</v>
      </c>
      <c r="S532" s="3" t="b">
        <f t="shared" si="29"/>
        <v>0</v>
      </c>
      <c r="U532" t="s">
        <v>1502</v>
      </c>
      <c r="V532" t="b">
        <v>1</v>
      </c>
      <c r="W532" t="b">
        <v>1</v>
      </c>
      <c r="X532" t="b">
        <v>1</v>
      </c>
      <c r="Y532" t="b">
        <v>1</v>
      </c>
      <c r="Z532" t="b">
        <v>1</v>
      </c>
      <c r="AA532" s="3"/>
      <c r="AB532" s="3"/>
      <c r="AC532" s="3"/>
      <c r="AD532" s="3"/>
      <c r="AF532" t="s">
        <v>1502</v>
      </c>
      <c r="AG532" t="b">
        <v>1</v>
      </c>
      <c r="AH532" t="b">
        <v>1</v>
      </c>
      <c r="AI532" t="b">
        <v>1</v>
      </c>
      <c r="AJ532" t="b">
        <v>1</v>
      </c>
      <c r="AK532" t="b">
        <v>1</v>
      </c>
      <c r="AL532" s="3"/>
      <c r="AM532" s="3"/>
      <c r="AN532" s="3"/>
      <c r="AO532" s="3"/>
      <c r="AQ532" s="4" t="s">
        <v>1503</v>
      </c>
      <c r="AR532" s="4" t="b">
        <v>1</v>
      </c>
      <c r="AS532" s="4" t="b">
        <v>1</v>
      </c>
      <c r="AT532" s="4" t="b">
        <v>1</v>
      </c>
      <c r="AU532" s="4" t="b">
        <v>1</v>
      </c>
      <c r="AV532" s="4" t="b">
        <v>0</v>
      </c>
      <c r="AW532" s="3" t="b">
        <f t="shared" si="30"/>
        <v>0</v>
      </c>
      <c r="AX532" s="3" t="b">
        <f t="shared" si="31"/>
        <v>1</v>
      </c>
      <c r="AY532" s="3" t="b">
        <f t="shared" si="32"/>
        <v>0</v>
      </c>
      <c r="AZ532" s="3" t="b">
        <f t="shared" si="33"/>
        <v>0</v>
      </c>
      <c r="BA532" s="3" t="b">
        <f t="shared" si="34"/>
        <v>1</v>
      </c>
      <c r="BB532" s="3" t="b">
        <f t="shared" si="35"/>
        <v>0</v>
      </c>
      <c r="BD532" s="4" t="s">
        <v>1503</v>
      </c>
      <c r="BE532" s="4" t="b">
        <v>1</v>
      </c>
      <c r="BF532" s="4" t="b">
        <v>1</v>
      </c>
      <c r="BG532" s="4" t="b">
        <v>1</v>
      </c>
      <c r="BH532" s="4" t="b">
        <v>1</v>
      </c>
      <c r="BI532" s="4" t="b">
        <v>0</v>
      </c>
      <c r="BO532" s="4" t="s">
        <v>1503</v>
      </c>
      <c r="BP532" s="4" t="b">
        <v>1</v>
      </c>
      <c r="BQ532" s="4" t="b">
        <v>1</v>
      </c>
      <c r="BR532" s="4" t="b">
        <v>1</v>
      </c>
      <c r="BS532" s="4" t="b">
        <v>1</v>
      </c>
      <c r="BT532" s="4" t="b">
        <v>0</v>
      </c>
    </row>
    <row r="533" spans="2:72" x14ac:dyDescent="0.35">
      <c r="C533" t="s">
        <v>1504</v>
      </c>
      <c r="G533" t="s">
        <v>3917</v>
      </c>
      <c r="H533" t="s">
        <v>1505</v>
      </c>
      <c r="I533" t="b">
        <v>1</v>
      </c>
      <c r="J533" t="b">
        <v>1</v>
      </c>
      <c r="K533" t="b">
        <v>1</v>
      </c>
      <c r="L533" t="b">
        <v>1</v>
      </c>
      <c r="M533" t="b">
        <v>1</v>
      </c>
      <c r="N533" s="3" t="b">
        <f t="shared" si="24"/>
        <v>1</v>
      </c>
      <c r="O533" s="3" t="b">
        <f t="shared" si="25"/>
        <v>0</v>
      </c>
      <c r="P533" s="3" t="b">
        <f t="shared" si="26"/>
        <v>0</v>
      </c>
      <c r="Q533" s="3" t="b">
        <f t="shared" si="27"/>
        <v>0</v>
      </c>
      <c r="R533" s="3" t="b">
        <f t="shared" si="28"/>
        <v>0</v>
      </c>
      <c r="S533" s="3" t="b">
        <f t="shared" si="29"/>
        <v>0</v>
      </c>
      <c r="U533" t="s">
        <v>1506</v>
      </c>
      <c r="V533" t="b">
        <v>1</v>
      </c>
      <c r="W533" t="b">
        <v>1</v>
      </c>
      <c r="X533" t="b">
        <v>1</v>
      </c>
      <c r="Y533" t="b">
        <v>1</v>
      </c>
      <c r="Z533" t="b">
        <v>1</v>
      </c>
      <c r="AA533" s="3"/>
      <c r="AB533" s="3"/>
      <c r="AC533" s="3"/>
      <c r="AD533" s="3"/>
      <c r="AF533" t="s">
        <v>1506</v>
      </c>
      <c r="AG533" t="b">
        <v>1</v>
      </c>
      <c r="AH533" t="b">
        <v>1</v>
      </c>
      <c r="AI533" t="b">
        <v>1</v>
      </c>
      <c r="AJ533" t="b">
        <v>1</v>
      </c>
      <c r="AK533" t="b">
        <v>1</v>
      </c>
      <c r="AL533" s="3"/>
      <c r="AM533" s="3"/>
      <c r="AN533" s="3"/>
      <c r="AO533" s="3"/>
      <c r="AQ533" s="4" t="s">
        <v>1505</v>
      </c>
      <c r="AR533" s="4" t="b">
        <v>1</v>
      </c>
      <c r="AS533" s="4" t="b">
        <v>1</v>
      </c>
      <c r="AT533" s="4" t="b">
        <v>1</v>
      </c>
      <c r="AU533" s="4" t="b">
        <v>1</v>
      </c>
      <c r="AV533" s="4" t="b">
        <v>1</v>
      </c>
      <c r="AW533" s="3" t="b">
        <f t="shared" si="30"/>
        <v>1</v>
      </c>
      <c r="AX533" s="3" t="b">
        <f t="shared" si="31"/>
        <v>0</v>
      </c>
      <c r="AY533" s="3" t="b">
        <f t="shared" si="32"/>
        <v>0</v>
      </c>
      <c r="AZ533" s="3" t="b">
        <f t="shared" si="33"/>
        <v>0</v>
      </c>
      <c r="BA533" s="3" t="b">
        <f t="shared" si="34"/>
        <v>0</v>
      </c>
      <c r="BB533" s="3" t="b">
        <f t="shared" si="35"/>
        <v>0</v>
      </c>
      <c r="BD533" s="4" t="s">
        <v>1505</v>
      </c>
      <c r="BE533" s="4" t="b">
        <v>1</v>
      </c>
      <c r="BF533" s="4" t="b">
        <v>1</v>
      </c>
      <c r="BG533" s="4" t="b">
        <v>1</v>
      </c>
      <c r="BH533" s="4" t="b">
        <v>1</v>
      </c>
      <c r="BI533" s="4" t="b">
        <v>1</v>
      </c>
      <c r="BO533" s="4" t="s">
        <v>1505</v>
      </c>
      <c r="BP533" s="4" t="b">
        <v>1</v>
      </c>
      <c r="BQ533" s="4" t="b">
        <v>1</v>
      </c>
      <c r="BR533" s="4" t="b">
        <v>1</v>
      </c>
      <c r="BS533" s="4" t="b">
        <v>1</v>
      </c>
      <c r="BT533" s="4" t="b">
        <v>1</v>
      </c>
    </row>
    <row r="534" spans="2:72" x14ac:dyDescent="0.35">
      <c r="C534" t="s">
        <v>1507</v>
      </c>
      <c r="G534" t="s">
        <v>3918</v>
      </c>
      <c r="I534" t="b">
        <v>1</v>
      </c>
      <c r="J534" t="b">
        <v>0</v>
      </c>
      <c r="K534" t="b">
        <v>0</v>
      </c>
      <c r="L534" t="b">
        <v>0</v>
      </c>
      <c r="M534" t="b">
        <v>0</v>
      </c>
      <c r="N534" s="3" t="b">
        <f t="shared" si="24"/>
        <v>0</v>
      </c>
      <c r="O534" s="3" t="b">
        <f t="shared" si="25"/>
        <v>0</v>
      </c>
      <c r="P534" s="3" t="b">
        <f t="shared" si="26"/>
        <v>1</v>
      </c>
      <c r="Q534" s="3" t="b">
        <f t="shared" si="27"/>
        <v>0</v>
      </c>
      <c r="R534" s="3" t="b">
        <f t="shared" si="28"/>
        <v>0</v>
      </c>
      <c r="S534" s="3" t="b">
        <f t="shared" si="29"/>
        <v>0</v>
      </c>
      <c r="U534" t="s">
        <v>1509</v>
      </c>
      <c r="V534" t="b">
        <v>1</v>
      </c>
      <c r="W534" t="b">
        <v>0</v>
      </c>
      <c r="X534" t="b">
        <v>0</v>
      </c>
      <c r="Y534" t="b">
        <v>1</v>
      </c>
      <c r="Z534" t="b">
        <v>0</v>
      </c>
      <c r="AA534" s="3"/>
      <c r="AB534" s="3"/>
      <c r="AC534" s="3"/>
      <c r="AD534" s="3"/>
      <c r="AF534" t="s">
        <v>1510</v>
      </c>
      <c r="AG534" t="b">
        <v>1</v>
      </c>
      <c r="AH534" t="b">
        <v>1</v>
      </c>
      <c r="AI534" t="b">
        <v>1</v>
      </c>
      <c r="AJ534" t="b">
        <v>0</v>
      </c>
      <c r="AK534" t="b">
        <v>0</v>
      </c>
      <c r="AL534" s="3"/>
      <c r="AM534" s="3"/>
      <c r="AN534" s="3"/>
      <c r="AO534" s="3"/>
      <c r="AQ534" s="4" t="s">
        <v>1511</v>
      </c>
      <c r="AR534" s="4" t="b">
        <v>1</v>
      </c>
      <c r="AS534" s="4" t="b">
        <v>1</v>
      </c>
      <c r="AT534" s="4" t="b">
        <v>0</v>
      </c>
      <c r="AU534" s="4" t="b">
        <v>0</v>
      </c>
      <c r="AV534" s="4" t="b">
        <v>0</v>
      </c>
      <c r="AW534" s="3" t="b">
        <f t="shared" si="30"/>
        <v>0</v>
      </c>
      <c r="AX534" s="3" t="b">
        <f t="shared" si="31"/>
        <v>0</v>
      </c>
      <c r="AY534" s="3" t="b">
        <f t="shared" si="32"/>
        <v>1</v>
      </c>
      <c r="AZ534" s="3" t="b">
        <f t="shared" si="33"/>
        <v>0</v>
      </c>
      <c r="BA534" s="3" t="b">
        <f t="shared" si="34"/>
        <v>0</v>
      </c>
      <c r="BB534" s="3" t="b">
        <f t="shared" si="35"/>
        <v>0</v>
      </c>
      <c r="BD534" s="4" t="s">
        <v>1511</v>
      </c>
      <c r="BE534" s="4" t="b">
        <v>1</v>
      </c>
      <c r="BF534" s="4" t="b">
        <v>1</v>
      </c>
      <c r="BG534" s="4" t="b">
        <v>0</v>
      </c>
      <c r="BH534" s="4" t="b">
        <v>0</v>
      </c>
      <c r="BI534" s="4" t="b">
        <v>0</v>
      </c>
      <c r="BO534" s="4" t="s">
        <v>1511</v>
      </c>
      <c r="BP534" s="4" t="b">
        <v>1</v>
      </c>
      <c r="BQ534" s="4" t="b">
        <v>1</v>
      </c>
      <c r="BR534" s="4" t="b">
        <v>0</v>
      </c>
      <c r="BS534" s="4" t="b">
        <v>0</v>
      </c>
      <c r="BT534" s="4" t="b">
        <v>0</v>
      </c>
    </row>
    <row r="535" spans="2:72" x14ac:dyDescent="0.35">
      <c r="B535" t="s">
        <v>105</v>
      </c>
      <c r="C535" t="s">
        <v>25</v>
      </c>
      <c r="G535" t="s">
        <v>3919</v>
      </c>
      <c r="H535" t="s">
        <v>28</v>
      </c>
      <c r="I535" t="b">
        <v>1</v>
      </c>
      <c r="J535" t="b">
        <v>1</v>
      </c>
      <c r="K535" t="b">
        <v>1</v>
      </c>
      <c r="L535" t="b">
        <v>1</v>
      </c>
      <c r="M535" t="b">
        <v>1</v>
      </c>
      <c r="N535" s="3" t="b">
        <f t="shared" si="24"/>
        <v>1</v>
      </c>
      <c r="O535" s="3" t="b">
        <f t="shared" si="25"/>
        <v>0</v>
      </c>
      <c r="P535" s="3" t="b">
        <f t="shared" si="26"/>
        <v>0</v>
      </c>
      <c r="Q535" s="3" t="b">
        <f t="shared" si="27"/>
        <v>0</v>
      </c>
      <c r="R535" s="3" t="b">
        <f t="shared" si="28"/>
        <v>0</v>
      </c>
      <c r="S535" s="3" t="b">
        <f t="shared" si="29"/>
        <v>0</v>
      </c>
      <c r="U535" t="s">
        <v>28</v>
      </c>
      <c r="V535" t="b">
        <v>1</v>
      </c>
      <c r="W535" t="b">
        <v>1</v>
      </c>
      <c r="X535" t="b">
        <v>1</v>
      </c>
      <c r="Y535" t="b">
        <v>1</v>
      </c>
      <c r="Z535" t="b">
        <v>1</v>
      </c>
      <c r="AA535" s="3"/>
      <c r="AB535" s="3"/>
      <c r="AC535" s="3"/>
      <c r="AD535" s="3"/>
      <c r="AF535" t="s">
        <v>28</v>
      </c>
      <c r="AG535" t="b">
        <v>1</v>
      </c>
      <c r="AH535" t="b">
        <v>1</v>
      </c>
      <c r="AI535" t="b">
        <v>1</v>
      </c>
      <c r="AJ535" t="b">
        <v>1</v>
      </c>
      <c r="AK535" t="b">
        <v>1</v>
      </c>
      <c r="AL535" s="3"/>
      <c r="AM535" s="3"/>
      <c r="AN535" s="3"/>
      <c r="AO535" s="3"/>
      <c r="AQ535" s="4" t="s">
        <v>28</v>
      </c>
      <c r="AR535" s="4" t="b">
        <v>1</v>
      </c>
      <c r="AS535" s="4" t="b">
        <v>1</v>
      </c>
      <c r="AT535" s="4" t="b">
        <v>1</v>
      </c>
      <c r="AU535" s="4" t="b">
        <v>1</v>
      </c>
      <c r="AV535" s="4" t="b">
        <v>1</v>
      </c>
      <c r="AW535" s="3" t="b">
        <f t="shared" si="30"/>
        <v>1</v>
      </c>
      <c r="AX535" s="3" t="b">
        <f t="shared" si="31"/>
        <v>0</v>
      </c>
      <c r="AY535" s="3" t="b">
        <f t="shared" si="32"/>
        <v>0</v>
      </c>
      <c r="AZ535" s="3" t="b">
        <f t="shared" si="33"/>
        <v>0</v>
      </c>
      <c r="BA535" s="3" t="b">
        <f t="shared" si="34"/>
        <v>0</v>
      </c>
      <c r="BB535" s="3" t="b">
        <f t="shared" si="35"/>
        <v>0</v>
      </c>
      <c r="BD535" s="4" t="s">
        <v>28</v>
      </c>
      <c r="BE535" s="4" t="b">
        <v>1</v>
      </c>
      <c r="BF535" s="4" t="b">
        <v>1</v>
      </c>
      <c r="BG535" s="4" t="b">
        <v>1</v>
      </c>
      <c r="BH535" s="4" t="b">
        <v>1</v>
      </c>
      <c r="BI535" s="4" t="b">
        <v>1</v>
      </c>
      <c r="BO535" s="4" t="s">
        <v>28</v>
      </c>
      <c r="BP535" s="4" t="b">
        <v>1</v>
      </c>
      <c r="BQ535" s="4" t="b">
        <v>1</v>
      </c>
      <c r="BR535" s="4" t="b">
        <v>1</v>
      </c>
      <c r="BS535" s="4" t="b">
        <v>1</v>
      </c>
      <c r="BT535" s="4" t="b">
        <v>1</v>
      </c>
    </row>
    <row r="536" spans="2:72" x14ac:dyDescent="0.35">
      <c r="C536" t="s">
        <v>29</v>
      </c>
      <c r="G536" t="s">
        <v>3920</v>
      </c>
      <c r="H536" t="s">
        <v>31</v>
      </c>
      <c r="I536" t="b">
        <v>1</v>
      </c>
      <c r="J536" t="b">
        <v>1</v>
      </c>
      <c r="K536" t="b">
        <v>1</v>
      </c>
      <c r="L536" t="b">
        <v>1</v>
      </c>
      <c r="M536" t="b">
        <v>1</v>
      </c>
      <c r="N536" s="3" t="b">
        <f t="shared" si="24"/>
        <v>1</v>
      </c>
      <c r="O536" s="3" t="b">
        <f t="shared" si="25"/>
        <v>0</v>
      </c>
      <c r="P536" s="3" t="b">
        <f t="shared" si="26"/>
        <v>0</v>
      </c>
      <c r="Q536" s="3" t="b">
        <f t="shared" si="27"/>
        <v>0</v>
      </c>
      <c r="R536" s="3" t="b">
        <f t="shared" si="28"/>
        <v>0</v>
      </c>
      <c r="S536" s="3" t="b">
        <f t="shared" si="29"/>
        <v>0</v>
      </c>
      <c r="U536" t="s">
        <v>31</v>
      </c>
      <c r="V536" t="b">
        <v>1</v>
      </c>
      <c r="W536" t="b">
        <v>1</v>
      </c>
      <c r="X536" t="b">
        <v>1</v>
      </c>
      <c r="Y536" t="b">
        <v>1</v>
      </c>
      <c r="Z536" t="b">
        <v>1</v>
      </c>
      <c r="AA536" s="3"/>
      <c r="AB536" s="3"/>
      <c r="AC536" s="3"/>
      <c r="AD536" s="3"/>
      <c r="AF536" t="s">
        <v>31</v>
      </c>
      <c r="AG536" t="b">
        <v>1</v>
      </c>
      <c r="AH536" t="b">
        <v>1</v>
      </c>
      <c r="AI536" t="b">
        <v>1</v>
      </c>
      <c r="AJ536" t="b">
        <v>1</v>
      </c>
      <c r="AK536" t="b">
        <v>1</v>
      </c>
      <c r="AL536" s="3"/>
      <c r="AM536" s="3"/>
      <c r="AN536" s="3"/>
      <c r="AO536" s="3"/>
      <c r="AQ536" s="4" t="s">
        <v>31</v>
      </c>
      <c r="AR536" s="4" t="b">
        <v>1</v>
      </c>
      <c r="AS536" s="4" t="b">
        <v>1</v>
      </c>
      <c r="AT536" s="4" t="b">
        <v>1</v>
      </c>
      <c r="AU536" s="4" t="b">
        <v>1</v>
      </c>
      <c r="AV536" s="4" t="b">
        <v>1</v>
      </c>
      <c r="AW536" s="3" t="b">
        <f t="shared" si="30"/>
        <v>1</v>
      </c>
      <c r="AX536" s="3" t="b">
        <f t="shared" si="31"/>
        <v>0</v>
      </c>
      <c r="AY536" s="3" t="b">
        <f t="shared" si="32"/>
        <v>0</v>
      </c>
      <c r="AZ536" s="3" t="b">
        <f t="shared" si="33"/>
        <v>0</v>
      </c>
      <c r="BA536" s="3" t="b">
        <f t="shared" si="34"/>
        <v>0</v>
      </c>
      <c r="BB536" s="3" t="b">
        <f t="shared" si="35"/>
        <v>0</v>
      </c>
      <c r="BD536" s="4" t="s">
        <v>31</v>
      </c>
      <c r="BE536" s="4" t="b">
        <v>1</v>
      </c>
      <c r="BF536" s="4" t="b">
        <v>1</v>
      </c>
      <c r="BG536" s="4" t="b">
        <v>1</v>
      </c>
      <c r="BH536" s="4" t="b">
        <v>1</v>
      </c>
      <c r="BI536" s="4" t="b">
        <v>1</v>
      </c>
      <c r="BO536" s="4" t="s">
        <v>31</v>
      </c>
      <c r="BP536" s="4" t="b">
        <v>1</v>
      </c>
      <c r="BQ536" s="4" t="b">
        <v>1</v>
      </c>
      <c r="BR536" s="4" t="b">
        <v>1</v>
      </c>
      <c r="BS536" s="4" t="b">
        <v>1</v>
      </c>
      <c r="BT536" s="4" t="b">
        <v>1</v>
      </c>
    </row>
    <row r="537" spans="2:72" x14ac:dyDescent="0.35">
      <c r="B537" t="s">
        <v>134</v>
      </c>
      <c r="N537" s="3">
        <f t="shared" si="24"/>
        <v>0</v>
      </c>
      <c r="O537" s="3">
        <f t="shared" si="25"/>
        <v>0</v>
      </c>
      <c r="P537" s="3">
        <f t="shared" si="26"/>
        <v>0</v>
      </c>
      <c r="Q537" s="3">
        <f t="shared" si="27"/>
        <v>0</v>
      </c>
      <c r="R537" s="3">
        <f t="shared" si="28"/>
        <v>0</v>
      </c>
      <c r="S537" s="3">
        <f t="shared" si="29"/>
        <v>0</v>
      </c>
      <c r="AA537" s="3"/>
      <c r="AB537" s="3"/>
      <c r="AC537" s="3"/>
      <c r="AD537" s="3"/>
      <c r="AL537" s="3"/>
      <c r="AM537" s="3"/>
      <c r="AN537" s="3"/>
      <c r="AO537" s="3"/>
      <c r="AW537" s="3">
        <f t="shared" si="30"/>
        <v>0</v>
      </c>
      <c r="AX537" s="3">
        <f t="shared" si="31"/>
        <v>0</v>
      </c>
      <c r="AY537" s="3">
        <f t="shared" si="32"/>
        <v>0</v>
      </c>
      <c r="AZ537" s="3">
        <f t="shared" si="33"/>
        <v>0</v>
      </c>
      <c r="BA537" s="3">
        <f t="shared" si="34"/>
        <v>0</v>
      </c>
      <c r="BB537" s="3">
        <f t="shared" si="35"/>
        <v>0</v>
      </c>
    </row>
    <row r="538" spans="2:72" x14ac:dyDescent="0.35">
      <c r="B538" t="s">
        <v>136</v>
      </c>
      <c r="N538" s="3">
        <f t="shared" si="24"/>
        <v>0</v>
      </c>
      <c r="O538" s="3">
        <f t="shared" si="25"/>
        <v>0</v>
      </c>
      <c r="P538" s="3">
        <f t="shared" si="26"/>
        <v>0</v>
      </c>
      <c r="Q538" s="3">
        <f t="shared" si="27"/>
        <v>0</v>
      </c>
      <c r="R538" s="3">
        <f t="shared" si="28"/>
        <v>0</v>
      </c>
      <c r="S538" s="3">
        <f t="shared" si="29"/>
        <v>0</v>
      </c>
      <c r="AA538" s="3"/>
      <c r="AB538" s="3"/>
      <c r="AC538" s="3"/>
      <c r="AD538" s="3"/>
      <c r="AL538" s="3"/>
      <c r="AM538" s="3"/>
      <c r="AN538" s="3"/>
      <c r="AO538" s="3"/>
      <c r="AW538" s="3">
        <f t="shared" si="30"/>
        <v>0</v>
      </c>
      <c r="AX538" s="3">
        <f t="shared" si="31"/>
        <v>0</v>
      </c>
      <c r="AY538" s="3">
        <f t="shared" si="32"/>
        <v>0</v>
      </c>
      <c r="AZ538" s="3">
        <f t="shared" si="33"/>
        <v>0</v>
      </c>
      <c r="BA538" s="3">
        <f t="shared" si="34"/>
        <v>0</v>
      </c>
      <c r="BB538" s="3">
        <f t="shared" si="35"/>
        <v>0</v>
      </c>
    </row>
    <row r="539" spans="2:72" x14ac:dyDescent="0.35">
      <c r="B539" s="6" t="s">
        <v>137</v>
      </c>
      <c r="C539" s="6" t="s">
        <v>131</v>
      </c>
      <c r="N539" s="3">
        <f t="shared" si="24"/>
        <v>0</v>
      </c>
      <c r="O539" s="3">
        <f t="shared" si="25"/>
        <v>0</v>
      </c>
      <c r="P539" s="3">
        <f t="shared" si="26"/>
        <v>0</v>
      </c>
      <c r="Q539" s="3">
        <f t="shared" si="27"/>
        <v>0</v>
      </c>
      <c r="R539" s="3">
        <f t="shared" si="28"/>
        <v>0</v>
      </c>
      <c r="S539" s="3">
        <f t="shared" si="29"/>
        <v>0</v>
      </c>
      <c r="AA539" s="3"/>
      <c r="AB539" s="3"/>
      <c r="AC539" s="3"/>
      <c r="AD539" s="3"/>
      <c r="AL539" s="3"/>
      <c r="AM539" s="3"/>
      <c r="AN539" s="3"/>
      <c r="AO539" s="3"/>
      <c r="AW539" s="3">
        <f t="shared" si="30"/>
        <v>0</v>
      </c>
      <c r="AX539" s="3">
        <f t="shared" si="31"/>
        <v>0</v>
      </c>
      <c r="AY539" s="3">
        <f t="shared" si="32"/>
        <v>0</v>
      </c>
      <c r="AZ539" s="3">
        <f t="shared" si="33"/>
        <v>0</v>
      </c>
      <c r="BA539" s="3">
        <f t="shared" si="34"/>
        <v>0</v>
      </c>
      <c r="BB539" s="3">
        <f t="shared" si="35"/>
        <v>0</v>
      </c>
    </row>
    <row r="540" spans="2:72" x14ac:dyDescent="0.35">
      <c r="B540" t="s">
        <v>1514</v>
      </c>
      <c r="C540" t="s">
        <v>1498</v>
      </c>
      <c r="D540" t="s">
        <v>1499</v>
      </c>
      <c r="E540" t="s">
        <v>1500</v>
      </c>
      <c r="G540" t="s">
        <v>3921</v>
      </c>
      <c r="H540" t="s">
        <v>1510</v>
      </c>
      <c r="I540" t="b">
        <v>1</v>
      </c>
      <c r="J540" t="b">
        <v>1</v>
      </c>
      <c r="K540" t="b">
        <v>1</v>
      </c>
      <c r="L540" t="b">
        <v>1</v>
      </c>
      <c r="M540" t="b">
        <v>1</v>
      </c>
      <c r="N540" s="3" t="b">
        <f t="shared" si="24"/>
        <v>1</v>
      </c>
      <c r="O540" s="3" t="b">
        <f t="shared" si="25"/>
        <v>0</v>
      </c>
      <c r="P540" s="3" t="b">
        <f t="shared" si="26"/>
        <v>0</v>
      </c>
      <c r="Q540" s="3" t="b">
        <f t="shared" si="27"/>
        <v>0</v>
      </c>
      <c r="R540" s="3" t="b">
        <f t="shared" si="28"/>
        <v>0</v>
      </c>
      <c r="S540" s="3" t="b">
        <f t="shared" si="29"/>
        <v>0</v>
      </c>
      <c r="U540" t="s">
        <v>1510</v>
      </c>
      <c r="V540" t="b">
        <v>1</v>
      </c>
      <c r="W540" t="b">
        <v>1</v>
      </c>
      <c r="X540" t="b">
        <v>1</v>
      </c>
      <c r="Y540" t="b">
        <v>1</v>
      </c>
      <c r="Z540" t="b">
        <v>1</v>
      </c>
      <c r="AA540" s="3"/>
      <c r="AB540" s="3"/>
      <c r="AC540" s="3"/>
      <c r="AD540" s="3"/>
      <c r="AF540" t="s">
        <v>1502</v>
      </c>
      <c r="AG540" t="b">
        <v>1</v>
      </c>
      <c r="AH540" t="b">
        <v>1</v>
      </c>
      <c r="AI540" t="b">
        <v>1</v>
      </c>
      <c r="AJ540" t="b">
        <v>1</v>
      </c>
      <c r="AK540" t="b">
        <v>1</v>
      </c>
      <c r="AL540" s="3"/>
      <c r="AM540" s="3"/>
      <c r="AN540" s="3"/>
      <c r="AO540" s="3"/>
      <c r="AQ540" s="4" t="s">
        <v>1502</v>
      </c>
      <c r="AR540" s="4" t="b">
        <v>1</v>
      </c>
      <c r="AS540" s="4" t="b">
        <v>1</v>
      </c>
      <c r="AT540" s="4" t="b">
        <v>1</v>
      </c>
      <c r="AU540" s="4" t="b">
        <v>1</v>
      </c>
      <c r="AV540" s="4" t="b">
        <v>1</v>
      </c>
      <c r="AW540" s="3" t="b">
        <f t="shared" si="30"/>
        <v>1</v>
      </c>
      <c r="AX540" s="3" t="b">
        <f t="shared" si="31"/>
        <v>0</v>
      </c>
      <c r="AY540" s="3" t="b">
        <f t="shared" si="32"/>
        <v>0</v>
      </c>
      <c r="AZ540" s="3" t="b">
        <f t="shared" si="33"/>
        <v>0</v>
      </c>
      <c r="BA540" s="3" t="b">
        <f t="shared" si="34"/>
        <v>0</v>
      </c>
      <c r="BB540" s="3" t="b">
        <f t="shared" si="35"/>
        <v>0</v>
      </c>
      <c r="BD540" s="4" t="s">
        <v>1502</v>
      </c>
      <c r="BE540" s="4" t="b">
        <v>1</v>
      </c>
      <c r="BF540" s="4" t="b">
        <v>1</v>
      </c>
      <c r="BG540" s="4" t="b">
        <v>1</v>
      </c>
      <c r="BH540" s="4" t="b">
        <v>1</v>
      </c>
      <c r="BI540" s="4" t="b">
        <v>1</v>
      </c>
      <c r="BO540" s="4" t="s">
        <v>1502</v>
      </c>
      <c r="BP540" s="4" t="b">
        <v>1</v>
      </c>
      <c r="BQ540" s="4" t="b">
        <v>1</v>
      </c>
      <c r="BR540" s="4" t="b">
        <v>1</v>
      </c>
      <c r="BS540" s="4" t="b">
        <v>1</v>
      </c>
      <c r="BT540" s="4" t="b">
        <v>1</v>
      </c>
    </row>
    <row r="541" spans="2:72" x14ac:dyDescent="0.35">
      <c r="C541" t="s">
        <v>1504</v>
      </c>
      <c r="G541" t="s">
        <v>3922</v>
      </c>
      <c r="H541" t="s">
        <v>1517</v>
      </c>
      <c r="I541" t="b">
        <v>1</v>
      </c>
      <c r="J541" t="b">
        <v>1</v>
      </c>
      <c r="K541" t="b">
        <v>1</v>
      </c>
      <c r="L541" t="b">
        <v>1</v>
      </c>
      <c r="M541" t="b">
        <v>1</v>
      </c>
      <c r="N541" s="3" t="b">
        <f t="shared" si="24"/>
        <v>1</v>
      </c>
      <c r="O541" s="3" t="b">
        <f t="shared" si="25"/>
        <v>0</v>
      </c>
      <c r="P541" s="3" t="b">
        <f t="shared" si="26"/>
        <v>0</v>
      </c>
      <c r="Q541" s="3" t="b">
        <f t="shared" si="27"/>
        <v>0</v>
      </c>
      <c r="R541" s="3" t="b">
        <f t="shared" si="28"/>
        <v>0</v>
      </c>
      <c r="S541" s="3" t="b">
        <f t="shared" si="29"/>
        <v>0</v>
      </c>
      <c r="U541" t="s">
        <v>1518</v>
      </c>
      <c r="V541" t="b">
        <v>1</v>
      </c>
      <c r="W541" t="b">
        <v>1</v>
      </c>
      <c r="X541" t="b">
        <v>1</v>
      </c>
      <c r="Y541" t="b">
        <v>1</v>
      </c>
      <c r="Z541" t="b">
        <v>1</v>
      </c>
      <c r="AA541" s="3"/>
      <c r="AB541" s="3"/>
      <c r="AC541" s="3"/>
      <c r="AD541" s="3"/>
      <c r="AF541" t="s">
        <v>1505</v>
      </c>
      <c r="AG541" t="b">
        <v>1</v>
      </c>
      <c r="AH541" t="b">
        <v>1</v>
      </c>
      <c r="AI541" t="b">
        <v>1</v>
      </c>
      <c r="AJ541" t="b">
        <v>1</v>
      </c>
      <c r="AK541" t="b">
        <v>1</v>
      </c>
      <c r="AL541" s="3"/>
      <c r="AM541" s="3"/>
      <c r="AN541" s="3"/>
      <c r="AO541" s="3"/>
      <c r="AQ541" s="4" t="s">
        <v>1505</v>
      </c>
      <c r="AR541" s="4" t="b">
        <v>1</v>
      </c>
      <c r="AS541" s="4" t="b">
        <v>1</v>
      </c>
      <c r="AT541" s="4" t="b">
        <v>1</v>
      </c>
      <c r="AU541" s="4" t="b">
        <v>1</v>
      </c>
      <c r="AV541" s="4" t="b">
        <v>1</v>
      </c>
      <c r="AW541" s="3" t="b">
        <f t="shared" si="30"/>
        <v>1</v>
      </c>
      <c r="AX541" s="3" t="b">
        <f t="shared" si="31"/>
        <v>0</v>
      </c>
      <c r="AY541" s="3" t="b">
        <f t="shared" si="32"/>
        <v>0</v>
      </c>
      <c r="AZ541" s="3" t="b">
        <f t="shared" si="33"/>
        <v>0</v>
      </c>
      <c r="BA541" s="3" t="b">
        <f t="shared" si="34"/>
        <v>0</v>
      </c>
      <c r="BB541" s="3" t="b">
        <f t="shared" si="35"/>
        <v>0</v>
      </c>
      <c r="BD541" s="4" t="s">
        <v>1505</v>
      </c>
      <c r="BE541" s="4" t="b">
        <v>1</v>
      </c>
      <c r="BF541" s="4" t="b">
        <v>1</v>
      </c>
      <c r="BG541" s="4" t="b">
        <v>1</v>
      </c>
      <c r="BH541" s="4" t="b">
        <v>1</v>
      </c>
      <c r="BI541" s="4" t="b">
        <v>1</v>
      </c>
      <c r="BO541" s="4" t="s">
        <v>1505</v>
      </c>
      <c r="BP541" s="4" t="b">
        <v>1</v>
      </c>
      <c r="BQ541" s="4" t="b">
        <v>1</v>
      </c>
      <c r="BR541" s="4" t="b">
        <v>1</v>
      </c>
      <c r="BS541" s="4" t="b">
        <v>1</v>
      </c>
      <c r="BT541" s="4" t="b">
        <v>1</v>
      </c>
    </row>
    <row r="542" spans="2:72" x14ac:dyDescent="0.35">
      <c r="C542" t="s">
        <v>1507</v>
      </c>
      <c r="G542" t="s">
        <v>3923</v>
      </c>
      <c r="H542" t="s">
        <v>1520</v>
      </c>
      <c r="I542" t="b">
        <v>1</v>
      </c>
      <c r="J542" t="b">
        <v>1</v>
      </c>
      <c r="K542" t="b">
        <v>1</v>
      </c>
      <c r="L542" t="b">
        <v>1</v>
      </c>
      <c r="M542" t="b">
        <v>1</v>
      </c>
      <c r="N542" s="3" t="b">
        <f t="shared" si="24"/>
        <v>1</v>
      </c>
      <c r="O542" s="3" t="b">
        <f t="shared" si="25"/>
        <v>0</v>
      </c>
      <c r="P542" s="3" t="b">
        <f t="shared" si="26"/>
        <v>0</v>
      </c>
      <c r="Q542" s="3" t="b">
        <f t="shared" si="27"/>
        <v>0</v>
      </c>
      <c r="R542" s="3" t="b">
        <f t="shared" si="28"/>
        <v>0</v>
      </c>
      <c r="S542" s="3" t="b">
        <f t="shared" si="29"/>
        <v>0</v>
      </c>
      <c r="U542" t="s">
        <v>1502</v>
      </c>
      <c r="V542" t="b">
        <v>1</v>
      </c>
      <c r="W542" t="b">
        <v>1</v>
      </c>
      <c r="X542" t="b">
        <v>1</v>
      </c>
      <c r="Y542" t="b">
        <v>0</v>
      </c>
      <c r="Z542" t="b">
        <v>0</v>
      </c>
      <c r="AA542" s="3"/>
      <c r="AB542" s="3"/>
      <c r="AC542" s="3"/>
      <c r="AD542" s="3"/>
      <c r="AF542" t="s">
        <v>1521</v>
      </c>
      <c r="AG542" t="b">
        <v>1</v>
      </c>
      <c r="AH542" t="b">
        <v>1</v>
      </c>
      <c r="AI542" t="b">
        <v>1</v>
      </c>
      <c r="AJ542" t="b">
        <v>1</v>
      </c>
      <c r="AK542" t="b">
        <v>1</v>
      </c>
      <c r="AL542" s="3"/>
      <c r="AM542" s="3"/>
      <c r="AN542" s="3"/>
      <c r="AO542" s="3"/>
      <c r="AQ542" s="4" t="s">
        <v>1522</v>
      </c>
      <c r="AR542" s="4" t="b">
        <v>1</v>
      </c>
      <c r="AS542" s="4" t="b">
        <v>1</v>
      </c>
      <c r="AT542" s="4" t="b">
        <v>0</v>
      </c>
      <c r="AU542" s="4" t="b">
        <v>0</v>
      </c>
      <c r="AV542" s="4" t="b">
        <v>0</v>
      </c>
      <c r="AW542" s="3" t="b">
        <f t="shared" si="30"/>
        <v>0</v>
      </c>
      <c r="AX542" s="3" t="b">
        <f t="shared" si="31"/>
        <v>0</v>
      </c>
      <c r="AY542" s="3" t="b">
        <f t="shared" si="32"/>
        <v>1</v>
      </c>
      <c r="AZ542" s="3" t="b">
        <f t="shared" si="33"/>
        <v>0</v>
      </c>
      <c r="BA542" s="3" t="b">
        <f t="shared" si="34"/>
        <v>0</v>
      </c>
      <c r="BB542" s="3" t="b">
        <f t="shared" si="35"/>
        <v>0</v>
      </c>
      <c r="BD542" s="4" t="s">
        <v>1522</v>
      </c>
      <c r="BE542" s="4" t="b">
        <v>1</v>
      </c>
      <c r="BF542" s="4" t="b">
        <v>1</v>
      </c>
      <c r="BG542" s="4" t="b">
        <v>0</v>
      </c>
      <c r="BH542" s="4" t="b">
        <v>0</v>
      </c>
      <c r="BI542" s="4" t="b">
        <v>0</v>
      </c>
      <c r="BO542" s="4" t="s">
        <v>1522</v>
      </c>
      <c r="BP542" s="4" t="b">
        <v>1</v>
      </c>
      <c r="BQ542" s="4" t="b">
        <v>1</v>
      </c>
      <c r="BR542" s="4" t="b">
        <v>0</v>
      </c>
      <c r="BS542" s="4" t="b">
        <v>0</v>
      </c>
      <c r="BT542" s="4" t="b">
        <v>0</v>
      </c>
    </row>
    <row r="543" spans="2:72" x14ac:dyDescent="0.35">
      <c r="B543" t="s">
        <v>188</v>
      </c>
      <c r="N543" s="3">
        <f t="shared" si="24"/>
        <v>0</v>
      </c>
      <c r="O543" s="3">
        <f t="shared" si="25"/>
        <v>0</v>
      </c>
      <c r="P543" s="3">
        <f t="shared" si="26"/>
        <v>0</v>
      </c>
      <c r="Q543" s="3">
        <f t="shared" si="27"/>
        <v>0</v>
      </c>
      <c r="R543" s="3">
        <f t="shared" si="28"/>
        <v>0</v>
      </c>
      <c r="S543" s="3">
        <f t="shared" si="29"/>
        <v>0</v>
      </c>
      <c r="AA543" s="3"/>
      <c r="AB543" s="3"/>
      <c r="AC543" s="3"/>
      <c r="AD543" s="3"/>
      <c r="AL543" s="3"/>
      <c r="AM543" s="3"/>
      <c r="AN543" s="3"/>
      <c r="AO543" s="3"/>
      <c r="AW543" s="3">
        <f t="shared" si="30"/>
        <v>0</v>
      </c>
      <c r="AX543" s="3">
        <f t="shared" si="31"/>
        <v>0</v>
      </c>
      <c r="AY543" s="3">
        <f t="shared" si="32"/>
        <v>0</v>
      </c>
      <c r="AZ543" s="3">
        <f t="shared" si="33"/>
        <v>0</v>
      </c>
      <c r="BA543" s="3">
        <f t="shared" si="34"/>
        <v>0</v>
      </c>
      <c r="BB543" s="3">
        <f t="shared" si="35"/>
        <v>0</v>
      </c>
    </row>
    <row r="544" spans="2:72" x14ac:dyDescent="0.35">
      <c r="N544" s="3">
        <f t="shared" si="24"/>
        <v>0</v>
      </c>
      <c r="O544" s="3">
        <f t="shared" si="25"/>
        <v>0</v>
      </c>
      <c r="P544" s="3">
        <f t="shared" si="26"/>
        <v>0</v>
      </c>
      <c r="Q544" s="3">
        <f t="shared" si="27"/>
        <v>0</v>
      </c>
      <c r="R544" s="3">
        <f t="shared" si="28"/>
        <v>0</v>
      </c>
      <c r="S544" s="3">
        <f t="shared" si="29"/>
        <v>0</v>
      </c>
      <c r="AA544" s="3"/>
      <c r="AB544" s="3"/>
      <c r="AC544" s="3"/>
      <c r="AD544" s="3"/>
      <c r="AL544" s="3"/>
      <c r="AM544" s="3"/>
      <c r="AN544" s="3"/>
      <c r="AO544" s="3"/>
      <c r="AW544" s="3">
        <f t="shared" si="30"/>
        <v>0</v>
      </c>
      <c r="AX544" s="3">
        <f t="shared" si="31"/>
        <v>0</v>
      </c>
      <c r="AY544" s="3">
        <f t="shared" si="32"/>
        <v>0</v>
      </c>
      <c r="AZ544" s="3">
        <f t="shared" si="33"/>
        <v>0</v>
      </c>
      <c r="BA544" s="3">
        <f t="shared" si="34"/>
        <v>0</v>
      </c>
      <c r="BB544" s="3">
        <f t="shared" si="35"/>
        <v>0</v>
      </c>
    </row>
    <row r="545" spans="1:72" x14ac:dyDescent="0.35">
      <c r="A545" t="s">
        <v>1523</v>
      </c>
      <c r="B545" t="s">
        <v>1524</v>
      </c>
      <c r="C545" t="s">
        <v>25</v>
      </c>
      <c r="G545" t="s">
        <v>3924</v>
      </c>
      <c r="H545" t="s">
        <v>27</v>
      </c>
      <c r="I545" t="b">
        <v>1</v>
      </c>
      <c r="J545" t="b">
        <v>1</v>
      </c>
      <c r="K545" t="b">
        <v>1</v>
      </c>
      <c r="L545" t="b">
        <v>1</v>
      </c>
      <c r="M545" t="b">
        <v>1</v>
      </c>
      <c r="N545" s="3" t="b">
        <f t="shared" si="24"/>
        <v>1</v>
      </c>
      <c r="O545" s="3" t="b">
        <f t="shared" si="25"/>
        <v>0</v>
      </c>
      <c r="P545" s="3" t="b">
        <f t="shared" si="26"/>
        <v>0</v>
      </c>
      <c r="Q545" s="3" t="b">
        <f t="shared" si="27"/>
        <v>0</v>
      </c>
      <c r="R545" s="3" t="b">
        <f t="shared" si="28"/>
        <v>0</v>
      </c>
      <c r="S545" s="3" t="b">
        <f t="shared" si="29"/>
        <v>0</v>
      </c>
      <c r="U545" t="s">
        <v>28</v>
      </c>
      <c r="V545" t="b">
        <v>1</v>
      </c>
      <c r="W545" t="b">
        <v>1</v>
      </c>
      <c r="X545" t="b">
        <v>1</v>
      </c>
      <c r="Y545" t="b">
        <v>1</v>
      </c>
      <c r="Z545" t="b">
        <v>1</v>
      </c>
      <c r="AA545" s="3"/>
      <c r="AB545" s="3"/>
      <c r="AC545" s="3"/>
      <c r="AD545" s="3"/>
      <c r="AF545" t="s">
        <v>28</v>
      </c>
      <c r="AG545" t="b">
        <v>1</v>
      </c>
      <c r="AH545" t="b">
        <v>1</v>
      </c>
      <c r="AI545" t="b">
        <v>1</v>
      </c>
      <c r="AJ545" t="b">
        <v>1</v>
      </c>
      <c r="AK545" t="b">
        <v>1</v>
      </c>
      <c r="AL545" s="3"/>
      <c r="AM545" s="3"/>
      <c r="AN545" s="3"/>
      <c r="AO545" s="3"/>
      <c r="AQ545" s="4" t="s">
        <v>27</v>
      </c>
      <c r="AR545" s="4" t="b">
        <v>1</v>
      </c>
      <c r="AS545" s="4" t="b">
        <v>1</v>
      </c>
      <c r="AT545" s="4" t="b">
        <v>1</v>
      </c>
      <c r="AU545" s="4" t="b">
        <v>1</v>
      </c>
      <c r="AV545" s="4" t="b">
        <v>1</v>
      </c>
      <c r="AW545" s="3" t="b">
        <f t="shared" si="30"/>
        <v>1</v>
      </c>
      <c r="AX545" s="3" t="b">
        <f t="shared" si="31"/>
        <v>0</v>
      </c>
      <c r="AY545" s="3" t="b">
        <f t="shared" si="32"/>
        <v>0</v>
      </c>
      <c r="AZ545" s="3" t="b">
        <f t="shared" si="33"/>
        <v>0</v>
      </c>
      <c r="BA545" s="3" t="b">
        <f t="shared" si="34"/>
        <v>0</v>
      </c>
      <c r="BB545" s="3" t="b">
        <f t="shared" si="35"/>
        <v>0</v>
      </c>
      <c r="BD545" s="4" t="s">
        <v>27</v>
      </c>
      <c r="BE545" s="4" t="b">
        <v>1</v>
      </c>
      <c r="BF545" s="4" t="b">
        <v>1</v>
      </c>
      <c r="BG545" s="4" t="b">
        <v>1</v>
      </c>
      <c r="BH545" s="4" t="b">
        <v>1</v>
      </c>
      <c r="BI545" s="4" t="b">
        <v>1</v>
      </c>
      <c r="BO545" s="4" t="s">
        <v>27</v>
      </c>
      <c r="BP545" s="4" t="b">
        <v>1</v>
      </c>
      <c r="BQ545" s="4" t="b">
        <v>1</v>
      </c>
      <c r="BR545" s="4" t="b">
        <v>1</v>
      </c>
      <c r="BS545" s="4" t="b">
        <v>1</v>
      </c>
      <c r="BT545" s="4" t="b">
        <v>1</v>
      </c>
    </row>
    <row r="546" spans="1:72" x14ac:dyDescent="0.35">
      <c r="C546" t="s">
        <v>29</v>
      </c>
      <c r="G546" t="s">
        <v>3925</v>
      </c>
      <c r="H546" t="s">
        <v>31</v>
      </c>
      <c r="I546" t="b">
        <v>1</v>
      </c>
      <c r="J546" t="b">
        <v>1</v>
      </c>
      <c r="K546" t="b">
        <v>1</v>
      </c>
      <c r="L546" t="b">
        <v>1</v>
      </c>
      <c r="M546" t="b">
        <v>1</v>
      </c>
      <c r="N546" s="3" t="b">
        <f t="shared" si="24"/>
        <v>1</v>
      </c>
      <c r="O546" s="3" t="b">
        <f t="shared" si="25"/>
        <v>0</v>
      </c>
      <c r="P546" s="3" t="b">
        <f t="shared" si="26"/>
        <v>0</v>
      </c>
      <c r="Q546" s="3" t="b">
        <f t="shared" si="27"/>
        <v>0</v>
      </c>
      <c r="R546" s="3" t="b">
        <f t="shared" si="28"/>
        <v>0</v>
      </c>
      <c r="S546" s="3" t="b">
        <f t="shared" si="29"/>
        <v>0</v>
      </c>
      <c r="U546" t="s">
        <v>31</v>
      </c>
      <c r="V546" t="b">
        <v>1</v>
      </c>
      <c r="W546" t="b">
        <v>1</v>
      </c>
      <c r="X546" t="b">
        <v>1</v>
      </c>
      <c r="Y546" t="b">
        <v>1</v>
      </c>
      <c r="Z546" t="b">
        <v>1</v>
      </c>
      <c r="AA546" s="3"/>
      <c r="AB546" s="3"/>
      <c r="AC546" s="3"/>
      <c r="AD546" s="3"/>
      <c r="AF546" t="s">
        <v>31</v>
      </c>
      <c r="AG546" t="b">
        <v>1</v>
      </c>
      <c r="AH546" t="b">
        <v>1</v>
      </c>
      <c r="AI546" t="b">
        <v>1</v>
      </c>
      <c r="AJ546" t="b">
        <v>1</v>
      </c>
      <c r="AK546" t="b">
        <v>1</v>
      </c>
      <c r="AL546" s="3"/>
      <c r="AM546" s="3"/>
      <c r="AN546" s="3"/>
      <c r="AO546" s="3"/>
      <c r="AQ546" s="4" t="s">
        <v>31</v>
      </c>
      <c r="AR546" s="4" t="b">
        <v>1</v>
      </c>
      <c r="AS546" s="4" t="b">
        <v>1</v>
      </c>
      <c r="AT546" s="4" t="b">
        <v>1</v>
      </c>
      <c r="AU546" s="4" t="b">
        <v>1</v>
      </c>
      <c r="AV546" s="4" t="b">
        <v>1</v>
      </c>
      <c r="AW546" s="3" t="b">
        <f t="shared" si="30"/>
        <v>1</v>
      </c>
      <c r="AX546" s="3" t="b">
        <f t="shared" si="31"/>
        <v>0</v>
      </c>
      <c r="AY546" s="3" t="b">
        <f t="shared" si="32"/>
        <v>0</v>
      </c>
      <c r="AZ546" s="3" t="b">
        <f t="shared" si="33"/>
        <v>0</v>
      </c>
      <c r="BA546" s="3" t="b">
        <f t="shared" si="34"/>
        <v>0</v>
      </c>
      <c r="BB546" s="3" t="b">
        <f t="shared" si="35"/>
        <v>0</v>
      </c>
      <c r="BD546" s="4" t="s">
        <v>31</v>
      </c>
      <c r="BE546" s="4" t="b">
        <v>1</v>
      </c>
      <c r="BF546" s="4" t="b">
        <v>1</v>
      </c>
      <c r="BG546" s="4" t="b">
        <v>1</v>
      </c>
      <c r="BH546" s="4" t="b">
        <v>1</v>
      </c>
      <c r="BI546" s="4" t="b">
        <v>1</v>
      </c>
      <c r="BO546" s="4" t="s">
        <v>31</v>
      </c>
      <c r="BP546" s="4" t="b">
        <v>1</v>
      </c>
      <c r="BQ546" s="4" t="b">
        <v>1</v>
      </c>
      <c r="BR546" s="4" t="b">
        <v>1</v>
      </c>
      <c r="BS546" s="4" t="b">
        <v>1</v>
      </c>
      <c r="BT546" s="4" t="b">
        <v>1</v>
      </c>
    </row>
    <row r="547" spans="1:72" x14ac:dyDescent="0.35">
      <c r="B547" t="s">
        <v>1527</v>
      </c>
      <c r="C547" t="s">
        <v>1528</v>
      </c>
      <c r="G547" t="s">
        <v>3926</v>
      </c>
      <c r="H547" t="s">
        <v>1530</v>
      </c>
      <c r="I547" t="b">
        <v>1</v>
      </c>
      <c r="J547" t="b">
        <v>1</v>
      </c>
      <c r="K547" t="b">
        <v>1</v>
      </c>
      <c r="L547" t="b">
        <v>1</v>
      </c>
      <c r="M547" t="b">
        <v>0</v>
      </c>
      <c r="N547" s="3" t="b">
        <f t="shared" si="24"/>
        <v>0</v>
      </c>
      <c r="O547" s="3" t="b">
        <f t="shared" si="25"/>
        <v>1</v>
      </c>
      <c r="P547" s="3" t="b">
        <f t="shared" si="26"/>
        <v>0</v>
      </c>
      <c r="Q547" s="3" t="b">
        <f t="shared" si="27"/>
        <v>0</v>
      </c>
      <c r="R547" s="3" t="b">
        <f t="shared" si="28"/>
        <v>1</v>
      </c>
      <c r="S547" s="3" t="b">
        <f t="shared" si="29"/>
        <v>0</v>
      </c>
      <c r="U547" t="s">
        <v>1530</v>
      </c>
      <c r="V547" t="b">
        <v>1</v>
      </c>
      <c r="W547" t="b">
        <v>1</v>
      </c>
      <c r="X547" t="b">
        <v>1</v>
      </c>
      <c r="Y547" t="b">
        <v>1</v>
      </c>
      <c r="Z547" t="b">
        <v>0</v>
      </c>
      <c r="AA547" s="3"/>
      <c r="AB547" s="3"/>
      <c r="AC547" s="3"/>
      <c r="AD547" s="3"/>
      <c r="AF547" t="s">
        <v>1530</v>
      </c>
      <c r="AG547" t="b">
        <v>1</v>
      </c>
      <c r="AH547" t="b">
        <v>1</v>
      </c>
      <c r="AI547" t="b">
        <v>1</v>
      </c>
      <c r="AJ547" t="b">
        <v>1</v>
      </c>
      <c r="AK547" t="b">
        <v>0</v>
      </c>
      <c r="AL547" s="3"/>
      <c r="AM547" s="3"/>
      <c r="AN547" s="3"/>
      <c r="AO547" s="3"/>
      <c r="AQ547" s="4" t="s">
        <v>1531</v>
      </c>
      <c r="AR547" s="4" t="b">
        <v>1</v>
      </c>
      <c r="AS547" s="4" t="b">
        <v>1</v>
      </c>
      <c r="AT547" s="4" t="b">
        <v>1</v>
      </c>
      <c r="AU547" s="4" t="b">
        <v>0</v>
      </c>
      <c r="AV547" s="4" t="b">
        <v>0</v>
      </c>
      <c r="AW547" s="3" t="b">
        <f t="shared" si="30"/>
        <v>0</v>
      </c>
      <c r="AX547" s="3" t="b">
        <f t="shared" si="31"/>
        <v>0</v>
      </c>
      <c r="AY547" s="3" t="b">
        <f t="shared" si="32"/>
        <v>1</v>
      </c>
      <c r="AZ547" s="3" t="b">
        <f t="shared" si="33"/>
        <v>0</v>
      </c>
      <c r="BA547" s="3" t="b">
        <f t="shared" si="34"/>
        <v>1</v>
      </c>
      <c r="BB547" s="3" t="b">
        <f t="shared" si="35"/>
        <v>0</v>
      </c>
      <c r="BD547" s="4" t="s">
        <v>1530</v>
      </c>
      <c r="BE547" s="4" t="b">
        <v>1</v>
      </c>
      <c r="BF547" s="4" t="b">
        <v>1</v>
      </c>
      <c r="BG547" s="4" t="b">
        <v>1</v>
      </c>
      <c r="BH547" s="4" t="b">
        <v>1</v>
      </c>
      <c r="BI547" s="4" t="b">
        <v>0</v>
      </c>
      <c r="BO547" s="4" t="s">
        <v>1532</v>
      </c>
      <c r="BP547" s="4" t="b">
        <v>1</v>
      </c>
      <c r="BQ547" s="4" t="b">
        <v>1</v>
      </c>
      <c r="BR547" s="4" t="b">
        <v>1</v>
      </c>
      <c r="BS547" s="4" t="b">
        <v>1</v>
      </c>
      <c r="BT547" s="4" t="b">
        <v>0</v>
      </c>
    </row>
    <row r="548" spans="1:72" x14ac:dyDescent="0.35">
      <c r="C548" t="s">
        <v>1533</v>
      </c>
      <c r="G548" t="s">
        <v>3927</v>
      </c>
      <c r="H548" t="s">
        <v>1534</v>
      </c>
      <c r="I548" t="b">
        <v>1</v>
      </c>
      <c r="J548" t="b">
        <v>0</v>
      </c>
      <c r="K548" t="b">
        <v>0</v>
      </c>
      <c r="L548" t="b">
        <v>0</v>
      </c>
      <c r="M548" t="b">
        <v>0</v>
      </c>
      <c r="N548" s="3" t="b">
        <f t="shared" si="24"/>
        <v>0</v>
      </c>
      <c r="O548" s="3" t="b">
        <f t="shared" si="25"/>
        <v>0</v>
      </c>
      <c r="P548" s="3" t="b">
        <f t="shared" si="26"/>
        <v>1</v>
      </c>
      <c r="Q548" s="3" t="b">
        <f t="shared" si="27"/>
        <v>0</v>
      </c>
      <c r="R548" s="3" t="b">
        <f t="shared" si="28"/>
        <v>0</v>
      </c>
      <c r="S548" s="3" t="b">
        <f t="shared" si="29"/>
        <v>0</v>
      </c>
      <c r="U548" t="s">
        <v>1535</v>
      </c>
      <c r="V548" t="b">
        <v>1</v>
      </c>
      <c r="W548" t="b">
        <v>0</v>
      </c>
      <c r="X548" t="b">
        <v>0</v>
      </c>
      <c r="Y548" t="b">
        <v>0</v>
      </c>
      <c r="Z548" t="b">
        <v>0</v>
      </c>
      <c r="AA548" s="3"/>
      <c r="AB548" s="3"/>
      <c r="AC548" s="3"/>
      <c r="AD548" s="3"/>
      <c r="AF548" t="s">
        <v>1536</v>
      </c>
      <c r="AG548" t="b">
        <v>1</v>
      </c>
      <c r="AH548" t="b">
        <v>1</v>
      </c>
      <c r="AI548" t="b">
        <v>0</v>
      </c>
      <c r="AJ548" t="b">
        <v>0</v>
      </c>
      <c r="AK548" t="b">
        <v>0</v>
      </c>
      <c r="AL548" s="3"/>
      <c r="AM548" s="3"/>
      <c r="AN548" s="3"/>
      <c r="AO548" s="3"/>
      <c r="AQ548" s="4" t="s">
        <v>1537</v>
      </c>
      <c r="AR548" s="4" t="b">
        <v>1</v>
      </c>
      <c r="AS548" s="4" t="b">
        <v>1</v>
      </c>
      <c r="AT548" s="4" t="b">
        <v>1</v>
      </c>
      <c r="AU548" s="4" t="b">
        <v>0</v>
      </c>
      <c r="AV548" s="4" t="b">
        <v>0</v>
      </c>
      <c r="AW548" s="3" t="b">
        <f t="shared" si="30"/>
        <v>0</v>
      </c>
      <c r="AX548" s="3" t="b">
        <f t="shared" si="31"/>
        <v>0</v>
      </c>
      <c r="AY548" s="3" t="b">
        <f t="shared" si="32"/>
        <v>1</v>
      </c>
      <c r="AZ548" s="3" t="b">
        <f t="shared" si="33"/>
        <v>0</v>
      </c>
      <c r="BA548" s="3" t="b">
        <f t="shared" si="34"/>
        <v>1</v>
      </c>
      <c r="BB548" s="3" t="b">
        <f t="shared" si="35"/>
        <v>0</v>
      </c>
      <c r="BD548" s="4" t="s">
        <v>1538</v>
      </c>
      <c r="BE548" s="4" t="b">
        <v>1</v>
      </c>
      <c r="BF548" s="4" t="b">
        <v>0</v>
      </c>
      <c r="BG548" s="4" t="b">
        <v>0</v>
      </c>
      <c r="BH548" s="4" t="b">
        <v>0</v>
      </c>
      <c r="BI548" s="4" t="b">
        <v>0</v>
      </c>
      <c r="BO548" s="4" t="s">
        <v>1539</v>
      </c>
      <c r="BP548" s="4" t="b">
        <v>1</v>
      </c>
      <c r="BQ548" s="4" t="b">
        <v>1</v>
      </c>
      <c r="BR548" s="4" t="b">
        <v>0</v>
      </c>
      <c r="BS548" s="4" t="b">
        <v>0</v>
      </c>
      <c r="BT548" s="4" t="b">
        <v>0</v>
      </c>
    </row>
    <row r="549" spans="1:72" x14ac:dyDescent="0.35">
      <c r="C549" t="s">
        <v>89</v>
      </c>
      <c r="G549" t="s">
        <v>3928</v>
      </c>
      <c r="H549" t="s">
        <v>1541</v>
      </c>
      <c r="I549" t="b">
        <v>1</v>
      </c>
      <c r="J549" t="b">
        <v>1</v>
      </c>
      <c r="K549" t="b">
        <v>0</v>
      </c>
      <c r="L549" t="b">
        <v>0</v>
      </c>
      <c r="M549" t="b">
        <v>0</v>
      </c>
      <c r="N549" s="3" t="b">
        <f t="shared" si="24"/>
        <v>0</v>
      </c>
      <c r="O549" s="3" t="b">
        <f t="shared" si="25"/>
        <v>0</v>
      </c>
      <c r="P549" s="3" t="b">
        <f t="shared" si="26"/>
        <v>1</v>
      </c>
      <c r="Q549" s="3" t="b">
        <f t="shared" si="27"/>
        <v>0</v>
      </c>
      <c r="R549" s="3" t="b">
        <f t="shared" si="28"/>
        <v>0</v>
      </c>
      <c r="S549" s="3" t="b">
        <f t="shared" si="29"/>
        <v>0</v>
      </c>
      <c r="U549" t="s">
        <v>1542</v>
      </c>
      <c r="V549" t="b">
        <v>1</v>
      </c>
      <c r="W549" t="b">
        <v>0</v>
      </c>
      <c r="X549" t="b">
        <v>0</v>
      </c>
      <c r="Y549" t="b">
        <v>0</v>
      </c>
      <c r="Z549" t="b">
        <v>0</v>
      </c>
      <c r="AA549" s="3"/>
      <c r="AB549" s="3"/>
      <c r="AC549" s="3"/>
      <c r="AD549" s="3"/>
      <c r="AF549" t="s">
        <v>1543</v>
      </c>
      <c r="AG549" t="b">
        <v>1</v>
      </c>
      <c r="AH549" t="b">
        <v>0</v>
      </c>
      <c r="AI549" t="b">
        <v>0</v>
      </c>
      <c r="AJ549" t="b">
        <v>0</v>
      </c>
      <c r="AK549" t="b">
        <v>0</v>
      </c>
      <c r="AL549" s="3"/>
      <c r="AM549" s="3"/>
      <c r="AN549" s="3"/>
      <c r="AO549" s="3"/>
      <c r="AQ549" s="4" t="s">
        <v>1544</v>
      </c>
      <c r="AR549" s="4" t="b">
        <v>1</v>
      </c>
      <c r="AS549" s="4" t="b">
        <v>0</v>
      </c>
      <c r="AT549" s="4" t="b">
        <v>0</v>
      </c>
      <c r="AU549" s="4" t="b">
        <v>1</v>
      </c>
      <c r="AV549" s="4" t="b">
        <v>0</v>
      </c>
      <c r="AW549" s="3" t="b">
        <f t="shared" si="30"/>
        <v>0</v>
      </c>
      <c r="AX549" s="3" t="b">
        <f t="shared" si="31"/>
        <v>0</v>
      </c>
      <c r="AY549" s="3" t="b">
        <f t="shared" si="32"/>
        <v>1</v>
      </c>
      <c r="AZ549" s="3" t="b">
        <f t="shared" si="33"/>
        <v>0</v>
      </c>
      <c r="BA549" s="3" t="b">
        <f t="shared" si="34"/>
        <v>0</v>
      </c>
      <c r="BB549" s="3" t="b">
        <f t="shared" si="35"/>
        <v>0</v>
      </c>
      <c r="BD549" s="4" t="s">
        <v>1545</v>
      </c>
      <c r="BE549" s="4" t="b">
        <v>1</v>
      </c>
      <c r="BF549" s="4" t="b">
        <v>1</v>
      </c>
      <c r="BG549" s="4" t="b">
        <v>1</v>
      </c>
      <c r="BH549" s="4" t="b">
        <v>1</v>
      </c>
      <c r="BI549" s="4" t="b">
        <v>0</v>
      </c>
      <c r="BO549" s="4" t="s">
        <v>1546</v>
      </c>
      <c r="BP549" s="4" t="b">
        <v>1</v>
      </c>
      <c r="BQ549" s="4" t="b">
        <v>0</v>
      </c>
      <c r="BR549" s="4" t="b">
        <v>0</v>
      </c>
      <c r="BS549" s="4" t="b">
        <v>1</v>
      </c>
      <c r="BT549" s="4" t="b">
        <v>0</v>
      </c>
    </row>
    <row r="550" spans="1:72" x14ac:dyDescent="0.35">
      <c r="C550" t="s">
        <v>1547</v>
      </c>
      <c r="G550" t="s">
        <v>3929</v>
      </c>
      <c r="I550" t="b">
        <v>1</v>
      </c>
      <c r="J550" t="b">
        <v>0</v>
      </c>
      <c r="K550" t="b">
        <v>0</v>
      </c>
      <c r="L550" t="b">
        <v>0</v>
      </c>
      <c r="M550" t="b">
        <v>0</v>
      </c>
      <c r="N550" s="3" t="b">
        <f t="shared" si="24"/>
        <v>0</v>
      </c>
      <c r="O550" s="3" t="b">
        <f t="shared" si="25"/>
        <v>0</v>
      </c>
      <c r="P550" s="3" t="b">
        <f t="shared" si="26"/>
        <v>1</v>
      </c>
      <c r="Q550" s="3" t="b">
        <f t="shared" si="27"/>
        <v>0</v>
      </c>
      <c r="R550" s="3" t="b">
        <f t="shared" si="28"/>
        <v>0</v>
      </c>
      <c r="S550" s="3" t="b">
        <f t="shared" si="29"/>
        <v>0</v>
      </c>
      <c r="V550" t="b">
        <v>1</v>
      </c>
      <c r="W550" t="b">
        <v>0</v>
      </c>
      <c r="X550" t="b">
        <v>0</v>
      </c>
      <c r="Y550" t="b">
        <v>0</v>
      </c>
      <c r="Z550" t="b">
        <v>0</v>
      </c>
      <c r="AA550" s="3"/>
      <c r="AB550" s="3"/>
      <c r="AC550" s="3"/>
      <c r="AD550" s="3"/>
      <c r="AF550" t="s">
        <v>1548</v>
      </c>
      <c r="AG550" t="b">
        <v>1</v>
      </c>
      <c r="AH550" t="b">
        <v>1</v>
      </c>
      <c r="AI550" t="b">
        <v>0</v>
      </c>
      <c r="AJ550" t="b">
        <v>0</v>
      </c>
      <c r="AK550" t="b">
        <v>0</v>
      </c>
      <c r="AL550" s="3"/>
      <c r="AM550" s="3"/>
      <c r="AN550" s="3"/>
      <c r="AO550" s="3"/>
      <c r="AQ550" s="4" t="s">
        <v>1549</v>
      </c>
      <c r="AR550" s="4" t="b">
        <v>1</v>
      </c>
      <c r="AS550" s="4" t="b">
        <v>1</v>
      </c>
      <c r="AT550" s="4" t="b">
        <v>0</v>
      </c>
      <c r="AU550" s="4" t="b">
        <v>0</v>
      </c>
      <c r="AV550" s="4" t="b">
        <v>0</v>
      </c>
      <c r="AW550" s="3" t="b">
        <f t="shared" si="30"/>
        <v>0</v>
      </c>
      <c r="AX550" s="3" t="b">
        <f t="shared" si="31"/>
        <v>0</v>
      </c>
      <c r="AY550" s="3" t="b">
        <f t="shared" si="32"/>
        <v>1</v>
      </c>
      <c r="AZ550" s="3" t="b">
        <f t="shared" si="33"/>
        <v>0</v>
      </c>
      <c r="BA550" s="3" t="b">
        <f t="shared" si="34"/>
        <v>0</v>
      </c>
      <c r="BB550" s="3" t="b">
        <f t="shared" si="35"/>
        <v>0</v>
      </c>
      <c r="BD550" s="4" t="s">
        <v>1550</v>
      </c>
      <c r="BE550" s="4" t="b">
        <v>1</v>
      </c>
      <c r="BF550" s="4" t="b">
        <v>1</v>
      </c>
      <c r="BG550" s="4" t="b">
        <v>0</v>
      </c>
      <c r="BH550" s="4" t="b">
        <v>0</v>
      </c>
      <c r="BI550" s="4" t="b">
        <v>0</v>
      </c>
      <c r="BO550" s="4" t="s">
        <v>1551</v>
      </c>
      <c r="BP550" s="4" t="b">
        <v>1</v>
      </c>
      <c r="BQ550" s="4" t="b">
        <v>1</v>
      </c>
      <c r="BR550" s="4" t="b">
        <v>1</v>
      </c>
      <c r="BS550" s="4" t="b">
        <v>0</v>
      </c>
      <c r="BT550" s="4" t="b">
        <v>0</v>
      </c>
    </row>
    <row r="551" spans="1:72" x14ac:dyDescent="0.35">
      <c r="B551" s="6" t="s">
        <v>761</v>
      </c>
      <c r="C551" s="6" t="s">
        <v>131</v>
      </c>
      <c r="N551" s="3">
        <f t="shared" si="24"/>
        <v>0</v>
      </c>
      <c r="O551" s="3">
        <f t="shared" si="25"/>
        <v>0</v>
      </c>
      <c r="P551" s="3">
        <f t="shared" si="26"/>
        <v>0</v>
      </c>
      <c r="Q551" s="3">
        <f t="shared" si="27"/>
        <v>0</v>
      </c>
      <c r="R551" s="3">
        <f t="shared" si="28"/>
        <v>0</v>
      </c>
      <c r="S551" s="3">
        <f t="shared" si="29"/>
        <v>0</v>
      </c>
      <c r="AA551" s="3"/>
      <c r="AB551" s="3"/>
      <c r="AC551" s="3"/>
      <c r="AD551" s="3"/>
      <c r="AL551" s="3"/>
      <c r="AM551" s="3"/>
      <c r="AN551" s="3"/>
      <c r="AO551" s="3"/>
      <c r="AW551" s="3">
        <f t="shared" si="30"/>
        <v>0</v>
      </c>
      <c r="AX551" s="3">
        <f t="shared" si="31"/>
        <v>0</v>
      </c>
      <c r="AY551" s="3">
        <f t="shared" si="32"/>
        <v>0</v>
      </c>
      <c r="AZ551" s="3">
        <f t="shared" si="33"/>
        <v>0</v>
      </c>
      <c r="BA551" s="3">
        <f t="shared" si="34"/>
        <v>0</v>
      </c>
      <c r="BB551" s="3">
        <f t="shared" si="35"/>
        <v>0</v>
      </c>
    </row>
    <row r="552" spans="1:72" x14ac:dyDescent="0.35">
      <c r="B552" t="s">
        <v>1552</v>
      </c>
      <c r="N552" s="3">
        <f t="shared" si="24"/>
        <v>0</v>
      </c>
      <c r="O552" s="3">
        <f t="shared" si="25"/>
        <v>0</v>
      </c>
      <c r="P552" s="3">
        <f t="shared" si="26"/>
        <v>0</v>
      </c>
      <c r="Q552" s="3">
        <f t="shared" si="27"/>
        <v>0</v>
      </c>
      <c r="R552" s="3">
        <f t="shared" si="28"/>
        <v>0</v>
      </c>
      <c r="S552" s="3">
        <f t="shared" si="29"/>
        <v>0</v>
      </c>
      <c r="AA552" s="3"/>
      <c r="AB552" s="3"/>
      <c r="AC552" s="3"/>
      <c r="AD552" s="3"/>
      <c r="AL552" s="3"/>
      <c r="AM552" s="3"/>
      <c r="AN552" s="3"/>
      <c r="AO552" s="3"/>
      <c r="AW552" s="3">
        <f t="shared" si="30"/>
        <v>0</v>
      </c>
      <c r="AX552" s="3">
        <f t="shared" si="31"/>
        <v>0</v>
      </c>
      <c r="AY552" s="3">
        <f t="shared" si="32"/>
        <v>0</v>
      </c>
      <c r="AZ552" s="3">
        <f t="shared" si="33"/>
        <v>0</v>
      </c>
      <c r="BA552" s="3">
        <f t="shared" si="34"/>
        <v>0</v>
      </c>
      <c r="BB552" s="3">
        <f t="shared" si="35"/>
        <v>0</v>
      </c>
    </row>
    <row r="553" spans="1:72" x14ac:dyDescent="0.35">
      <c r="B553" s="6" t="s">
        <v>137</v>
      </c>
      <c r="C553" s="6" t="s">
        <v>131</v>
      </c>
      <c r="N553" s="3">
        <f t="shared" si="24"/>
        <v>0</v>
      </c>
      <c r="O553" s="3">
        <f t="shared" si="25"/>
        <v>0</v>
      </c>
      <c r="P553" s="3">
        <f t="shared" si="26"/>
        <v>0</v>
      </c>
      <c r="Q553" s="3">
        <f t="shared" si="27"/>
        <v>0</v>
      </c>
      <c r="R553" s="3">
        <f t="shared" si="28"/>
        <v>0</v>
      </c>
      <c r="S553" s="3">
        <f t="shared" si="29"/>
        <v>0</v>
      </c>
      <c r="AA553" s="3"/>
      <c r="AB553" s="3"/>
      <c r="AC553" s="3"/>
      <c r="AD553" s="3"/>
      <c r="AL553" s="3"/>
      <c r="AM553" s="3"/>
      <c r="AN553" s="3"/>
      <c r="AO553" s="3"/>
      <c r="AW553" s="3">
        <f t="shared" si="30"/>
        <v>0</v>
      </c>
      <c r="AX553" s="3">
        <f t="shared" si="31"/>
        <v>0</v>
      </c>
      <c r="AY553" s="3">
        <f t="shared" si="32"/>
        <v>0</v>
      </c>
      <c r="AZ553" s="3">
        <f t="shared" si="33"/>
        <v>0</v>
      </c>
      <c r="BA553" s="3">
        <f t="shared" si="34"/>
        <v>0</v>
      </c>
      <c r="BB553" s="3">
        <f t="shared" si="35"/>
        <v>0</v>
      </c>
    </row>
    <row r="554" spans="1:72" x14ac:dyDescent="0.35">
      <c r="B554" s="6" t="s">
        <v>1553</v>
      </c>
      <c r="C554" s="6" t="s">
        <v>131</v>
      </c>
      <c r="N554" s="3">
        <f t="shared" si="24"/>
        <v>0</v>
      </c>
      <c r="O554" s="3">
        <f t="shared" si="25"/>
        <v>0</v>
      </c>
      <c r="P554" s="3">
        <f t="shared" si="26"/>
        <v>0</v>
      </c>
      <c r="Q554" s="3">
        <f t="shared" si="27"/>
        <v>0</v>
      </c>
      <c r="R554" s="3">
        <f t="shared" si="28"/>
        <v>0</v>
      </c>
      <c r="S554" s="3">
        <f t="shared" si="29"/>
        <v>0</v>
      </c>
      <c r="AA554" s="3"/>
      <c r="AB554" s="3"/>
      <c r="AC554" s="3"/>
      <c r="AD554" s="3"/>
      <c r="AL554" s="3"/>
      <c r="AM554" s="3"/>
      <c r="AN554" s="3"/>
      <c r="AO554" s="3"/>
      <c r="AW554" s="3">
        <f t="shared" si="30"/>
        <v>0</v>
      </c>
      <c r="AX554" s="3">
        <f t="shared" si="31"/>
        <v>0</v>
      </c>
      <c r="AY554" s="3">
        <f t="shared" si="32"/>
        <v>0</v>
      </c>
      <c r="AZ554" s="3">
        <f t="shared" si="33"/>
        <v>0</v>
      </c>
      <c r="BA554" s="3">
        <f t="shared" si="34"/>
        <v>0</v>
      </c>
      <c r="BB554" s="3">
        <f t="shared" si="35"/>
        <v>0</v>
      </c>
    </row>
    <row r="555" spans="1:72" x14ac:dyDescent="0.35">
      <c r="B555" s="6" t="s">
        <v>1554</v>
      </c>
      <c r="C555" s="6" t="s">
        <v>131</v>
      </c>
      <c r="N555" s="3">
        <f t="shared" si="24"/>
        <v>0</v>
      </c>
      <c r="O555" s="3">
        <f t="shared" si="25"/>
        <v>0</v>
      </c>
      <c r="P555" s="3">
        <f t="shared" si="26"/>
        <v>0</v>
      </c>
      <c r="Q555" s="3">
        <f t="shared" si="27"/>
        <v>0</v>
      </c>
      <c r="R555" s="3">
        <f t="shared" si="28"/>
        <v>0</v>
      </c>
      <c r="S555" s="3">
        <f t="shared" si="29"/>
        <v>0</v>
      </c>
      <c r="AA555" s="3"/>
      <c r="AB555" s="3"/>
      <c r="AC555" s="3"/>
      <c r="AD555" s="3"/>
      <c r="AL555" s="3"/>
      <c r="AM555" s="3"/>
      <c r="AN555" s="3"/>
      <c r="AO555" s="3"/>
      <c r="AW555" s="3">
        <f t="shared" si="30"/>
        <v>0</v>
      </c>
      <c r="AX555" s="3">
        <f t="shared" si="31"/>
        <v>0</v>
      </c>
      <c r="AY555" s="3">
        <f t="shared" si="32"/>
        <v>0</v>
      </c>
      <c r="AZ555" s="3">
        <f t="shared" si="33"/>
        <v>0</v>
      </c>
      <c r="BA555" s="3">
        <f t="shared" si="34"/>
        <v>0</v>
      </c>
      <c r="BB555" s="3">
        <f t="shared" si="35"/>
        <v>0</v>
      </c>
    </row>
    <row r="556" spans="1:72" x14ac:dyDescent="0.35">
      <c r="B556" s="6" t="s">
        <v>1555</v>
      </c>
      <c r="C556" s="6" t="s">
        <v>131</v>
      </c>
      <c r="N556" s="3">
        <f t="shared" si="24"/>
        <v>0</v>
      </c>
      <c r="O556" s="3">
        <f t="shared" si="25"/>
        <v>0</v>
      </c>
      <c r="P556" s="3">
        <f t="shared" si="26"/>
        <v>0</v>
      </c>
      <c r="Q556" s="3">
        <f t="shared" si="27"/>
        <v>0</v>
      </c>
      <c r="R556" s="3">
        <f t="shared" si="28"/>
        <v>0</v>
      </c>
      <c r="S556" s="3">
        <f t="shared" si="29"/>
        <v>0</v>
      </c>
      <c r="AA556" s="3"/>
      <c r="AB556" s="3"/>
      <c r="AC556" s="3"/>
      <c r="AD556" s="3"/>
      <c r="AL556" s="3"/>
      <c r="AM556" s="3"/>
      <c r="AN556" s="3"/>
      <c r="AO556" s="3"/>
      <c r="AW556" s="3">
        <f t="shared" si="30"/>
        <v>0</v>
      </c>
      <c r="AX556" s="3">
        <f t="shared" si="31"/>
        <v>0</v>
      </c>
      <c r="AY556" s="3">
        <f t="shared" si="32"/>
        <v>0</v>
      </c>
      <c r="AZ556" s="3">
        <f t="shared" si="33"/>
        <v>0</v>
      </c>
      <c r="BA556" s="3">
        <f t="shared" si="34"/>
        <v>0</v>
      </c>
      <c r="BB556" s="3">
        <f t="shared" si="35"/>
        <v>0</v>
      </c>
    </row>
    <row r="557" spans="1:72" x14ac:dyDescent="0.35">
      <c r="B557" t="s">
        <v>141</v>
      </c>
      <c r="C557" t="s">
        <v>142</v>
      </c>
      <c r="G557" t="s">
        <v>3930</v>
      </c>
      <c r="H557" t="s">
        <v>146</v>
      </c>
      <c r="I557" t="b">
        <v>1</v>
      </c>
      <c r="J557" t="b">
        <v>1</v>
      </c>
      <c r="K557" t="b">
        <v>1</v>
      </c>
      <c r="L557" t="b">
        <v>1</v>
      </c>
      <c r="M557" t="b">
        <v>1</v>
      </c>
      <c r="N557" s="3" t="b">
        <f t="shared" si="24"/>
        <v>1</v>
      </c>
      <c r="O557" s="3" t="b">
        <f t="shared" si="25"/>
        <v>0</v>
      </c>
      <c r="P557" s="3" t="b">
        <f t="shared" si="26"/>
        <v>0</v>
      </c>
      <c r="Q557" s="3" t="b">
        <f t="shared" si="27"/>
        <v>0</v>
      </c>
      <c r="R557" s="3" t="b">
        <f t="shared" si="28"/>
        <v>0</v>
      </c>
      <c r="S557" s="3" t="b">
        <f t="shared" si="29"/>
        <v>0</v>
      </c>
      <c r="U557" t="s">
        <v>146</v>
      </c>
      <c r="V557" t="b">
        <v>1</v>
      </c>
      <c r="W557" t="b">
        <v>1</v>
      </c>
      <c r="X557" t="b">
        <v>1</v>
      </c>
      <c r="Y557" t="b">
        <v>1</v>
      </c>
      <c r="Z557" t="b">
        <v>1</v>
      </c>
      <c r="AA557" s="3"/>
      <c r="AB557" s="3"/>
      <c r="AC557" s="3"/>
      <c r="AD557" s="3"/>
      <c r="AF557" t="s">
        <v>146</v>
      </c>
      <c r="AG557" t="b">
        <v>1</v>
      </c>
      <c r="AH557" t="b">
        <v>1</v>
      </c>
      <c r="AI557" t="b">
        <v>1</v>
      </c>
      <c r="AJ557" t="b">
        <v>1</v>
      </c>
      <c r="AK557" t="b">
        <v>1</v>
      </c>
      <c r="AL557" s="3"/>
      <c r="AM557" s="3"/>
      <c r="AN557" s="3"/>
      <c r="AO557" s="3"/>
      <c r="AQ557" s="4" t="s">
        <v>147</v>
      </c>
      <c r="AR557" s="4" t="b">
        <v>1</v>
      </c>
      <c r="AS557" s="4" t="b">
        <v>1</v>
      </c>
      <c r="AT557" s="4" t="b">
        <v>1</v>
      </c>
      <c r="AU557" s="4" t="b">
        <v>1</v>
      </c>
      <c r="AV557" s="4" t="b">
        <v>1</v>
      </c>
      <c r="AW557" s="3" t="b">
        <f t="shared" si="30"/>
        <v>1</v>
      </c>
      <c r="AX557" s="3" t="b">
        <f t="shared" si="31"/>
        <v>0</v>
      </c>
      <c r="AY557" s="3" t="b">
        <f t="shared" si="32"/>
        <v>0</v>
      </c>
      <c r="AZ557" s="3" t="b">
        <f t="shared" si="33"/>
        <v>0</v>
      </c>
      <c r="BA557" s="3" t="b">
        <f t="shared" si="34"/>
        <v>0</v>
      </c>
      <c r="BB557" s="3" t="b">
        <f t="shared" si="35"/>
        <v>0</v>
      </c>
      <c r="BD557" s="4" t="s">
        <v>147</v>
      </c>
      <c r="BE557" s="4" t="b">
        <v>1</v>
      </c>
      <c r="BF557" s="4" t="b">
        <v>1</v>
      </c>
      <c r="BG557" s="4" t="b">
        <v>1</v>
      </c>
      <c r="BH557" s="4" t="b">
        <v>1</v>
      </c>
      <c r="BI557" s="4" t="b">
        <v>1</v>
      </c>
      <c r="BO557" s="4" t="s">
        <v>147</v>
      </c>
      <c r="BP557" s="4" t="b">
        <v>1</v>
      </c>
      <c r="BQ557" s="4" t="b">
        <v>1</v>
      </c>
      <c r="BR557" s="4" t="b">
        <v>1</v>
      </c>
      <c r="BS557" s="4" t="b">
        <v>1</v>
      </c>
      <c r="BT557" s="4" t="b">
        <v>1</v>
      </c>
    </row>
    <row r="558" spans="1:72" x14ac:dyDescent="0.35">
      <c r="C558" t="s">
        <v>148</v>
      </c>
      <c r="G558" t="s">
        <v>3555</v>
      </c>
      <c r="H558" t="s">
        <v>427</v>
      </c>
      <c r="I558" t="b">
        <v>1</v>
      </c>
      <c r="J558" t="b">
        <v>1</v>
      </c>
      <c r="K558" t="b">
        <v>1</v>
      </c>
      <c r="L558" t="b">
        <v>1</v>
      </c>
      <c r="M558" t="b">
        <v>1</v>
      </c>
      <c r="N558" s="3" t="b">
        <f t="shared" si="24"/>
        <v>1</v>
      </c>
      <c r="O558" s="3" t="b">
        <f t="shared" si="25"/>
        <v>0</v>
      </c>
      <c r="P558" s="3" t="b">
        <f t="shared" si="26"/>
        <v>0</v>
      </c>
      <c r="Q558" s="3" t="b">
        <f t="shared" si="27"/>
        <v>0</v>
      </c>
      <c r="R558" s="3" t="b">
        <f t="shared" si="28"/>
        <v>0</v>
      </c>
      <c r="S558" s="3" t="b">
        <f t="shared" si="29"/>
        <v>0</v>
      </c>
      <c r="V558" t="b">
        <v>1</v>
      </c>
      <c r="W558" t="b">
        <v>0</v>
      </c>
      <c r="X558" t="b">
        <v>0</v>
      </c>
      <c r="Y558" t="b">
        <v>0</v>
      </c>
      <c r="Z558" t="b">
        <v>0</v>
      </c>
      <c r="AA558" s="3"/>
      <c r="AB558" s="3"/>
      <c r="AC558" s="3"/>
      <c r="AD558" s="3"/>
      <c r="AG558" t="b">
        <v>1</v>
      </c>
      <c r="AH558" t="b">
        <v>0</v>
      </c>
      <c r="AI558" t="b">
        <v>0</v>
      </c>
      <c r="AJ558" t="b">
        <v>0</v>
      </c>
      <c r="AK558" t="b">
        <v>0</v>
      </c>
      <c r="AL558" s="3"/>
      <c r="AM558" s="3"/>
      <c r="AN558" s="3"/>
      <c r="AO558" s="3"/>
      <c r="AQ558" s="4" t="s">
        <v>389</v>
      </c>
      <c r="AR558" s="4" t="b">
        <v>1</v>
      </c>
      <c r="AS558" s="4" t="b">
        <v>1</v>
      </c>
      <c r="AT558" s="4" t="b">
        <v>1</v>
      </c>
      <c r="AU558" s="4" t="b">
        <v>1</v>
      </c>
      <c r="AV558" s="4" t="b">
        <v>1</v>
      </c>
      <c r="AW558" s="3" t="b">
        <f t="shared" si="30"/>
        <v>1</v>
      </c>
      <c r="AX558" s="3" t="b">
        <f t="shared" si="31"/>
        <v>0</v>
      </c>
      <c r="AY558" s="3" t="b">
        <f t="shared" si="32"/>
        <v>0</v>
      </c>
      <c r="AZ558" s="3" t="b">
        <f t="shared" si="33"/>
        <v>0</v>
      </c>
      <c r="BA558" s="3" t="b">
        <f t="shared" si="34"/>
        <v>0</v>
      </c>
      <c r="BB558" s="3" t="b">
        <f t="shared" si="35"/>
        <v>0</v>
      </c>
      <c r="BD558" s="4" t="s">
        <v>389</v>
      </c>
      <c r="BE558" s="4" t="b">
        <v>1</v>
      </c>
      <c r="BF558" s="4" t="b">
        <v>1</v>
      </c>
      <c r="BG558" s="4" t="b">
        <v>1</v>
      </c>
      <c r="BH558" s="4" t="b">
        <v>1</v>
      </c>
      <c r="BI558" s="4" t="b">
        <v>1</v>
      </c>
      <c r="BO558" s="4" t="s">
        <v>389</v>
      </c>
      <c r="BP558" s="4" t="b">
        <v>1</v>
      </c>
      <c r="BQ558" s="4" t="b">
        <v>1</v>
      </c>
      <c r="BR558" s="4" t="b">
        <v>1</v>
      </c>
      <c r="BS558" s="4" t="b">
        <v>1</v>
      </c>
      <c r="BT558" s="4" t="b">
        <v>1</v>
      </c>
    </row>
    <row r="559" spans="1:72" x14ac:dyDescent="0.35">
      <c r="C559" t="s">
        <v>155</v>
      </c>
      <c r="G559" t="s">
        <v>3931</v>
      </c>
      <c r="H559" t="s">
        <v>1559</v>
      </c>
      <c r="I559" t="b">
        <v>1</v>
      </c>
      <c r="J559" t="b">
        <v>1</v>
      </c>
      <c r="K559" t="b">
        <v>0</v>
      </c>
      <c r="L559" t="b">
        <v>1</v>
      </c>
      <c r="M559" t="b">
        <v>1</v>
      </c>
      <c r="N559" s="3" t="b">
        <f t="shared" si="24"/>
        <v>0</v>
      </c>
      <c r="O559" s="3" t="b">
        <f t="shared" si="25"/>
        <v>0</v>
      </c>
      <c r="P559" s="3" t="b">
        <f t="shared" si="26"/>
        <v>0</v>
      </c>
      <c r="Q559" s="3" t="b">
        <f t="shared" si="27"/>
        <v>1</v>
      </c>
      <c r="R559" s="3" t="b">
        <f t="shared" si="28"/>
        <v>0</v>
      </c>
      <c r="S559" s="3" t="b">
        <f t="shared" si="29"/>
        <v>1</v>
      </c>
      <c r="U559" t="s">
        <v>1443</v>
      </c>
      <c r="V559" t="b">
        <v>1</v>
      </c>
      <c r="W559" t="b">
        <v>1</v>
      </c>
      <c r="X559" t="b">
        <v>0</v>
      </c>
      <c r="Y559" t="b">
        <v>1</v>
      </c>
      <c r="Z559" t="b">
        <v>1</v>
      </c>
      <c r="AA559" s="3"/>
      <c r="AB559" s="3"/>
      <c r="AC559" s="3"/>
      <c r="AD559" s="3"/>
      <c r="AF559" t="s">
        <v>1559</v>
      </c>
      <c r="AG559" t="b">
        <v>1</v>
      </c>
      <c r="AH559" t="b">
        <v>1</v>
      </c>
      <c r="AI559" t="b">
        <v>0</v>
      </c>
      <c r="AJ559" t="b">
        <v>1</v>
      </c>
      <c r="AK559" t="b">
        <v>1</v>
      </c>
      <c r="AL559" s="3"/>
      <c r="AM559" s="3"/>
      <c r="AN559" s="3"/>
      <c r="AO559" s="3"/>
      <c r="AQ559" s="4" t="s">
        <v>1560</v>
      </c>
      <c r="AR559" s="4" t="b">
        <v>1</v>
      </c>
      <c r="AS559" s="4" t="b">
        <v>1</v>
      </c>
      <c r="AT559" s="4" t="b">
        <v>0</v>
      </c>
      <c r="AU559" s="4" t="b">
        <v>0</v>
      </c>
      <c r="AV559" s="4" t="b">
        <v>1</v>
      </c>
      <c r="AW559" s="3" t="b">
        <f t="shared" si="30"/>
        <v>0</v>
      </c>
      <c r="AX559" s="3" t="b">
        <f t="shared" si="31"/>
        <v>0</v>
      </c>
      <c r="AY559" s="3" t="b">
        <f t="shared" si="32"/>
        <v>0</v>
      </c>
      <c r="AZ559" s="3" t="b">
        <f t="shared" si="33"/>
        <v>1</v>
      </c>
      <c r="BA559" s="3" t="b">
        <f t="shared" si="34"/>
        <v>0</v>
      </c>
      <c r="BB559" s="3" t="b">
        <f t="shared" si="35"/>
        <v>1</v>
      </c>
      <c r="BD559" s="4" t="s">
        <v>161</v>
      </c>
      <c r="BE559" s="4" t="b">
        <v>1</v>
      </c>
      <c r="BF559" s="4" t="b">
        <v>1</v>
      </c>
      <c r="BG559" s="4" t="b">
        <v>0</v>
      </c>
      <c r="BH559" s="4" t="b">
        <v>0</v>
      </c>
      <c r="BI559" s="4" t="b">
        <v>1</v>
      </c>
      <c r="BO559" s="4" t="s">
        <v>1560</v>
      </c>
      <c r="BP559" s="4" t="b">
        <v>1</v>
      </c>
      <c r="BQ559" s="4" t="b">
        <v>1</v>
      </c>
      <c r="BR559" s="4" t="b">
        <v>0</v>
      </c>
      <c r="BS559" s="4" t="b">
        <v>0</v>
      </c>
      <c r="BT559" s="4" t="b">
        <v>1</v>
      </c>
    </row>
    <row r="560" spans="1:72" x14ac:dyDescent="0.35">
      <c r="B560" t="s">
        <v>188</v>
      </c>
      <c r="H560" s="3"/>
      <c r="I560" s="3"/>
      <c r="J560" s="3"/>
      <c r="K560" s="3"/>
      <c r="L560" s="3"/>
      <c r="M560" s="3"/>
      <c r="N560" s="3">
        <f t="shared" si="24"/>
        <v>0</v>
      </c>
      <c r="O560" s="3">
        <f t="shared" si="25"/>
        <v>0</v>
      </c>
      <c r="P560" s="3">
        <f t="shared" si="26"/>
        <v>0</v>
      </c>
      <c r="Q560" s="3">
        <f t="shared" si="27"/>
        <v>0</v>
      </c>
      <c r="R560" s="3">
        <f t="shared" si="28"/>
        <v>0</v>
      </c>
      <c r="S560" s="3">
        <f t="shared" si="29"/>
        <v>0</v>
      </c>
      <c r="U560" s="3"/>
      <c r="V560" s="3"/>
      <c r="W560" s="3"/>
      <c r="X560" s="3"/>
      <c r="Y560" s="3"/>
      <c r="Z560" s="3"/>
      <c r="AA560" s="3"/>
      <c r="AB560" s="3"/>
      <c r="AC560" s="3"/>
      <c r="AD560" s="3"/>
      <c r="AF560" s="3"/>
      <c r="AG560" s="3"/>
      <c r="AH560" s="3"/>
      <c r="AI560" s="3"/>
      <c r="AJ560" s="3"/>
      <c r="AK560" s="3"/>
      <c r="AL560" s="3"/>
      <c r="AM560" s="3"/>
      <c r="AN560" s="3"/>
      <c r="AO560" s="3"/>
      <c r="AW560" s="3">
        <f t="shared" si="30"/>
        <v>0</v>
      </c>
      <c r="AX560" s="3">
        <f t="shared" si="31"/>
        <v>0</v>
      </c>
      <c r="AY560" s="3">
        <f t="shared" si="32"/>
        <v>0</v>
      </c>
      <c r="AZ560" s="3">
        <f t="shared" si="33"/>
        <v>0</v>
      </c>
      <c r="BA560" s="3">
        <f t="shared" si="34"/>
        <v>0</v>
      </c>
      <c r="BB560" s="3">
        <f t="shared" si="35"/>
        <v>0</v>
      </c>
    </row>
    <row r="561" spans="1:72" x14ac:dyDescent="0.35">
      <c r="N561" s="3">
        <f t="shared" si="24"/>
        <v>0</v>
      </c>
      <c r="O561" s="3">
        <f t="shared" si="25"/>
        <v>0</v>
      </c>
      <c r="P561" s="3">
        <f t="shared" si="26"/>
        <v>0</v>
      </c>
      <c r="Q561" s="3">
        <f t="shared" si="27"/>
        <v>0</v>
      </c>
      <c r="R561" s="3">
        <f t="shared" si="28"/>
        <v>0</v>
      </c>
      <c r="S561" s="3">
        <f t="shared" si="29"/>
        <v>0</v>
      </c>
      <c r="AA561" s="3"/>
      <c r="AB561" s="3"/>
      <c r="AC561" s="3"/>
      <c r="AD561" s="3"/>
      <c r="AL561" s="3"/>
      <c r="AM561" s="3"/>
      <c r="AN561" s="3"/>
      <c r="AO561" s="3"/>
      <c r="AW561" s="3">
        <f t="shared" si="30"/>
        <v>0</v>
      </c>
      <c r="AX561" s="3">
        <f t="shared" si="31"/>
        <v>0</v>
      </c>
      <c r="AY561" s="3">
        <f t="shared" si="32"/>
        <v>0</v>
      </c>
      <c r="AZ561" s="3">
        <f t="shared" si="33"/>
        <v>0</v>
      </c>
      <c r="BA561" s="3">
        <f t="shared" si="34"/>
        <v>0</v>
      </c>
      <c r="BB561" s="3">
        <f t="shared" si="35"/>
        <v>0</v>
      </c>
    </row>
    <row r="562" spans="1:72" x14ac:dyDescent="0.35">
      <c r="A562" s="3" t="s">
        <v>1561</v>
      </c>
      <c r="B562" s="3" t="s">
        <v>1497</v>
      </c>
      <c r="C562" s="3" t="s">
        <v>1498</v>
      </c>
      <c r="D562" s="3" t="s">
        <v>1499</v>
      </c>
      <c r="E562" s="3" t="s">
        <v>1500</v>
      </c>
      <c r="G562" s="3" t="s">
        <v>3932</v>
      </c>
      <c r="H562" s="3" t="s">
        <v>1502</v>
      </c>
      <c r="I562" s="3" t="b">
        <v>1</v>
      </c>
      <c r="J562" s="3" t="b">
        <v>1</v>
      </c>
      <c r="K562" s="3" t="b">
        <v>1</v>
      </c>
      <c r="L562" s="3" t="b">
        <v>1</v>
      </c>
      <c r="M562" s="3" t="b">
        <v>1</v>
      </c>
      <c r="N562" s="3" t="b">
        <f t="shared" si="24"/>
        <v>1</v>
      </c>
      <c r="O562" s="3" t="b">
        <f t="shared" si="25"/>
        <v>0</v>
      </c>
      <c r="P562" s="3" t="b">
        <f t="shared" si="26"/>
        <v>0</v>
      </c>
      <c r="Q562" s="3" t="b">
        <f t="shared" si="27"/>
        <v>0</v>
      </c>
      <c r="R562" s="3" t="b">
        <f t="shared" si="28"/>
        <v>0</v>
      </c>
      <c r="S562" s="3" t="b">
        <f t="shared" si="29"/>
        <v>0</v>
      </c>
      <c r="U562" s="3" t="s">
        <v>1502</v>
      </c>
      <c r="V562" s="3" t="b">
        <v>1</v>
      </c>
      <c r="W562" s="3" t="b">
        <v>1</v>
      </c>
      <c r="X562" s="3" t="b">
        <v>1</v>
      </c>
      <c r="Y562" s="3" t="b">
        <v>1</v>
      </c>
      <c r="Z562" s="3" t="b">
        <v>1</v>
      </c>
      <c r="AA562" s="3"/>
      <c r="AB562" s="3"/>
      <c r="AC562" s="3"/>
      <c r="AD562" s="3"/>
      <c r="AF562" s="4" t="s">
        <v>1502</v>
      </c>
      <c r="AG562" s="4" t="b">
        <v>1</v>
      </c>
      <c r="AH562" s="4" t="b">
        <v>1</v>
      </c>
      <c r="AI562" s="4" t="b">
        <v>1</v>
      </c>
      <c r="AJ562" s="4" t="b">
        <v>1</v>
      </c>
      <c r="AK562" s="4" t="b">
        <v>1</v>
      </c>
      <c r="AL562" s="3"/>
      <c r="AM562" s="3"/>
      <c r="AN562" s="3"/>
      <c r="AO562" s="3"/>
      <c r="AQ562" s="4" t="s">
        <v>1502</v>
      </c>
      <c r="AR562" s="4" t="b">
        <v>1</v>
      </c>
      <c r="AS562" s="4" t="b">
        <v>1</v>
      </c>
      <c r="AT562" s="4" t="b">
        <v>1</v>
      </c>
      <c r="AU562" s="4" t="b">
        <v>1</v>
      </c>
      <c r="AV562" s="4" t="b">
        <v>1</v>
      </c>
      <c r="AW562" s="3" t="b">
        <f t="shared" si="30"/>
        <v>1</v>
      </c>
      <c r="AX562" s="3" t="b">
        <f t="shared" si="31"/>
        <v>0</v>
      </c>
      <c r="AY562" s="3" t="b">
        <f t="shared" si="32"/>
        <v>0</v>
      </c>
      <c r="AZ562" s="3" t="b">
        <f t="shared" si="33"/>
        <v>0</v>
      </c>
      <c r="BA562" s="3" t="b">
        <f t="shared" si="34"/>
        <v>0</v>
      </c>
      <c r="BB562" s="3" t="b">
        <f t="shared" si="35"/>
        <v>0</v>
      </c>
      <c r="BD562" s="4" t="s">
        <v>1502</v>
      </c>
      <c r="BE562" s="4" t="b">
        <v>1</v>
      </c>
      <c r="BF562" s="4" t="b">
        <v>1</v>
      </c>
      <c r="BG562" s="4" t="b">
        <v>1</v>
      </c>
      <c r="BH562" s="4" t="b">
        <v>1</v>
      </c>
      <c r="BI562" s="4" t="b">
        <v>1</v>
      </c>
      <c r="BO562" s="4" t="s">
        <v>1502</v>
      </c>
      <c r="BP562" s="4" t="b">
        <v>1</v>
      </c>
      <c r="BQ562" s="4" t="b">
        <v>1</v>
      </c>
      <c r="BR562" s="4" t="b">
        <v>1</v>
      </c>
      <c r="BS562" s="4" t="b">
        <v>1</v>
      </c>
      <c r="BT562" s="4" t="b">
        <v>1</v>
      </c>
    </row>
    <row r="563" spans="1:72" x14ac:dyDescent="0.35">
      <c r="A563" s="3"/>
      <c r="B563" s="3"/>
      <c r="C563" s="3" t="s">
        <v>1504</v>
      </c>
      <c r="D563" s="3"/>
      <c r="E563" s="3"/>
      <c r="G563" s="3" t="s">
        <v>3933</v>
      </c>
      <c r="H563" s="3" t="s">
        <v>1505</v>
      </c>
      <c r="I563" s="3" t="b">
        <v>1</v>
      </c>
      <c r="J563" s="3" t="b">
        <v>1</v>
      </c>
      <c r="K563" s="3" t="b">
        <v>1</v>
      </c>
      <c r="L563" s="3" t="b">
        <v>1</v>
      </c>
      <c r="M563" s="3" t="b">
        <v>1</v>
      </c>
      <c r="N563" s="3" t="b">
        <f t="shared" si="24"/>
        <v>1</v>
      </c>
      <c r="O563" s="3" t="b">
        <f t="shared" si="25"/>
        <v>0</v>
      </c>
      <c r="P563" s="3" t="b">
        <f t="shared" si="26"/>
        <v>0</v>
      </c>
      <c r="Q563" s="3" t="b">
        <f t="shared" si="27"/>
        <v>0</v>
      </c>
      <c r="R563" s="3" t="b">
        <f t="shared" si="28"/>
        <v>0</v>
      </c>
      <c r="S563" s="3" t="b">
        <f t="shared" si="29"/>
        <v>0</v>
      </c>
      <c r="U563" s="3" t="s">
        <v>1505</v>
      </c>
      <c r="V563" s="3" t="b">
        <v>1</v>
      </c>
      <c r="W563" s="3" t="b">
        <v>1</v>
      </c>
      <c r="X563" s="3" t="b">
        <v>1</v>
      </c>
      <c r="Y563" s="3" t="b">
        <v>1</v>
      </c>
      <c r="Z563" s="3" t="b">
        <v>1</v>
      </c>
      <c r="AA563" s="3"/>
      <c r="AB563" s="3"/>
      <c r="AC563" s="3"/>
      <c r="AD563" s="3"/>
      <c r="AF563" s="3" t="s">
        <v>1505</v>
      </c>
      <c r="AG563" s="3" t="b">
        <v>1</v>
      </c>
      <c r="AH563" s="3" t="b">
        <v>1</v>
      </c>
      <c r="AI563" s="3" t="b">
        <v>1</v>
      </c>
      <c r="AJ563" s="3" t="b">
        <v>1</v>
      </c>
      <c r="AK563" s="3" t="b">
        <v>1</v>
      </c>
      <c r="AL563" s="3"/>
      <c r="AM563" s="3"/>
      <c r="AN563" s="3"/>
      <c r="AO563" s="3"/>
      <c r="AQ563" s="4" t="s">
        <v>1505</v>
      </c>
      <c r="AR563" s="4" t="b">
        <v>1</v>
      </c>
      <c r="AS563" s="4" t="b">
        <v>1</v>
      </c>
      <c r="AT563" s="4" t="b">
        <v>1</v>
      </c>
      <c r="AU563" s="4" t="b">
        <v>1</v>
      </c>
      <c r="AV563" s="4" t="b">
        <v>1</v>
      </c>
      <c r="AW563" s="3" t="b">
        <f t="shared" si="30"/>
        <v>1</v>
      </c>
      <c r="AX563" s="3" t="b">
        <f t="shared" si="31"/>
        <v>0</v>
      </c>
      <c r="AY563" s="3" t="b">
        <f t="shared" si="32"/>
        <v>0</v>
      </c>
      <c r="AZ563" s="3" t="b">
        <f t="shared" si="33"/>
        <v>0</v>
      </c>
      <c r="BA563" s="3" t="b">
        <f t="shared" si="34"/>
        <v>0</v>
      </c>
      <c r="BB563" s="3" t="b">
        <f t="shared" si="35"/>
        <v>0</v>
      </c>
      <c r="BD563" s="4" t="s">
        <v>1505</v>
      </c>
      <c r="BE563" s="4" t="b">
        <v>1</v>
      </c>
      <c r="BF563" s="4" t="b">
        <v>1</v>
      </c>
      <c r="BG563" s="4" t="b">
        <v>1</v>
      </c>
      <c r="BH563" s="4" t="b">
        <v>1</v>
      </c>
      <c r="BI563" s="4" t="b">
        <v>1</v>
      </c>
      <c r="BO563" s="4" t="s">
        <v>1505</v>
      </c>
      <c r="BP563" s="4" t="b">
        <v>1</v>
      </c>
      <c r="BQ563" s="4" t="b">
        <v>1</v>
      </c>
      <c r="BR563" s="4" t="b">
        <v>1</v>
      </c>
      <c r="BS563" s="4" t="b">
        <v>1</v>
      </c>
      <c r="BT563" s="4" t="b">
        <v>1</v>
      </c>
    </row>
    <row r="564" spans="1:72" x14ac:dyDescent="0.35">
      <c r="A564" s="3"/>
      <c r="B564" s="3"/>
      <c r="C564" s="3" t="s">
        <v>1507</v>
      </c>
      <c r="D564" s="3"/>
      <c r="E564" s="3"/>
      <c r="G564" s="3" t="s">
        <v>3934</v>
      </c>
      <c r="H564" s="3"/>
      <c r="I564" s="3" t="b">
        <v>1</v>
      </c>
      <c r="J564" s="3" t="b">
        <v>0</v>
      </c>
      <c r="K564" s="3" t="b">
        <v>0</v>
      </c>
      <c r="L564" s="3" t="b">
        <v>0</v>
      </c>
      <c r="M564" s="3" t="b">
        <v>0</v>
      </c>
      <c r="N564" s="3" t="b">
        <f t="shared" si="24"/>
        <v>0</v>
      </c>
      <c r="O564" s="3" t="b">
        <f t="shared" si="25"/>
        <v>0</v>
      </c>
      <c r="P564" s="3" t="b">
        <f t="shared" si="26"/>
        <v>1</v>
      </c>
      <c r="Q564" s="3" t="b">
        <f t="shared" si="27"/>
        <v>0</v>
      </c>
      <c r="R564" s="3" t="b">
        <f t="shared" si="28"/>
        <v>0</v>
      </c>
      <c r="S564" s="3" t="b">
        <f t="shared" si="29"/>
        <v>0</v>
      </c>
      <c r="U564" s="3" t="s">
        <v>1564</v>
      </c>
      <c r="V564" s="3" t="b">
        <v>1</v>
      </c>
      <c r="W564" s="3" t="b">
        <v>0</v>
      </c>
      <c r="X564" s="3" t="b">
        <v>0</v>
      </c>
      <c r="Y564" s="3" t="b">
        <v>1</v>
      </c>
      <c r="Z564" s="3" t="b">
        <v>0</v>
      </c>
      <c r="AA564" s="3"/>
      <c r="AB564" s="3"/>
      <c r="AC564" s="3"/>
      <c r="AD564" s="3"/>
      <c r="AF564" s="3" t="s">
        <v>1565</v>
      </c>
      <c r="AG564" s="3" t="b">
        <v>1</v>
      </c>
      <c r="AH564" s="3" t="b">
        <v>1</v>
      </c>
      <c r="AI564" s="3" t="b">
        <v>1</v>
      </c>
      <c r="AJ564" s="3" t="b">
        <v>1</v>
      </c>
      <c r="AK564" s="3" t="b">
        <v>0</v>
      </c>
      <c r="AL564" s="3"/>
      <c r="AM564" s="3"/>
      <c r="AN564" s="3"/>
      <c r="AO564" s="3"/>
      <c r="AQ564" s="4" t="s">
        <v>1566</v>
      </c>
      <c r="AR564" s="4" t="b">
        <v>1</v>
      </c>
      <c r="AS564" s="4" t="b">
        <v>0</v>
      </c>
      <c r="AT564" s="4" t="b">
        <v>0</v>
      </c>
      <c r="AU564" s="4" t="b">
        <v>1</v>
      </c>
      <c r="AV564" s="4" t="b">
        <v>0</v>
      </c>
      <c r="AW564" s="3" t="b">
        <f t="shared" si="30"/>
        <v>0</v>
      </c>
      <c r="AX564" s="3" t="b">
        <f t="shared" si="31"/>
        <v>0</v>
      </c>
      <c r="AY564" s="3" t="b">
        <f t="shared" si="32"/>
        <v>1</v>
      </c>
      <c r="AZ564" s="3" t="b">
        <f t="shared" si="33"/>
        <v>0</v>
      </c>
      <c r="BA564" s="3" t="b">
        <f t="shared" si="34"/>
        <v>0</v>
      </c>
      <c r="BB564" s="3" t="b">
        <f t="shared" si="35"/>
        <v>0</v>
      </c>
      <c r="BD564" s="4" t="s">
        <v>1566</v>
      </c>
      <c r="BE564" s="4" t="b">
        <v>1</v>
      </c>
      <c r="BF564" s="4" t="b">
        <v>0</v>
      </c>
      <c r="BG564" s="4" t="b">
        <v>0</v>
      </c>
      <c r="BH564" s="4" t="b">
        <v>1</v>
      </c>
      <c r="BI564" s="4" t="b">
        <v>0</v>
      </c>
      <c r="BO564" s="4" t="s">
        <v>1567</v>
      </c>
      <c r="BP564" s="4" t="b">
        <v>1</v>
      </c>
      <c r="BQ564" s="4" t="b">
        <v>0</v>
      </c>
      <c r="BR564" s="4" t="b">
        <v>0</v>
      </c>
      <c r="BS564" s="4" t="b">
        <v>1</v>
      </c>
      <c r="BT564" s="4" t="b">
        <v>0</v>
      </c>
    </row>
    <row r="565" spans="1:72" x14ac:dyDescent="0.35">
      <c r="A565" s="3"/>
      <c r="B565" s="3" t="s">
        <v>1568</v>
      </c>
      <c r="C565" s="3" t="s">
        <v>1569</v>
      </c>
      <c r="D565" s="3"/>
      <c r="E565" s="3"/>
      <c r="G565" s="3" t="s">
        <v>3935</v>
      </c>
      <c r="H565" s="3" t="s">
        <v>1571</v>
      </c>
      <c r="I565" s="3" t="b">
        <v>1</v>
      </c>
      <c r="J565" s="3" t="b">
        <v>1</v>
      </c>
      <c r="K565" s="3" t="b">
        <v>1</v>
      </c>
      <c r="L565" s="3" t="b">
        <v>1</v>
      </c>
      <c r="M565" s="3" t="b">
        <v>1</v>
      </c>
      <c r="N565" s="3" t="b">
        <f t="shared" si="24"/>
        <v>1</v>
      </c>
      <c r="O565" s="3" t="b">
        <f t="shared" si="25"/>
        <v>0</v>
      </c>
      <c r="P565" s="3" t="b">
        <f t="shared" si="26"/>
        <v>0</v>
      </c>
      <c r="Q565" s="3" t="b">
        <f t="shared" si="27"/>
        <v>0</v>
      </c>
      <c r="R565" s="3" t="b">
        <f t="shared" si="28"/>
        <v>0</v>
      </c>
      <c r="S565" s="3" t="b">
        <f t="shared" si="29"/>
        <v>0</v>
      </c>
      <c r="U565" s="3" t="s">
        <v>1571</v>
      </c>
      <c r="V565" s="3" t="b">
        <v>1</v>
      </c>
      <c r="W565" s="3" t="b">
        <v>1</v>
      </c>
      <c r="X565" s="3" t="b">
        <v>1</v>
      </c>
      <c r="Y565" s="3" t="b">
        <v>1</v>
      </c>
      <c r="Z565" s="3" t="b">
        <v>1</v>
      </c>
      <c r="AA565" s="3"/>
      <c r="AB565" s="3"/>
      <c r="AC565" s="3"/>
      <c r="AD565" s="3"/>
      <c r="AF565" s="3" t="s">
        <v>1571</v>
      </c>
      <c r="AG565" s="3" t="b">
        <v>1</v>
      </c>
      <c r="AH565" s="3" t="b">
        <v>1</v>
      </c>
      <c r="AI565" s="3" t="b">
        <v>1</v>
      </c>
      <c r="AJ565" s="3" t="b">
        <v>1</v>
      </c>
      <c r="AK565" s="3" t="b">
        <v>1</v>
      </c>
      <c r="AL565" s="3"/>
      <c r="AM565" s="3"/>
      <c r="AN565" s="3"/>
      <c r="AO565" s="3"/>
      <c r="AQ565" s="4" t="s">
        <v>1572</v>
      </c>
      <c r="AR565" s="4" t="b">
        <v>1</v>
      </c>
      <c r="AS565" s="4" t="b">
        <v>0</v>
      </c>
      <c r="AT565" s="4" t="b">
        <v>0</v>
      </c>
      <c r="AU565" s="4" t="b">
        <v>1</v>
      </c>
      <c r="AV565" s="4" t="b">
        <v>0</v>
      </c>
      <c r="AW565" s="3" t="b">
        <f t="shared" si="30"/>
        <v>0</v>
      </c>
      <c r="AX565" s="3" t="b">
        <f t="shared" si="31"/>
        <v>0</v>
      </c>
      <c r="AY565" s="3" t="b">
        <f t="shared" si="32"/>
        <v>1</v>
      </c>
      <c r="AZ565" s="3" t="b">
        <f t="shared" si="33"/>
        <v>0</v>
      </c>
      <c r="BA565" s="3" t="b">
        <f t="shared" si="34"/>
        <v>0</v>
      </c>
      <c r="BB565" s="3" t="b">
        <f t="shared" si="35"/>
        <v>0</v>
      </c>
      <c r="BD565" s="4" t="s">
        <v>1572</v>
      </c>
      <c r="BE565" s="4" t="b">
        <v>1</v>
      </c>
      <c r="BF565" s="4" t="b">
        <v>0</v>
      </c>
      <c r="BG565" s="4" t="b">
        <v>0</v>
      </c>
      <c r="BH565" s="4" t="b">
        <v>1</v>
      </c>
      <c r="BI565" s="4" t="b">
        <v>0</v>
      </c>
      <c r="BO565" s="4" t="s">
        <v>1573</v>
      </c>
      <c r="BP565" s="4" t="b">
        <v>1</v>
      </c>
      <c r="BQ565" s="4" t="b">
        <v>0</v>
      </c>
      <c r="BR565" s="4" t="b">
        <v>0</v>
      </c>
      <c r="BS565" s="4" t="b">
        <v>1</v>
      </c>
      <c r="BT565" s="4" t="b">
        <v>0</v>
      </c>
    </row>
    <row r="566" spans="1:72" x14ac:dyDescent="0.35">
      <c r="A566" s="3"/>
      <c r="B566" s="3"/>
      <c r="C566" s="3" t="s">
        <v>1574</v>
      </c>
      <c r="D566" s="3"/>
      <c r="E566" s="3"/>
      <c r="G566" s="3" t="s">
        <v>3936</v>
      </c>
      <c r="H566" s="3"/>
      <c r="I566" s="3" t="b">
        <v>1</v>
      </c>
      <c r="J566" s="3" t="b">
        <v>0</v>
      </c>
      <c r="K566" s="3" t="b">
        <v>0</v>
      </c>
      <c r="L566" s="3" t="b">
        <v>0</v>
      </c>
      <c r="M566" s="3" t="b">
        <v>0</v>
      </c>
      <c r="N566" s="3" t="b">
        <f t="shared" si="24"/>
        <v>0</v>
      </c>
      <c r="O566" s="3" t="b">
        <f t="shared" si="25"/>
        <v>0</v>
      </c>
      <c r="P566" s="3" t="b">
        <f t="shared" si="26"/>
        <v>1</v>
      </c>
      <c r="Q566" s="3" t="b">
        <f t="shared" si="27"/>
        <v>0</v>
      </c>
      <c r="R566" s="3" t="b">
        <f t="shared" si="28"/>
        <v>0</v>
      </c>
      <c r="S566" s="3" t="b">
        <f t="shared" si="29"/>
        <v>0</v>
      </c>
      <c r="U566" s="3" t="s">
        <v>1576</v>
      </c>
      <c r="V566" s="3" t="b">
        <v>1</v>
      </c>
      <c r="W566" s="3" t="b">
        <v>1</v>
      </c>
      <c r="X566" s="3" t="b">
        <v>1</v>
      </c>
      <c r="Y566" s="3" t="b">
        <v>1</v>
      </c>
      <c r="Z566" s="3" t="b">
        <v>1</v>
      </c>
      <c r="AA566" s="3"/>
      <c r="AB566" s="3"/>
      <c r="AC566" s="3"/>
      <c r="AD566" s="3"/>
      <c r="AF566" s="3"/>
      <c r="AG566" s="3" t="b">
        <v>1</v>
      </c>
      <c r="AH566" s="3" t="b">
        <v>0</v>
      </c>
      <c r="AI566" s="3" t="b">
        <v>0</v>
      </c>
      <c r="AJ566" s="3" t="b">
        <v>0</v>
      </c>
      <c r="AK566" s="3" t="b">
        <v>0</v>
      </c>
      <c r="AL566" s="3"/>
      <c r="AM566" s="3"/>
      <c r="AN566" s="3"/>
      <c r="AO566" s="3"/>
      <c r="AQ566" s="4" t="s">
        <v>1577</v>
      </c>
      <c r="AR566" s="4" t="b">
        <v>1</v>
      </c>
      <c r="AS566" s="4" t="b">
        <v>0</v>
      </c>
      <c r="AT566" s="4" t="b">
        <v>0</v>
      </c>
      <c r="AU566" s="4" t="b">
        <v>1</v>
      </c>
      <c r="AV566" s="4" t="b">
        <v>0</v>
      </c>
      <c r="AW566" s="3" t="b">
        <f t="shared" si="30"/>
        <v>0</v>
      </c>
      <c r="AX566" s="3" t="b">
        <f t="shared" si="31"/>
        <v>0</v>
      </c>
      <c r="AY566" s="3" t="b">
        <f t="shared" si="32"/>
        <v>1</v>
      </c>
      <c r="AZ566" s="3" t="b">
        <f t="shared" si="33"/>
        <v>0</v>
      </c>
      <c r="BA566" s="3" t="b">
        <f t="shared" si="34"/>
        <v>0</v>
      </c>
      <c r="BB566" s="3" t="b">
        <f t="shared" si="35"/>
        <v>0</v>
      </c>
      <c r="BD566" s="4" t="s">
        <v>1577</v>
      </c>
      <c r="BE566" s="4" t="b">
        <v>1</v>
      </c>
      <c r="BF566" s="4" t="b">
        <v>0</v>
      </c>
      <c r="BG566" s="4" t="b">
        <v>0</v>
      </c>
      <c r="BH566" s="4" t="b">
        <v>1</v>
      </c>
      <c r="BI566" s="4" t="b">
        <v>0</v>
      </c>
      <c r="BO566" s="4" t="s">
        <v>1577</v>
      </c>
      <c r="BP566" s="4" t="b">
        <v>1</v>
      </c>
      <c r="BQ566" s="4" t="b">
        <v>0</v>
      </c>
      <c r="BR566" s="4" t="b">
        <v>0</v>
      </c>
      <c r="BS566" s="4" t="b">
        <v>1</v>
      </c>
      <c r="BT566" s="4" t="b">
        <v>0</v>
      </c>
    </row>
    <row r="567" spans="1:72" x14ac:dyDescent="0.35">
      <c r="A567" s="3"/>
      <c r="B567" s="3"/>
      <c r="C567" s="3" t="s">
        <v>1578</v>
      </c>
      <c r="D567" s="3"/>
      <c r="E567" s="3"/>
      <c r="G567" s="3" t="s">
        <v>3937</v>
      </c>
      <c r="H567" s="3" t="s">
        <v>1580</v>
      </c>
      <c r="I567" s="3" t="b">
        <v>1</v>
      </c>
      <c r="J567" s="3" t="b">
        <v>1</v>
      </c>
      <c r="K567" s="3" t="b">
        <v>1</v>
      </c>
      <c r="L567" s="3" t="b">
        <v>1</v>
      </c>
      <c r="M567" s="3" t="b">
        <v>0</v>
      </c>
      <c r="N567" s="3" t="b">
        <f t="shared" si="24"/>
        <v>0</v>
      </c>
      <c r="O567" s="3" t="b">
        <f t="shared" si="25"/>
        <v>1</v>
      </c>
      <c r="P567" s="3" t="b">
        <f t="shared" si="26"/>
        <v>0</v>
      </c>
      <c r="Q567" s="3" t="b">
        <f t="shared" si="27"/>
        <v>0</v>
      </c>
      <c r="R567" s="3" t="b">
        <f t="shared" si="28"/>
        <v>1</v>
      </c>
      <c r="S567" s="3" t="b">
        <f t="shared" si="29"/>
        <v>0</v>
      </c>
      <c r="U567" s="3" t="s">
        <v>1581</v>
      </c>
      <c r="V567" s="3" t="b">
        <v>1</v>
      </c>
      <c r="W567" s="3" t="b">
        <v>1</v>
      </c>
      <c r="X567" s="3" t="b">
        <v>1</v>
      </c>
      <c r="Y567" s="3" t="b">
        <v>1</v>
      </c>
      <c r="Z567" s="3" t="b">
        <v>0</v>
      </c>
      <c r="AA567" s="3"/>
      <c r="AB567" s="3"/>
      <c r="AC567" s="3"/>
      <c r="AD567" s="3"/>
      <c r="AF567" s="3"/>
      <c r="AG567" s="3" t="b">
        <v>1</v>
      </c>
      <c r="AH567" s="3" t="b">
        <v>0</v>
      </c>
      <c r="AI567" s="3" t="b">
        <v>0</v>
      </c>
      <c r="AJ567" s="3" t="b">
        <v>0</v>
      </c>
      <c r="AK567" s="3" t="b">
        <v>0</v>
      </c>
      <c r="AL567" s="3"/>
      <c r="AM567" s="3"/>
      <c r="AN567" s="3"/>
      <c r="AO567" s="3"/>
      <c r="AQ567" s="4" t="s">
        <v>1582</v>
      </c>
      <c r="AR567" s="4" t="b">
        <v>1</v>
      </c>
      <c r="AS567" s="4" t="b">
        <v>0</v>
      </c>
      <c r="AT567" s="4" t="b">
        <v>0</v>
      </c>
      <c r="AU567" s="4" t="b">
        <v>0</v>
      </c>
      <c r="AV567" s="4" t="b">
        <v>0</v>
      </c>
      <c r="AW567" s="3" t="b">
        <f t="shared" si="30"/>
        <v>0</v>
      </c>
      <c r="AX567" s="3" t="b">
        <f t="shared" si="31"/>
        <v>0</v>
      </c>
      <c r="AY567" s="3" t="b">
        <f t="shared" si="32"/>
        <v>1</v>
      </c>
      <c r="AZ567" s="3" t="b">
        <f t="shared" si="33"/>
        <v>0</v>
      </c>
      <c r="BA567" s="3" t="b">
        <f t="shared" si="34"/>
        <v>0</v>
      </c>
      <c r="BB567" s="3" t="b">
        <f t="shared" si="35"/>
        <v>0</v>
      </c>
      <c r="BD567" s="4" t="s">
        <v>1583</v>
      </c>
      <c r="BE567" s="4" t="b">
        <v>1</v>
      </c>
      <c r="BF567" s="4" t="b">
        <v>1</v>
      </c>
      <c r="BG567" s="4" t="b">
        <v>1</v>
      </c>
      <c r="BH567" s="4" t="b">
        <v>1</v>
      </c>
      <c r="BI567" s="4" t="b">
        <v>0</v>
      </c>
      <c r="BO567" s="4" t="s">
        <v>1584</v>
      </c>
      <c r="BP567" s="4" t="b">
        <v>1</v>
      </c>
      <c r="BQ567" s="4" t="b">
        <v>0</v>
      </c>
      <c r="BR567" s="4" t="b">
        <v>0</v>
      </c>
      <c r="BS567" s="4" t="b">
        <v>1</v>
      </c>
      <c r="BT567" s="4" t="b">
        <v>0</v>
      </c>
    </row>
    <row r="568" spans="1:72" x14ac:dyDescent="0.35">
      <c r="A568" s="3"/>
      <c r="B568" s="3" t="s">
        <v>188</v>
      </c>
      <c r="C568" s="3"/>
      <c r="D568" s="3"/>
      <c r="E568" s="3"/>
      <c r="G568" s="3"/>
      <c r="H568" s="3"/>
      <c r="I568" s="3"/>
      <c r="J568" s="3"/>
      <c r="K568" s="3"/>
      <c r="L568" s="3"/>
      <c r="M568" s="3"/>
      <c r="N568" s="3">
        <f t="shared" si="24"/>
        <v>0</v>
      </c>
      <c r="O568" s="3">
        <f t="shared" si="25"/>
        <v>0</v>
      </c>
      <c r="P568" s="3">
        <f t="shared" si="26"/>
        <v>0</v>
      </c>
      <c r="Q568" s="3">
        <f t="shared" si="27"/>
        <v>0</v>
      </c>
      <c r="R568" s="3">
        <f t="shared" si="28"/>
        <v>0</v>
      </c>
      <c r="S568" s="3">
        <f t="shared" si="29"/>
        <v>0</v>
      </c>
      <c r="U568" s="3"/>
      <c r="V568" s="3"/>
      <c r="W568" s="3"/>
      <c r="X568" s="3"/>
      <c r="Y568" s="3"/>
      <c r="Z568" s="3"/>
      <c r="AA568" s="3"/>
      <c r="AB568" s="3"/>
      <c r="AC568" s="3"/>
      <c r="AD568" s="3"/>
      <c r="AF568" s="3"/>
      <c r="AG568" s="3"/>
      <c r="AH568" s="3"/>
      <c r="AI568" s="3"/>
      <c r="AJ568" s="3"/>
      <c r="AK568" s="3"/>
      <c r="AL568" s="3"/>
      <c r="AM568" s="3"/>
      <c r="AN568" s="3"/>
      <c r="AO568" s="3"/>
      <c r="AW568" s="3">
        <f t="shared" si="30"/>
        <v>0</v>
      </c>
      <c r="AX568" s="3">
        <f t="shared" si="31"/>
        <v>0</v>
      </c>
      <c r="AY568" s="3">
        <f t="shared" si="32"/>
        <v>0</v>
      </c>
      <c r="AZ568" s="3">
        <f t="shared" si="33"/>
        <v>0</v>
      </c>
      <c r="BA568" s="3">
        <f t="shared" si="34"/>
        <v>0</v>
      </c>
      <c r="BB568" s="3">
        <f t="shared" si="35"/>
        <v>0</v>
      </c>
    </row>
    <row r="569" spans="1:72" x14ac:dyDescent="0.35">
      <c r="N569" s="3">
        <f t="shared" si="24"/>
        <v>0</v>
      </c>
      <c r="O569" s="3">
        <f t="shared" si="25"/>
        <v>0</v>
      </c>
      <c r="P569" s="3">
        <f t="shared" si="26"/>
        <v>0</v>
      </c>
      <c r="Q569" s="3">
        <f t="shared" si="27"/>
        <v>0</v>
      </c>
      <c r="R569" s="3">
        <f t="shared" si="28"/>
        <v>0</v>
      </c>
      <c r="S569" s="3">
        <f t="shared" si="29"/>
        <v>0</v>
      </c>
      <c r="AA569" s="3"/>
      <c r="AB569" s="3"/>
      <c r="AC569" s="3"/>
      <c r="AD569" s="3"/>
      <c r="AL569" s="3"/>
      <c r="AM569" s="3"/>
      <c r="AN569" s="3"/>
      <c r="AO569" s="3"/>
      <c r="AW569" s="3">
        <f t="shared" si="30"/>
        <v>0</v>
      </c>
      <c r="AX569" s="3">
        <f t="shared" si="31"/>
        <v>0</v>
      </c>
      <c r="AY569" s="3">
        <f t="shared" si="32"/>
        <v>0</v>
      </c>
      <c r="AZ569" s="3">
        <f t="shared" si="33"/>
        <v>0</v>
      </c>
      <c r="BA569" s="3">
        <f t="shared" si="34"/>
        <v>0</v>
      </c>
      <c r="BB569" s="3">
        <f t="shared" si="35"/>
        <v>0</v>
      </c>
    </row>
    <row r="570" spans="1:72" x14ac:dyDescent="0.35">
      <c r="A570" s="3" t="s">
        <v>1585</v>
      </c>
      <c r="B570" s="3" t="s">
        <v>1586</v>
      </c>
      <c r="C570" s="3" t="s">
        <v>631</v>
      </c>
      <c r="D570" s="3"/>
      <c r="E570" s="3"/>
      <c r="G570" s="3" t="s">
        <v>3938</v>
      </c>
      <c r="H570" s="3" t="s">
        <v>633</v>
      </c>
      <c r="I570" s="3" t="b">
        <v>1</v>
      </c>
      <c r="J570" s="3" t="b">
        <v>1</v>
      </c>
      <c r="K570" s="3" t="b">
        <v>1</v>
      </c>
      <c r="L570" s="3" t="b">
        <v>1</v>
      </c>
      <c r="M570" s="3" t="b">
        <v>1</v>
      </c>
      <c r="N570" s="3" t="b">
        <f t="shared" si="24"/>
        <v>1</v>
      </c>
      <c r="O570" s="3" t="b">
        <f t="shared" si="25"/>
        <v>0</v>
      </c>
      <c r="P570" s="3" t="b">
        <f t="shared" si="26"/>
        <v>0</v>
      </c>
      <c r="Q570" s="3" t="b">
        <f t="shared" si="27"/>
        <v>0</v>
      </c>
      <c r="R570" s="3" t="b">
        <f t="shared" si="28"/>
        <v>0</v>
      </c>
      <c r="S570" s="3" t="b">
        <f t="shared" si="29"/>
        <v>0</v>
      </c>
      <c r="U570" s="3" t="s">
        <v>633</v>
      </c>
      <c r="V570" s="3" t="b">
        <v>1</v>
      </c>
      <c r="W570" s="3" t="b">
        <v>1</v>
      </c>
      <c r="X570" s="3" t="b">
        <v>1</v>
      </c>
      <c r="Y570" s="3" t="b">
        <v>1</v>
      </c>
      <c r="Z570" s="3" t="b">
        <v>1</v>
      </c>
      <c r="AA570" s="3"/>
      <c r="AB570" s="3"/>
      <c r="AC570" s="3"/>
      <c r="AD570" s="3"/>
      <c r="AF570" s="3" t="s">
        <v>633</v>
      </c>
      <c r="AG570" s="3" t="b">
        <v>1</v>
      </c>
      <c r="AH570" s="3" t="b">
        <v>1</v>
      </c>
      <c r="AI570" s="3" t="b">
        <v>1</v>
      </c>
      <c r="AJ570" s="3" t="b">
        <v>1</v>
      </c>
      <c r="AK570" s="3" t="b">
        <v>1</v>
      </c>
      <c r="AL570" s="3"/>
      <c r="AM570" s="3"/>
      <c r="AN570" s="3"/>
      <c r="AO570" s="3"/>
      <c r="AQ570" s="4" t="s">
        <v>633</v>
      </c>
      <c r="AR570" s="4" t="b">
        <v>1</v>
      </c>
      <c r="AS570" s="4" t="b">
        <v>1</v>
      </c>
      <c r="AT570" s="4" t="b">
        <v>1</v>
      </c>
      <c r="AU570" s="4" t="b">
        <v>1</v>
      </c>
      <c r="AV570" s="4" t="b">
        <v>1</v>
      </c>
      <c r="AW570" s="3" t="b">
        <f t="shared" si="30"/>
        <v>1</v>
      </c>
      <c r="AX570" s="3" t="b">
        <f t="shared" si="31"/>
        <v>0</v>
      </c>
      <c r="AY570" s="3" t="b">
        <f t="shared" si="32"/>
        <v>0</v>
      </c>
      <c r="AZ570" s="3" t="b">
        <f t="shared" si="33"/>
        <v>0</v>
      </c>
      <c r="BA570" s="3" t="b">
        <f t="shared" si="34"/>
        <v>0</v>
      </c>
      <c r="BB570" s="3" t="b">
        <f t="shared" si="35"/>
        <v>0</v>
      </c>
      <c r="BD570" s="4" t="s">
        <v>633</v>
      </c>
      <c r="BE570" s="4" t="b">
        <v>1</v>
      </c>
      <c r="BF570" s="4" t="b">
        <v>1</v>
      </c>
      <c r="BG570" s="4" t="b">
        <v>1</v>
      </c>
      <c r="BH570" s="4" t="b">
        <v>1</v>
      </c>
      <c r="BI570" s="4" t="b">
        <v>1</v>
      </c>
      <c r="BO570" s="4" t="s">
        <v>633</v>
      </c>
      <c r="BP570" s="4" t="b">
        <v>1</v>
      </c>
      <c r="BQ570" s="4" t="b">
        <v>1</v>
      </c>
      <c r="BR570" s="4" t="b">
        <v>1</v>
      </c>
      <c r="BS570" s="4" t="b">
        <v>1</v>
      </c>
      <c r="BT570" s="4" t="b">
        <v>1</v>
      </c>
    </row>
    <row r="571" spans="1:72" x14ac:dyDescent="0.35">
      <c r="A571" s="3"/>
      <c r="B571" s="3"/>
      <c r="C571" s="3" t="s">
        <v>29</v>
      </c>
      <c r="D571" s="3"/>
      <c r="E571" s="3"/>
      <c r="G571" s="3" t="s">
        <v>3939</v>
      </c>
      <c r="H571" s="3" t="s">
        <v>31</v>
      </c>
      <c r="I571" s="3" t="b">
        <v>1</v>
      </c>
      <c r="J571" s="3" t="b">
        <v>1</v>
      </c>
      <c r="K571" s="3" t="b">
        <v>1</v>
      </c>
      <c r="L571" s="3" t="b">
        <v>1</v>
      </c>
      <c r="M571" s="3" t="b">
        <v>1</v>
      </c>
      <c r="N571" s="3" t="b">
        <f t="shared" si="24"/>
        <v>1</v>
      </c>
      <c r="O571" s="3" t="b">
        <f t="shared" si="25"/>
        <v>0</v>
      </c>
      <c r="P571" s="3" t="b">
        <f t="shared" si="26"/>
        <v>0</v>
      </c>
      <c r="Q571" s="3" t="b">
        <f t="shared" si="27"/>
        <v>0</v>
      </c>
      <c r="R571" s="3" t="b">
        <f t="shared" si="28"/>
        <v>0</v>
      </c>
      <c r="S571" s="3" t="b">
        <f t="shared" si="29"/>
        <v>0</v>
      </c>
      <c r="U571" s="3" t="s">
        <v>31</v>
      </c>
      <c r="V571" s="3" t="b">
        <v>1</v>
      </c>
      <c r="W571" s="3" t="b">
        <v>1</v>
      </c>
      <c r="X571" s="3" t="b">
        <v>1</v>
      </c>
      <c r="Y571" s="3" t="b">
        <v>1</v>
      </c>
      <c r="Z571" s="3" t="b">
        <v>1</v>
      </c>
      <c r="AA571" s="3"/>
      <c r="AB571" s="3"/>
      <c r="AC571" s="3"/>
      <c r="AD571" s="3"/>
      <c r="AF571" s="3" t="s">
        <v>31</v>
      </c>
      <c r="AG571" s="3" t="b">
        <v>1</v>
      </c>
      <c r="AH571" s="3" t="b">
        <v>1</v>
      </c>
      <c r="AI571" s="3" t="b">
        <v>1</v>
      </c>
      <c r="AJ571" s="3" t="b">
        <v>1</v>
      </c>
      <c r="AK571" s="3" t="b">
        <v>1</v>
      </c>
      <c r="AL571" s="3"/>
      <c r="AM571" s="3"/>
      <c r="AN571" s="3"/>
      <c r="AO571" s="3"/>
      <c r="AQ571" s="4" t="s">
        <v>31</v>
      </c>
      <c r="AR571" s="4" t="b">
        <v>1</v>
      </c>
      <c r="AS571" s="4" t="b">
        <v>1</v>
      </c>
      <c r="AT571" s="4" t="b">
        <v>1</v>
      </c>
      <c r="AU571" s="4" t="b">
        <v>1</v>
      </c>
      <c r="AV571" s="4" t="b">
        <v>1</v>
      </c>
      <c r="AW571" s="3" t="b">
        <f t="shared" si="30"/>
        <v>1</v>
      </c>
      <c r="AX571" s="3" t="b">
        <f t="shared" si="31"/>
        <v>0</v>
      </c>
      <c r="AY571" s="3" t="b">
        <f t="shared" si="32"/>
        <v>0</v>
      </c>
      <c r="AZ571" s="3" t="b">
        <f t="shared" si="33"/>
        <v>0</v>
      </c>
      <c r="BA571" s="3" t="b">
        <f t="shared" si="34"/>
        <v>0</v>
      </c>
      <c r="BB571" s="3" t="b">
        <f t="shared" si="35"/>
        <v>0</v>
      </c>
      <c r="BD571" s="4" t="s">
        <v>31</v>
      </c>
      <c r="BE571" s="4" t="b">
        <v>1</v>
      </c>
      <c r="BF571" s="4" t="b">
        <v>1</v>
      </c>
      <c r="BG571" s="4" t="b">
        <v>1</v>
      </c>
      <c r="BH571" s="4" t="b">
        <v>1</v>
      </c>
      <c r="BI571" s="4" t="b">
        <v>1</v>
      </c>
      <c r="BO571" s="4" t="s">
        <v>31</v>
      </c>
      <c r="BP571" s="4" t="b">
        <v>1</v>
      </c>
      <c r="BQ571" s="4" t="b">
        <v>1</v>
      </c>
      <c r="BR571" s="4" t="b">
        <v>1</v>
      </c>
      <c r="BS571" s="4" t="b">
        <v>1</v>
      </c>
      <c r="BT571" s="4" t="b">
        <v>1</v>
      </c>
    </row>
    <row r="572" spans="1:72" x14ac:dyDescent="0.35">
      <c r="A572" s="3"/>
      <c r="B572" s="3" t="s">
        <v>1589</v>
      </c>
      <c r="C572" s="3" t="s">
        <v>1590</v>
      </c>
      <c r="D572" s="3"/>
      <c r="E572" s="3"/>
      <c r="G572" s="3" t="s">
        <v>3940</v>
      </c>
      <c r="H572" s="3" t="s">
        <v>1592</v>
      </c>
      <c r="I572" s="3" t="b">
        <v>1</v>
      </c>
      <c r="J572" s="3" t="b">
        <v>1</v>
      </c>
      <c r="K572" s="3" t="b">
        <v>1</v>
      </c>
      <c r="L572" s="3" t="b">
        <v>1</v>
      </c>
      <c r="M572" s="3" t="b">
        <v>1</v>
      </c>
      <c r="N572" s="3" t="b">
        <f t="shared" si="24"/>
        <v>1</v>
      </c>
      <c r="O572" s="3" t="b">
        <f t="shared" si="25"/>
        <v>0</v>
      </c>
      <c r="P572" s="3" t="b">
        <f t="shared" si="26"/>
        <v>0</v>
      </c>
      <c r="Q572" s="3" t="b">
        <f t="shared" si="27"/>
        <v>0</v>
      </c>
      <c r="R572" s="3" t="b">
        <f t="shared" si="28"/>
        <v>0</v>
      </c>
      <c r="S572" s="3" t="b">
        <f t="shared" si="29"/>
        <v>0</v>
      </c>
      <c r="U572" s="3" t="s">
        <v>1592</v>
      </c>
      <c r="V572" s="3" t="b">
        <v>1</v>
      </c>
      <c r="W572" s="3" t="b">
        <v>1</v>
      </c>
      <c r="X572" s="3" t="b">
        <v>1</v>
      </c>
      <c r="Y572" s="3" t="b">
        <v>1</v>
      </c>
      <c r="Z572" s="3" t="b">
        <v>1</v>
      </c>
      <c r="AA572" s="3"/>
      <c r="AB572" s="3"/>
      <c r="AC572" s="3"/>
      <c r="AD572" s="3"/>
      <c r="AF572" s="3" t="s">
        <v>1592</v>
      </c>
      <c r="AG572" s="3" t="b">
        <v>1</v>
      </c>
      <c r="AH572" s="3" t="b">
        <v>1</v>
      </c>
      <c r="AI572" s="3" t="b">
        <v>1</v>
      </c>
      <c r="AJ572" s="3" t="b">
        <v>1</v>
      </c>
      <c r="AK572" s="3" t="b">
        <v>1</v>
      </c>
      <c r="AL572" s="3"/>
      <c r="AM572" s="3"/>
      <c r="AN572" s="3"/>
      <c r="AO572" s="3"/>
      <c r="AQ572" s="4" t="s">
        <v>1592</v>
      </c>
      <c r="AR572" s="4" t="b">
        <v>1</v>
      </c>
      <c r="AS572" s="4" t="b">
        <v>1</v>
      </c>
      <c r="AT572" s="4" t="b">
        <v>1</v>
      </c>
      <c r="AU572" s="4" t="b">
        <v>1</v>
      </c>
      <c r="AV572" s="4" t="b">
        <v>1</v>
      </c>
      <c r="AW572" s="3" t="b">
        <f t="shared" si="30"/>
        <v>1</v>
      </c>
      <c r="AX572" s="3" t="b">
        <f t="shared" si="31"/>
        <v>0</v>
      </c>
      <c r="AY572" s="3" t="b">
        <f t="shared" si="32"/>
        <v>0</v>
      </c>
      <c r="AZ572" s="3" t="b">
        <f t="shared" si="33"/>
        <v>0</v>
      </c>
      <c r="BA572" s="3" t="b">
        <f t="shared" si="34"/>
        <v>0</v>
      </c>
      <c r="BB572" s="3" t="b">
        <f t="shared" si="35"/>
        <v>0</v>
      </c>
      <c r="BD572" s="4" t="s">
        <v>1592</v>
      </c>
      <c r="BE572" s="4" t="b">
        <v>1</v>
      </c>
      <c r="BF572" s="4" t="b">
        <v>1</v>
      </c>
      <c r="BG572" s="4" t="b">
        <v>1</v>
      </c>
      <c r="BH572" s="4" t="b">
        <v>1</v>
      </c>
      <c r="BI572" s="4" t="b">
        <v>1</v>
      </c>
      <c r="BO572" s="4" t="s">
        <v>1592</v>
      </c>
      <c r="BP572" s="4" t="b">
        <v>1</v>
      </c>
      <c r="BQ572" s="4" t="b">
        <v>1</v>
      </c>
      <c r="BR572" s="4" t="b">
        <v>1</v>
      </c>
      <c r="BS572" s="4" t="b">
        <v>1</v>
      </c>
      <c r="BT572" s="4" t="b">
        <v>1</v>
      </c>
    </row>
    <row r="573" spans="1:72" x14ac:dyDescent="0.35">
      <c r="A573" s="3"/>
      <c r="B573" s="3"/>
      <c r="C573" s="3" t="s">
        <v>1593</v>
      </c>
      <c r="D573" s="3"/>
      <c r="E573" s="3"/>
      <c r="G573" s="3" t="s">
        <v>3941</v>
      </c>
      <c r="H573" s="3" t="s">
        <v>1595</v>
      </c>
      <c r="I573" s="3" t="b">
        <v>1</v>
      </c>
      <c r="J573" s="3" t="b">
        <v>1</v>
      </c>
      <c r="K573" s="3" t="b">
        <v>1</v>
      </c>
      <c r="L573" s="3" t="b">
        <v>1</v>
      </c>
      <c r="M573" s="3" t="b">
        <v>0</v>
      </c>
      <c r="N573" s="3" t="b">
        <f t="shared" si="24"/>
        <v>0</v>
      </c>
      <c r="O573" s="3" t="b">
        <f t="shared" si="25"/>
        <v>1</v>
      </c>
      <c r="P573" s="3" t="b">
        <f t="shared" si="26"/>
        <v>0</v>
      </c>
      <c r="Q573" s="3" t="b">
        <f t="shared" si="27"/>
        <v>0</v>
      </c>
      <c r="R573" s="3" t="b">
        <f t="shared" si="28"/>
        <v>1</v>
      </c>
      <c r="S573" s="3" t="b">
        <f t="shared" si="29"/>
        <v>0</v>
      </c>
      <c r="U573" s="3" t="s">
        <v>1596</v>
      </c>
      <c r="V573" s="3" t="b">
        <v>1</v>
      </c>
      <c r="W573" s="3" t="b">
        <v>1</v>
      </c>
      <c r="X573" s="3" t="b">
        <v>1</v>
      </c>
      <c r="Y573" s="3" t="b">
        <v>1</v>
      </c>
      <c r="Z573" s="3" t="b">
        <v>0</v>
      </c>
      <c r="AA573" s="3"/>
      <c r="AB573" s="3"/>
      <c r="AC573" s="3"/>
      <c r="AD573" s="3"/>
      <c r="AF573" s="3" t="s">
        <v>1597</v>
      </c>
      <c r="AG573" s="3" t="b">
        <v>1</v>
      </c>
      <c r="AH573" s="3" t="b">
        <v>0</v>
      </c>
      <c r="AI573" s="3" t="b">
        <v>0</v>
      </c>
      <c r="AJ573" s="3" t="b">
        <v>1</v>
      </c>
      <c r="AK573" s="3" t="b">
        <v>0</v>
      </c>
      <c r="AL573" s="3"/>
      <c r="AM573" s="3"/>
      <c r="AN573" s="3"/>
      <c r="AO573" s="3"/>
      <c r="AQ573" s="4" t="s">
        <v>1598</v>
      </c>
      <c r="AR573" s="4" t="b">
        <v>1</v>
      </c>
      <c r="AS573" s="4" t="b">
        <v>0</v>
      </c>
      <c r="AT573" s="4" t="b">
        <v>0</v>
      </c>
      <c r="AU573" s="4" t="b">
        <v>1</v>
      </c>
      <c r="AV573" s="4" t="b">
        <v>0</v>
      </c>
      <c r="AW573" s="3" t="b">
        <f t="shared" si="30"/>
        <v>0</v>
      </c>
      <c r="AX573" s="3" t="b">
        <f t="shared" si="31"/>
        <v>0</v>
      </c>
      <c r="AY573" s="3" t="b">
        <f t="shared" si="32"/>
        <v>1</v>
      </c>
      <c r="AZ573" s="3" t="b">
        <f t="shared" si="33"/>
        <v>0</v>
      </c>
      <c r="BA573" s="3" t="b">
        <f t="shared" si="34"/>
        <v>0</v>
      </c>
      <c r="BB573" s="3" t="b">
        <f t="shared" si="35"/>
        <v>0</v>
      </c>
      <c r="BD573" s="4" t="s">
        <v>1598</v>
      </c>
      <c r="BE573" s="4" t="b">
        <v>1</v>
      </c>
      <c r="BF573" s="4" t="b">
        <v>0</v>
      </c>
      <c r="BG573" s="4" t="b">
        <v>0</v>
      </c>
      <c r="BH573" s="4" t="b">
        <v>1</v>
      </c>
      <c r="BI573" s="4" t="b">
        <v>0</v>
      </c>
      <c r="BO573" s="4" t="s">
        <v>1598</v>
      </c>
      <c r="BP573" s="4" t="b">
        <v>1</v>
      </c>
      <c r="BQ573" s="4" t="b">
        <v>0</v>
      </c>
      <c r="BR573" s="4" t="b">
        <v>0</v>
      </c>
      <c r="BS573" s="4" t="b">
        <v>1</v>
      </c>
      <c r="BT573" s="4" t="b">
        <v>0</v>
      </c>
    </row>
    <row r="574" spans="1:72" x14ac:dyDescent="0.35">
      <c r="A574" s="3"/>
      <c r="B574" s="3" t="s">
        <v>105</v>
      </c>
      <c r="C574" s="3" t="s">
        <v>631</v>
      </c>
      <c r="D574" s="3"/>
      <c r="E574" s="3"/>
      <c r="G574" s="3" t="s">
        <v>3942</v>
      </c>
      <c r="H574" s="3" t="s">
        <v>633</v>
      </c>
      <c r="I574" s="3" t="b">
        <v>1</v>
      </c>
      <c r="J574" s="3" t="b">
        <v>1</v>
      </c>
      <c r="K574" s="3" t="b">
        <v>1</v>
      </c>
      <c r="L574" s="3" t="b">
        <v>1</v>
      </c>
      <c r="M574" s="3" t="b">
        <v>1</v>
      </c>
      <c r="N574" s="3" t="b">
        <f t="shared" si="24"/>
        <v>1</v>
      </c>
      <c r="O574" s="3" t="b">
        <f t="shared" si="25"/>
        <v>0</v>
      </c>
      <c r="P574" s="3" t="b">
        <f t="shared" si="26"/>
        <v>0</v>
      </c>
      <c r="Q574" s="3" t="b">
        <f t="shared" si="27"/>
        <v>0</v>
      </c>
      <c r="R574" s="3" t="b">
        <f t="shared" si="28"/>
        <v>0</v>
      </c>
      <c r="S574" s="3" t="b">
        <f t="shared" si="29"/>
        <v>0</v>
      </c>
      <c r="U574" s="3" t="s">
        <v>633</v>
      </c>
      <c r="V574" s="3" t="b">
        <v>1</v>
      </c>
      <c r="W574" s="3" t="b">
        <v>1</v>
      </c>
      <c r="X574" s="3" t="b">
        <v>1</v>
      </c>
      <c r="Y574" s="3" t="b">
        <v>1</v>
      </c>
      <c r="Z574" s="3" t="b">
        <v>1</v>
      </c>
      <c r="AA574" s="3"/>
      <c r="AB574" s="3"/>
      <c r="AC574" s="3"/>
      <c r="AD574" s="3"/>
      <c r="AF574" s="3" t="s">
        <v>633</v>
      </c>
      <c r="AG574" s="3" t="b">
        <v>1</v>
      </c>
      <c r="AH574" s="3" t="b">
        <v>1</v>
      </c>
      <c r="AI574" s="3" t="b">
        <v>1</v>
      </c>
      <c r="AJ574" s="3" t="b">
        <v>1</v>
      </c>
      <c r="AK574" s="3" t="b">
        <v>1</v>
      </c>
      <c r="AL574" s="3"/>
      <c r="AM574" s="3"/>
      <c r="AN574" s="3"/>
      <c r="AO574" s="3"/>
      <c r="AQ574" s="4" t="s">
        <v>633</v>
      </c>
      <c r="AR574" s="4" t="b">
        <v>1</v>
      </c>
      <c r="AS574" s="4" t="b">
        <v>1</v>
      </c>
      <c r="AT574" s="4" t="b">
        <v>1</v>
      </c>
      <c r="AU574" s="4" t="b">
        <v>1</v>
      </c>
      <c r="AV574" s="4" t="b">
        <v>1</v>
      </c>
      <c r="AW574" s="3" t="b">
        <f t="shared" si="30"/>
        <v>1</v>
      </c>
      <c r="AX574" s="3" t="b">
        <f t="shared" si="31"/>
        <v>0</v>
      </c>
      <c r="AY574" s="3" t="b">
        <f t="shared" si="32"/>
        <v>0</v>
      </c>
      <c r="AZ574" s="3" t="b">
        <f t="shared" si="33"/>
        <v>0</v>
      </c>
      <c r="BA574" s="3" t="b">
        <f t="shared" si="34"/>
        <v>0</v>
      </c>
      <c r="BB574" s="3" t="b">
        <f t="shared" si="35"/>
        <v>0</v>
      </c>
      <c r="BD574" s="4" t="s">
        <v>633</v>
      </c>
      <c r="BE574" s="4" t="b">
        <v>1</v>
      </c>
      <c r="BF574" s="4" t="b">
        <v>1</v>
      </c>
      <c r="BG574" s="4" t="b">
        <v>1</v>
      </c>
      <c r="BH574" s="4" t="b">
        <v>1</v>
      </c>
      <c r="BI574" s="4" t="b">
        <v>1</v>
      </c>
      <c r="BO574" s="4" t="s">
        <v>633</v>
      </c>
      <c r="BP574" s="4" t="b">
        <v>1</v>
      </c>
      <c r="BQ574" s="4" t="b">
        <v>1</v>
      </c>
      <c r="BR574" s="4" t="b">
        <v>1</v>
      </c>
      <c r="BS574" s="4" t="b">
        <v>1</v>
      </c>
      <c r="BT574" s="4" t="b">
        <v>1</v>
      </c>
    </row>
    <row r="575" spans="1:72" x14ac:dyDescent="0.35">
      <c r="A575" s="3"/>
      <c r="B575" s="3"/>
      <c r="C575" s="3" t="s">
        <v>29</v>
      </c>
      <c r="D575" s="3"/>
      <c r="E575" s="3"/>
      <c r="G575" s="3" t="s">
        <v>3943</v>
      </c>
      <c r="H575" s="3" t="s">
        <v>31</v>
      </c>
      <c r="I575" s="3" t="b">
        <v>1</v>
      </c>
      <c r="J575" s="3" t="b">
        <v>1</v>
      </c>
      <c r="K575" s="3" t="b">
        <v>1</v>
      </c>
      <c r="L575" s="3" t="b">
        <v>1</v>
      </c>
      <c r="M575" s="3" t="b">
        <v>1</v>
      </c>
      <c r="N575" s="3" t="b">
        <f t="shared" si="24"/>
        <v>1</v>
      </c>
      <c r="O575" s="3" t="b">
        <f t="shared" si="25"/>
        <v>0</v>
      </c>
      <c r="P575" s="3" t="b">
        <f t="shared" si="26"/>
        <v>0</v>
      </c>
      <c r="Q575" s="3" t="b">
        <f t="shared" si="27"/>
        <v>0</v>
      </c>
      <c r="R575" s="3" t="b">
        <f t="shared" si="28"/>
        <v>0</v>
      </c>
      <c r="S575" s="3" t="b">
        <f t="shared" si="29"/>
        <v>0</v>
      </c>
      <c r="U575" s="3" t="s">
        <v>31</v>
      </c>
      <c r="V575" s="3" t="b">
        <v>1</v>
      </c>
      <c r="W575" s="3" t="b">
        <v>1</v>
      </c>
      <c r="X575" s="3" t="b">
        <v>1</v>
      </c>
      <c r="Y575" s="3" t="b">
        <v>1</v>
      </c>
      <c r="Z575" s="3" t="b">
        <v>1</v>
      </c>
      <c r="AA575" s="3"/>
      <c r="AB575" s="3"/>
      <c r="AC575" s="3"/>
      <c r="AD575" s="3"/>
      <c r="AF575" s="3" t="s">
        <v>31</v>
      </c>
      <c r="AG575" s="3" t="b">
        <v>1</v>
      </c>
      <c r="AH575" s="3" t="b">
        <v>1</v>
      </c>
      <c r="AI575" s="3" t="b">
        <v>1</v>
      </c>
      <c r="AJ575" s="3" t="b">
        <v>1</v>
      </c>
      <c r="AK575" s="3" t="b">
        <v>1</v>
      </c>
      <c r="AL575" s="3"/>
      <c r="AM575" s="3"/>
      <c r="AN575" s="3"/>
      <c r="AO575" s="3"/>
      <c r="AQ575" s="4" t="s">
        <v>31</v>
      </c>
      <c r="AR575" s="4" t="b">
        <v>1</v>
      </c>
      <c r="AS575" s="4" t="b">
        <v>1</v>
      </c>
      <c r="AT575" s="4" t="b">
        <v>1</v>
      </c>
      <c r="AU575" s="4" t="b">
        <v>1</v>
      </c>
      <c r="AV575" s="4" t="b">
        <v>1</v>
      </c>
      <c r="AW575" s="3" t="b">
        <f t="shared" si="30"/>
        <v>1</v>
      </c>
      <c r="AX575" s="3" t="b">
        <f t="shared" si="31"/>
        <v>0</v>
      </c>
      <c r="AY575" s="3" t="b">
        <f t="shared" si="32"/>
        <v>0</v>
      </c>
      <c r="AZ575" s="3" t="b">
        <f t="shared" si="33"/>
        <v>0</v>
      </c>
      <c r="BA575" s="3" t="b">
        <f t="shared" si="34"/>
        <v>0</v>
      </c>
      <c r="BB575" s="3" t="b">
        <f t="shared" si="35"/>
        <v>0</v>
      </c>
      <c r="BD575" s="4" t="s">
        <v>31</v>
      </c>
      <c r="BE575" s="4" t="b">
        <v>1</v>
      </c>
      <c r="BF575" s="4" t="b">
        <v>1</v>
      </c>
      <c r="BG575" s="4" t="b">
        <v>1</v>
      </c>
      <c r="BH575" s="4" t="b">
        <v>1</v>
      </c>
      <c r="BI575" s="4" t="b">
        <v>1</v>
      </c>
      <c r="BO575" s="4" t="s">
        <v>31</v>
      </c>
      <c r="BP575" s="4" t="b">
        <v>1</v>
      </c>
      <c r="BQ575" s="4" t="b">
        <v>1</v>
      </c>
      <c r="BR575" s="4" t="b">
        <v>1</v>
      </c>
      <c r="BS575" s="4" t="b">
        <v>1</v>
      </c>
      <c r="BT575" s="4" t="b">
        <v>1</v>
      </c>
    </row>
    <row r="576" spans="1:72" x14ac:dyDescent="0.35">
      <c r="A576" s="3"/>
      <c r="B576" s="3" t="s">
        <v>636</v>
      </c>
      <c r="C576" s="3"/>
      <c r="D576" s="3"/>
      <c r="E576" s="3"/>
      <c r="G576" s="3"/>
      <c r="N576" s="3">
        <f t="shared" si="24"/>
        <v>0</v>
      </c>
      <c r="O576" s="3">
        <f t="shared" si="25"/>
        <v>0</v>
      </c>
      <c r="P576" s="3">
        <f t="shared" si="26"/>
        <v>0</v>
      </c>
      <c r="Q576" s="3">
        <f t="shared" si="27"/>
        <v>0</v>
      </c>
      <c r="R576" s="3">
        <f t="shared" si="28"/>
        <v>0</v>
      </c>
      <c r="S576" s="3">
        <f t="shared" si="29"/>
        <v>0</v>
      </c>
      <c r="AA576" s="3"/>
      <c r="AB576" s="3"/>
      <c r="AC576" s="3"/>
      <c r="AD576" s="3"/>
      <c r="AF576" s="3"/>
      <c r="AG576" s="3"/>
      <c r="AH576" s="3"/>
      <c r="AI576" s="3"/>
      <c r="AJ576" s="3"/>
      <c r="AK576" s="3"/>
      <c r="AL576" s="3"/>
      <c r="AM576" s="3"/>
      <c r="AN576" s="3"/>
      <c r="AO576" s="3"/>
      <c r="AW576" s="3">
        <f t="shared" si="30"/>
        <v>0</v>
      </c>
      <c r="AX576" s="3">
        <f t="shared" si="31"/>
        <v>0</v>
      </c>
      <c r="AY576" s="3">
        <f t="shared" si="32"/>
        <v>0</v>
      </c>
      <c r="AZ576" s="3">
        <f t="shared" si="33"/>
        <v>0</v>
      </c>
      <c r="BA576" s="3">
        <f t="shared" si="34"/>
        <v>0</v>
      </c>
      <c r="BB576" s="3">
        <f t="shared" si="35"/>
        <v>0</v>
      </c>
    </row>
    <row r="577" spans="1:72" x14ac:dyDescent="0.35">
      <c r="A577" s="3"/>
      <c r="B577" s="5" t="s">
        <v>1601</v>
      </c>
      <c r="C577" s="5" t="s">
        <v>131</v>
      </c>
      <c r="D577" s="3"/>
      <c r="E577" s="3"/>
      <c r="G577" s="3"/>
      <c r="H577" s="3"/>
      <c r="I577" s="3"/>
      <c r="J577" s="3"/>
      <c r="K577" s="3"/>
      <c r="L577" s="3"/>
      <c r="M577" s="3"/>
      <c r="N577" s="3">
        <f t="shared" si="24"/>
        <v>0</v>
      </c>
      <c r="O577" s="3">
        <f t="shared" si="25"/>
        <v>0</v>
      </c>
      <c r="P577" s="3">
        <f t="shared" si="26"/>
        <v>0</v>
      </c>
      <c r="Q577" s="3">
        <f t="shared" si="27"/>
        <v>0</v>
      </c>
      <c r="R577" s="3">
        <f t="shared" si="28"/>
        <v>0</v>
      </c>
      <c r="S577" s="3">
        <f t="shared" si="29"/>
        <v>0</v>
      </c>
      <c r="U577" s="3"/>
      <c r="V577" s="3"/>
      <c r="W577" s="3"/>
      <c r="X577" s="3"/>
      <c r="Y577" s="3"/>
      <c r="Z577" s="3"/>
      <c r="AA577" s="3"/>
      <c r="AB577" s="3"/>
      <c r="AC577" s="3"/>
      <c r="AD577" s="3"/>
      <c r="AF577" s="3"/>
      <c r="AG577" s="3"/>
      <c r="AH577" s="3"/>
      <c r="AI577" s="3"/>
      <c r="AJ577" s="3"/>
      <c r="AK577" s="3"/>
      <c r="AL577" s="3"/>
      <c r="AM577" s="3"/>
      <c r="AN577" s="3"/>
      <c r="AO577" s="3"/>
      <c r="AW577" s="3">
        <f t="shared" si="30"/>
        <v>0</v>
      </c>
      <c r="AX577" s="3">
        <f t="shared" si="31"/>
        <v>0</v>
      </c>
      <c r="AY577" s="3">
        <f t="shared" si="32"/>
        <v>0</v>
      </c>
      <c r="AZ577" s="3">
        <f t="shared" si="33"/>
        <v>0</v>
      </c>
      <c r="BA577" s="3">
        <f t="shared" si="34"/>
        <v>0</v>
      </c>
      <c r="BB577" s="3">
        <f t="shared" si="35"/>
        <v>0</v>
      </c>
    </row>
    <row r="578" spans="1:72" x14ac:dyDescent="0.35">
      <c r="A578" s="3"/>
      <c r="B578" s="5" t="s">
        <v>1602</v>
      </c>
      <c r="C578" s="5" t="s">
        <v>131</v>
      </c>
      <c r="D578" s="3"/>
      <c r="E578" s="3"/>
      <c r="G578" s="3"/>
      <c r="H578" s="3"/>
      <c r="I578" s="3"/>
      <c r="J578" s="3"/>
      <c r="K578" s="3"/>
      <c r="L578" s="3"/>
      <c r="M578" s="3"/>
      <c r="N578" s="3">
        <f t="shared" si="24"/>
        <v>0</v>
      </c>
      <c r="O578" s="3">
        <f t="shared" si="25"/>
        <v>0</v>
      </c>
      <c r="P578" s="3">
        <f t="shared" si="26"/>
        <v>0</v>
      </c>
      <c r="Q578" s="3">
        <f t="shared" si="27"/>
        <v>0</v>
      </c>
      <c r="R578" s="3">
        <f t="shared" si="28"/>
        <v>0</v>
      </c>
      <c r="S578" s="3">
        <f t="shared" si="29"/>
        <v>0</v>
      </c>
      <c r="U578" s="3"/>
      <c r="V578" s="3"/>
      <c r="W578" s="3"/>
      <c r="X578" s="3"/>
      <c r="Y578" s="3"/>
      <c r="Z578" s="3"/>
      <c r="AA578" s="3"/>
      <c r="AB578" s="3"/>
      <c r="AC578" s="3"/>
      <c r="AD578" s="3"/>
      <c r="AF578" s="3"/>
      <c r="AG578" s="3"/>
      <c r="AH578" s="3"/>
      <c r="AI578" s="3"/>
      <c r="AJ578" s="3"/>
      <c r="AK578" s="3"/>
      <c r="AL578" s="3"/>
      <c r="AM578" s="3"/>
      <c r="AN578" s="3"/>
      <c r="AO578" s="3"/>
      <c r="AW578" s="3">
        <f t="shared" si="30"/>
        <v>0</v>
      </c>
      <c r="AX578" s="3">
        <f t="shared" si="31"/>
        <v>0</v>
      </c>
      <c r="AY578" s="3">
        <f t="shared" si="32"/>
        <v>0</v>
      </c>
      <c r="AZ578" s="3">
        <f t="shared" si="33"/>
        <v>0</v>
      </c>
      <c r="BA578" s="3">
        <f t="shared" si="34"/>
        <v>0</v>
      </c>
      <c r="BB578" s="3">
        <f t="shared" si="35"/>
        <v>0</v>
      </c>
    </row>
    <row r="579" spans="1:72" x14ac:dyDescent="0.35">
      <c r="A579" s="3"/>
      <c r="B579" s="5" t="s">
        <v>1603</v>
      </c>
      <c r="C579" s="5" t="s">
        <v>131</v>
      </c>
      <c r="D579" s="3"/>
      <c r="E579" s="3"/>
      <c r="G579" s="3"/>
      <c r="H579" s="3"/>
      <c r="I579" s="3"/>
      <c r="J579" s="3"/>
      <c r="K579" s="3"/>
      <c r="L579" s="3"/>
      <c r="M579" s="3"/>
      <c r="N579" s="3">
        <f t="shared" si="24"/>
        <v>0</v>
      </c>
      <c r="O579" s="3">
        <f t="shared" si="25"/>
        <v>0</v>
      </c>
      <c r="P579" s="3">
        <f t="shared" si="26"/>
        <v>0</v>
      </c>
      <c r="Q579" s="3">
        <f t="shared" si="27"/>
        <v>0</v>
      </c>
      <c r="R579" s="3">
        <f t="shared" si="28"/>
        <v>0</v>
      </c>
      <c r="S579" s="3">
        <f t="shared" si="29"/>
        <v>0</v>
      </c>
      <c r="U579" s="3"/>
      <c r="V579" s="3"/>
      <c r="W579" s="3"/>
      <c r="X579" s="3"/>
      <c r="Y579" s="3"/>
      <c r="Z579" s="3"/>
      <c r="AA579" s="3"/>
      <c r="AB579" s="3"/>
      <c r="AC579" s="3"/>
      <c r="AD579" s="3"/>
      <c r="AF579" s="3"/>
      <c r="AG579" s="3"/>
      <c r="AH579" s="3"/>
      <c r="AI579" s="3"/>
      <c r="AJ579" s="3"/>
      <c r="AK579" s="3"/>
      <c r="AL579" s="3"/>
      <c r="AM579" s="3"/>
      <c r="AN579" s="3"/>
      <c r="AO579" s="3"/>
      <c r="AW579" s="3">
        <f t="shared" si="30"/>
        <v>0</v>
      </c>
      <c r="AX579" s="3">
        <f t="shared" si="31"/>
        <v>0</v>
      </c>
      <c r="AY579" s="3">
        <f t="shared" si="32"/>
        <v>0</v>
      </c>
      <c r="AZ579" s="3">
        <f t="shared" si="33"/>
        <v>0</v>
      </c>
      <c r="BA579" s="3">
        <f t="shared" si="34"/>
        <v>0</v>
      </c>
      <c r="BB579" s="3">
        <f t="shared" si="35"/>
        <v>0</v>
      </c>
    </row>
    <row r="580" spans="1:72" x14ac:dyDescent="0.35">
      <c r="A580" s="3"/>
      <c r="B580" s="5" t="s">
        <v>1604</v>
      </c>
      <c r="C580" s="5" t="s">
        <v>131</v>
      </c>
      <c r="D580" s="3"/>
      <c r="E580" s="3"/>
      <c r="G580" s="3"/>
      <c r="H580" s="3"/>
      <c r="I580" s="3"/>
      <c r="J580" s="3"/>
      <c r="K580" s="3"/>
      <c r="L580" s="3"/>
      <c r="M580" s="3"/>
      <c r="N580" s="3">
        <f t="shared" si="24"/>
        <v>0</v>
      </c>
      <c r="O580" s="3">
        <f t="shared" si="25"/>
        <v>0</v>
      </c>
      <c r="P580" s="3">
        <f t="shared" si="26"/>
        <v>0</v>
      </c>
      <c r="Q580" s="3">
        <f t="shared" si="27"/>
        <v>0</v>
      </c>
      <c r="R580" s="3">
        <f t="shared" si="28"/>
        <v>0</v>
      </c>
      <c r="S580" s="3">
        <f t="shared" si="29"/>
        <v>0</v>
      </c>
      <c r="U580" s="3"/>
      <c r="V580" s="3"/>
      <c r="W580" s="3"/>
      <c r="X580" s="3"/>
      <c r="Y580" s="3"/>
      <c r="Z580" s="3"/>
      <c r="AA580" s="3"/>
      <c r="AB580" s="3"/>
      <c r="AC580" s="3"/>
      <c r="AD580" s="3"/>
      <c r="AF580" s="3"/>
      <c r="AG580" s="3"/>
      <c r="AH580" s="3"/>
      <c r="AI580" s="3"/>
      <c r="AJ580" s="3"/>
      <c r="AK580" s="3"/>
      <c r="AL580" s="3"/>
      <c r="AM580" s="3"/>
      <c r="AN580" s="3"/>
      <c r="AO580" s="3"/>
      <c r="AW580" s="3">
        <f t="shared" si="30"/>
        <v>0</v>
      </c>
      <c r="AX580" s="3">
        <f t="shared" si="31"/>
        <v>0</v>
      </c>
      <c r="AY580" s="3">
        <f t="shared" si="32"/>
        <v>0</v>
      </c>
      <c r="AZ580" s="3">
        <f t="shared" si="33"/>
        <v>0</v>
      </c>
      <c r="BA580" s="3">
        <f t="shared" si="34"/>
        <v>0</v>
      </c>
      <c r="BB580" s="3">
        <f t="shared" si="35"/>
        <v>0</v>
      </c>
    </row>
    <row r="581" spans="1:72" x14ac:dyDescent="0.35">
      <c r="A581" s="3"/>
      <c r="B581" s="5" t="s">
        <v>1605</v>
      </c>
      <c r="C581" s="5" t="s">
        <v>131</v>
      </c>
      <c r="D581" s="3"/>
      <c r="E581" s="3"/>
      <c r="G581" s="3"/>
      <c r="H581" s="3"/>
      <c r="I581" s="3"/>
      <c r="J581" s="3"/>
      <c r="K581" s="3"/>
      <c r="L581" s="3"/>
      <c r="M581" s="3"/>
      <c r="N581" s="3">
        <f t="shared" si="24"/>
        <v>0</v>
      </c>
      <c r="O581" s="3">
        <f t="shared" si="25"/>
        <v>0</v>
      </c>
      <c r="P581" s="3">
        <f t="shared" si="26"/>
        <v>0</v>
      </c>
      <c r="Q581" s="3">
        <f t="shared" si="27"/>
        <v>0</v>
      </c>
      <c r="R581" s="3">
        <f t="shared" si="28"/>
        <v>0</v>
      </c>
      <c r="S581" s="3">
        <f t="shared" si="29"/>
        <v>0</v>
      </c>
      <c r="U581" s="3"/>
      <c r="V581" s="3"/>
      <c r="W581" s="3"/>
      <c r="X581" s="3"/>
      <c r="Y581" s="3"/>
      <c r="Z581" s="3"/>
      <c r="AA581" s="3"/>
      <c r="AB581" s="3"/>
      <c r="AC581" s="3"/>
      <c r="AD581" s="3"/>
      <c r="AF581" s="3"/>
      <c r="AG581" s="3"/>
      <c r="AH581" s="3"/>
      <c r="AI581" s="3"/>
      <c r="AJ581" s="3"/>
      <c r="AK581" s="3"/>
      <c r="AL581" s="3"/>
      <c r="AM581" s="3"/>
      <c r="AN581" s="3"/>
      <c r="AO581" s="3"/>
      <c r="AW581" s="3">
        <f t="shared" si="30"/>
        <v>0</v>
      </c>
      <c r="AX581" s="3">
        <f t="shared" si="31"/>
        <v>0</v>
      </c>
      <c r="AY581" s="3">
        <f t="shared" si="32"/>
        <v>0</v>
      </c>
      <c r="AZ581" s="3">
        <f t="shared" si="33"/>
        <v>0</v>
      </c>
      <c r="BA581" s="3">
        <f t="shared" si="34"/>
        <v>0</v>
      </c>
      <c r="BB581" s="3">
        <f t="shared" si="35"/>
        <v>0</v>
      </c>
    </row>
    <row r="582" spans="1:72" x14ac:dyDescent="0.35">
      <c r="A582" s="3"/>
      <c r="B582" s="5" t="s">
        <v>1606</v>
      </c>
      <c r="C582" s="5" t="s">
        <v>131</v>
      </c>
      <c r="D582" s="3"/>
      <c r="E582" s="3"/>
      <c r="G582" s="3"/>
      <c r="H582" s="3"/>
      <c r="I582" s="3"/>
      <c r="J582" s="3"/>
      <c r="K582" s="3"/>
      <c r="L582" s="3"/>
      <c r="M582" s="3"/>
      <c r="N582" s="3">
        <f t="shared" si="24"/>
        <v>0</v>
      </c>
      <c r="O582" s="3">
        <f t="shared" si="25"/>
        <v>0</v>
      </c>
      <c r="P582" s="3">
        <f t="shared" si="26"/>
        <v>0</v>
      </c>
      <c r="Q582" s="3">
        <f t="shared" si="27"/>
        <v>0</v>
      </c>
      <c r="R582" s="3">
        <f t="shared" si="28"/>
        <v>0</v>
      </c>
      <c r="S582" s="3">
        <f t="shared" si="29"/>
        <v>0</v>
      </c>
      <c r="U582" s="3"/>
      <c r="V582" s="3"/>
      <c r="W582" s="3"/>
      <c r="X582" s="3"/>
      <c r="Y582" s="3"/>
      <c r="Z582" s="3"/>
      <c r="AA582" s="3"/>
      <c r="AB582" s="3"/>
      <c r="AC582" s="3"/>
      <c r="AD582" s="3"/>
      <c r="AF582" s="3"/>
      <c r="AG582" s="3"/>
      <c r="AH582" s="3"/>
      <c r="AI582" s="3"/>
      <c r="AJ582" s="3"/>
      <c r="AK582" s="3"/>
      <c r="AL582" s="3"/>
      <c r="AM582" s="3"/>
      <c r="AN582" s="3"/>
      <c r="AO582" s="3"/>
      <c r="AW582" s="3">
        <f t="shared" si="30"/>
        <v>0</v>
      </c>
      <c r="AX582" s="3">
        <f t="shared" si="31"/>
        <v>0</v>
      </c>
      <c r="AY582" s="3">
        <f t="shared" si="32"/>
        <v>0</v>
      </c>
      <c r="AZ582" s="3">
        <f t="shared" si="33"/>
        <v>0</v>
      </c>
      <c r="BA582" s="3">
        <f t="shared" si="34"/>
        <v>0</v>
      </c>
      <c r="BB582" s="3">
        <f t="shared" si="35"/>
        <v>0</v>
      </c>
    </row>
    <row r="583" spans="1:72" x14ac:dyDescent="0.35">
      <c r="A583" s="3"/>
      <c r="B583" s="5" t="s">
        <v>1607</v>
      </c>
      <c r="C583" s="5" t="s">
        <v>131</v>
      </c>
      <c r="D583" s="3"/>
      <c r="E583" s="3"/>
      <c r="G583" s="3"/>
      <c r="H583" s="3"/>
      <c r="I583" s="3"/>
      <c r="J583" s="3"/>
      <c r="K583" s="3"/>
      <c r="L583" s="3"/>
      <c r="M583" s="3"/>
      <c r="N583" s="3">
        <f t="shared" si="24"/>
        <v>0</v>
      </c>
      <c r="O583" s="3">
        <f t="shared" si="25"/>
        <v>0</v>
      </c>
      <c r="P583" s="3">
        <f t="shared" si="26"/>
        <v>0</v>
      </c>
      <c r="Q583" s="3">
        <f t="shared" si="27"/>
        <v>0</v>
      </c>
      <c r="R583" s="3">
        <f t="shared" si="28"/>
        <v>0</v>
      </c>
      <c r="S583" s="3">
        <f t="shared" si="29"/>
        <v>0</v>
      </c>
      <c r="U583" s="3"/>
      <c r="V583" s="3"/>
      <c r="W583" s="3"/>
      <c r="X583" s="3"/>
      <c r="Y583" s="3"/>
      <c r="Z583" s="3"/>
      <c r="AA583" s="3"/>
      <c r="AB583" s="3"/>
      <c r="AC583" s="3"/>
      <c r="AD583" s="3"/>
      <c r="AF583" s="3"/>
      <c r="AG583" s="3"/>
      <c r="AH583" s="3"/>
      <c r="AI583" s="3"/>
      <c r="AJ583" s="3"/>
      <c r="AK583" s="3"/>
      <c r="AL583" s="3"/>
      <c r="AM583" s="3"/>
      <c r="AN583" s="3"/>
      <c r="AO583" s="3"/>
      <c r="AW583" s="3">
        <f t="shared" si="30"/>
        <v>0</v>
      </c>
      <c r="AX583" s="3">
        <f t="shared" si="31"/>
        <v>0</v>
      </c>
      <c r="AY583" s="3">
        <f t="shared" si="32"/>
        <v>0</v>
      </c>
      <c r="AZ583" s="3">
        <f t="shared" si="33"/>
        <v>0</v>
      </c>
      <c r="BA583" s="3">
        <f t="shared" si="34"/>
        <v>0</v>
      </c>
      <c r="BB583" s="3">
        <f t="shared" si="35"/>
        <v>0</v>
      </c>
    </row>
    <row r="584" spans="1:72" x14ac:dyDescent="0.35">
      <c r="A584" s="3"/>
      <c r="B584" s="5" t="s">
        <v>1608</v>
      </c>
      <c r="C584" s="5" t="s">
        <v>131</v>
      </c>
      <c r="D584" s="3"/>
      <c r="E584" s="3"/>
      <c r="G584" s="3"/>
      <c r="H584" s="3"/>
      <c r="I584" s="3"/>
      <c r="J584" s="3"/>
      <c r="K584" s="3"/>
      <c r="L584" s="3"/>
      <c r="M584" s="3"/>
      <c r="N584" s="3">
        <f t="shared" si="24"/>
        <v>0</v>
      </c>
      <c r="O584" s="3">
        <f t="shared" si="25"/>
        <v>0</v>
      </c>
      <c r="P584" s="3">
        <f t="shared" si="26"/>
        <v>0</v>
      </c>
      <c r="Q584" s="3">
        <f t="shared" si="27"/>
        <v>0</v>
      </c>
      <c r="R584" s="3">
        <f t="shared" si="28"/>
        <v>0</v>
      </c>
      <c r="S584" s="3">
        <f t="shared" si="29"/>
        <v>0</v>
      </c>
      <c r="U584" s="3"/>
      <c r="V584" s="3"/>
      <c r="W584" s="3"/>
      <c r="X584" s="3"/>
      <c r="Y584" s="3"/>
      <c r="Z584" s="3"/>
      <c r="AA584" s="3"/>
      <c r="AB584" s="3"/>
      <c r="AC584" s="3"/>
      <c r="AD584" s="3"/>
      <c r="AF584" s="3"/>
      <c r="AG584" s="3"/>
      <c r="AH584" s="3"/>
      <c r="AI584" s="3"/>
      <c r="AJ584" s="3"/>
      <c r="AK584" s="3"/>
      <c r="AL584" s="3"/>
      <c r="AM584" s="3"/>
      <c r="AN584" s="3"/>
      <c r="AO584" s="3"/>
      <c r="AW584" s="3">
        <f t="shared" si="30"/>
        <v>0</v>
      </c>
      <c r="AX584" s="3">
        <f t="shared" si="31"/>
        <v>0</v>
      </c>
      <c r="AY584" s="3">
        <f t="shared" si="32"/>
        <v>0</v>
      </c>
      <c r="AZ584" s="3">
        <f t="shared" si="33"/>
        <v>0</v>
      </c>
      <c r="BA584" s="3">
        <f t="shared" si="34"/>
        <v>0</v>
      </c>
      <c r="BB584" s="3">
        <f t="shared" si="35"/>
        <v>0</v>
      </c>
    </row>
    <row r="585" spans="1:72" x14ac:dyDescent="0.35">
      <c r="A585" s="3"/>
      <c r="B585" s="5" t="s">
        <v>1609</v>
      </c>
      <c r="C585" s="5" t="s">
        <v>131</v>
      </c>
      <c r="D585" s="3"/>
      <c r="E585" s="3"/>
      <c r="G585" s="3"/>
      <c r="H585" s="3"/>
      <c r="I585" s="3"/>
      <c r="J585" s="3"/>
      <c r="K585" s="3"/>
      <c r="L585" s="3"/>
      <c r="M585" s="3"/>
      <c r="N585" s="3">
        <f t="shared" si="24"/>
        <v>0</v>
      </c>
      <c r="O585" s="3">
        <f t="shared" si="25"/>
        <v>0</v>
      </c>
      <c r="P585" s="3">
        <f t="shared" si="26"/>
        <v>0</v>
      </c>
      <c r="Q585" s="3">
        <f t="shared" si="27"/>
        <v>0</v>
      </c>
      <c r="R585" s="3">
        <f t="shared" si="28"/>
        <v>0</v>
      </c>
      <c r="S585" s="3">
        <f t="shared" si="29"/>
        <v>0</v>
      </c>
      <c r="U585" s="3"/>
      <c r="V585" s="3"/>
      <c r="W585" s="3"/>
      <c r="X585" s="3"/>
      <c r="Y585" s="3"/>
      <c r="Z585" s="3"/>
      <c r="AA585" s="3"/>
      <c r="AB585" s="3"/>
      <c r="AC585" s="3"/>
      <c r="AD585" s="3"/>
      <c r="AF585" s="3"/>
      <c r="AG585" s="3"/>
      <c r="AH585" s="3"/>
      <c r="AI585" s="3"/>
      <c r="AJ585" s="3"/>
      <c r="AK585" s="3"/>
      <c r="AL585" s="3"/>
      <c r="AM585" s="3"/>
      <c r="AN585" s="3"/>
      <c r="AO585" s="3"/>
      <c r="AW585" s="3">
        <f t="shared" si="30"/>
        <v>0</v>
      </c>
      <c r="AX585" s="3">
        <f t="shared" si="31"/>
        <v>0</v>
      </c>
      <c r="AY585" s="3">
        <f t="shared" si="32"/>
        <v>0</v>
      </c>
      <c r="AZ585" s="3">
        <f t="shared" si="33"/>
        <v>0</v>
      </c>
      <c r="BA585" s="3">
        <f t="shared" si="34"/>
        <v>0</v>
      </c>
      <c r="BB585" s="3">
        <f t="shared" si="35"/>
        <v>0</v>
      </c>
    </row>
    <row r="586" spans="1:72" x14ac:dyDescent="0.35">
      <c r="A586" s="3"/>
      <c r="B586" s="3" t="s">
        <v>188</v>
      </c>
      <c r="C586" s="3"/>
      <c r="D586" s="3"/>
      <c r="E586" s="3"/>
      <c r="G586" s="3"/>
      <c r="H586" s="3"/>
      <c r="I586" s="3"/>
      <c r="J586" s="3"/>
      <c r="K586" s="3"/>
      <c r="L586" s="3"/>
      <c r="M586" s="3"/>
      <c r="N586" s="3">
        <f t="shared" si="24"/>
        <v>0</v>
      </c>
      <c r="O586" s="3">
        <f t="shared" si="25"/>
        <v>0</v>
      </c>
      <c r="P586" s="3">
        <f t="shared" si="26"/>
        <v>0</v>
      </c>
      <c r="Q586" s="3">
        <f t="shared" si="27"/>
        <v>0</v>
      </c>
      <c r="R586" s="3">
        <f t="shared" si="28"/>
        <v>0</v>
      </c>
      <c r="S586" s="3">
        <f t="shared" si="29"/>
        <v>0</v>
      </c>
      <c r="U586" s="3"/>
      <c r="V586" s="3"/>
      <c r="W586" s="3"/>
      <c r="X586" s="3"/>
      <c r="Y586" s="3"/>
      <c r="Z586" s="3"/>
      <c r="AA586" s="3"/>
      <c r="AB586" s="3"/>
      <c r="AC586" s="3"/>
      <c r="AD586" s="3"/>
      <c r="AF586" s="3"/>
      <c r="AG586" s="3"/>
      <c r="AH586" s="3"/>
      <c r="AI586" s="3"/>
      <c r="AJ586" s="3"/>
      <c r="AK586" s="3"/>
      <c r="AL586" s="3"/>
      <c r="AM586" s="3"/>
      <c r="AN586" s="3"/>
      <c r="AO586" s="3"/>
      <c r="AW586" s="3">
        <f t="shared" si="30"/>
        <v>0</v>
      </c>
      <c r="AX586" s="3">
        <f t="shared" si="31"/>
        <v>0</v>
      </c>
      <c r="AY586" s="3">
        <f t="shared" si="32"/>
        <v>0</v>
      </c>
      <c r="AZ586" s="3">
        <f t="shared" si="33"/>
        <v>0</v>
      </c>
      <c r="BA586" s="3">
        <f t="shared" si="34"/>
        <v>0</v>
      </c>
      <c r="BB586" s="3">
        <f t="shared" si="35"/>
        <v>0</v>
      </c>
    </row>
    <row r="587" spans="1:72" x14ac:dyDescent="0.35">
      <c r="N587" s="3">
        <f t="shared" si="24"/>
        <v>0</v>
      </c>
      <c r="O587" s="3">
        <f t="shared" si="25"/>
        <v>0</v>
      </c>
      <c r="P587" s="3">
        <f t="shared" si="26"/>
        <v>0</v>
      </c>
      <c r="Q587" s="3">
        <f t="shared" si="27"/>
        <v>0</v>
      </c>
      <c r="R587" s="3">
        <f t="shared" si="28"/>
        <v>0</v>
      </c>
      <c r="S587" s="3">
        <f t="shared" si="29"/>
        <v>0</v>
      </c>
      <c r="AA587" s="3"/>
      <c r="AB587" s="3"/>
      <c r="AC587" s="3"/>
      <c r="AD587" s="3"/>
      <c r="AL587" s="3"/>
      <c r="AM587" s="3"/>
      <c r="AN587" s="3"/>
      <c r="AO587" s="3"/>
      <c r="AW587" s="3">
        <f t="shared" si="30"/>
        <v>0</v>
      </c>
      <c r="AX587" s="3">
        <f t="shared" si="31"/>
        <v>0</v>
      </c>
      <c r="AY587" s="3">
        <f t="shared" si="32"/>
        <v>0</v>
      </c>
      <c r="AZ587" s="3">
        <f t="shared" si="33"/>
        <v>0</v>
      </c>
      <c r="BA587" s="3">
        <f t="shared" si="34"/>
        <v>0</v>
      </c>
      <c r="BB587" s="3">
        <f t="shared" si="35"/>
        <v>0</v>
      </c>
    </row>
    <row r="588" spans="1:72" x14ac:dyDescent="0.35">
      <c r="A588" s="7" t="s">
        <v>1610</v>
      </c>
      <c r="B588" s="7" t="s">
        <v>1611</v>
      </c>
      <c r="C588" s="3" t="s">
        <v>1612</v>
      </c>
      <c r="D588" s="3"/>
      <c r="E588" s="3"/>
      <c r="G588" s="3" t="s">
        <v>3944</v>
      </c>
      <c r="H588" s="3" t="s">
        <v>1614</v>
      </c>
      <c r="I588" s="3" t="b">
        <v>1</v>
      </c>
      <c r="J588" s="3" t="b">
        <v>1</v>
      </c>
      <c r="K588" s="3" t="b">
        <v>1</v>
      </c>
      <c r="L588" s="3" t="b">
        <v>0</v>
      </c>
      <c r="M588" s="3" t="b">
        <v>1</v>
      </c>
      <c r="N588" s="3" t="b">
        <f t="shared" si="24"/>
        <v>0</v>
      </c>
      <c r="O588" s="3" t="b">
        <f t="shared" si="25"/>
        <v>0</v>
      </c>
      <c r="P588" s="3" t="b">
        <f t="shared" si="26"/>
        <v>0</v>
      </c>
      <c r="Q588" s="3" t="b">
        <f t="shared" si="27"/>
        <v>1</v>
      </c>
      <c r="R588" s="3" t="b">
        <f t="shared" si="28"/>
        <v>0</v>
      </c>
      <c r="S588" s="3" t="b">
        <f t="shared" si="29"/>
        <v>0</v>
      </c>
      <c r="U588" s="3" t="s">
        <v>1614</v>
      </c>
      <c r="V588" s="3" t="b">
        <v>1</v>
      </c>
      <c r="W588" s="3" t="b">
        <v>1</v>
      </c>
      <c r="X588" s="3" t="b">
        <v>1</v>
      </c>
      <c r="Y588" s="3" t="b">
        <v>0</v>
      </c>
      <c r="Z588" s="3" t="b">
        <v>1</v>
      </c>
      <c r="AA588" s="3"/>
      <c r="AB588" s="3"/>
      <c r="AC588" s="3"/>
      <c r="AD588" s="3"/>
      <c r="AF588" s="3" t="s">
        <v>1614</v>
      </c>
      <c r="AG588" s="3" t="b">
        <v>1</v>
      </c>
      <c r="AH588" s="3" t="b">
        <v>1</v>
      </c>
      <c r="AI588" s="3" t="b">
        <v>1</v>
      </c>
      <c r="AJ588" s="3" t="b">
        <v>0</v>
      </c>
      <c r="AK588" s="3" t="b">
        <v>1</v>
      </c>
      <c r="AL588" s="3"/>
      <c r="AM588" s="3"/>
      <c r="AN588" s="3"/>
      <c r="AO588" s="3"/>
      <c r="AQ588" s="4" t="s">
        <v>1614</v>
      </c>
      <c r="AR588" s="4" t="b">
        <v>1</v>
      </c>
      <c r="AS588" s="4" t="b">
        <v>1</v>
      </c>
      <c r="AT588" s="4" t="b">
        <v>1</v>
      </c>
      <c r="AU588" s="4" t="b">
        <v>1</v>
      </c>
      <c r="AV588" s="4" t="b">
        <v>1</v>
      </c>
      <c r="AW588" s="3" t="b">
        <f t="shared" si="30"/>
        <v>1</v>
      </c>
      <c r="AX588" s="3" t="b">
        <f t="shared" si="31"/>
        <v>0</v>
      </c>
      <c r="AY588" s="3" t="b">
        <f t="shared" si="32"/>
        <v>0</v>
      </c>
      <c r="AZ588" s="3" t="b">
        <f t="shared" si="33"/>
        <v>0</v>
      </c>
      <c r="BA588" s="3" t="b">
        <f t="shared" si="34"/>
        <v>0</v>
      </c>
      <c r="BB588" s="3" t="b">
        <f t="shared" si="35"/>
        <v>0</v>
      </c>
      <c r="BD588" s="4" t="s">
        <v>1614</v>
      </c>
      <c r="BE588" s="4" t="b">
        <v>1</v>
      </c>
      <c r="BF588" s="4" t="b">
        <v>1</v>
      </c>
      <c r="BG588" s="4" t="b">
        <v>1</v>
      </c>
      <c r="BH588" s="4" t="b">
        <v>1</v>
      </c>
      <c r="BI588" s="4" t="b">
        <v>1</v>
      </c>
      <c r="BO588" s="4" t="s">
        <v>1614</v>
      </c>
      <c r="BP588" s="4" t="b">
        <v>1</v>
      </c>
      <c r="BQ588" s="4" t="b">
        <v>1</v>
      </c>
      <c r="BR588" s="4" t="b">
        <v>1</v>
      </c>
      <c r="BS588" s="4" t="b">
        <v>1</v>
      </c>
      <c r="BT588" s="4" t="b">
        <v>1</v>
      </c>
    </row>
    <row r="589" spans="1:72" x14ac:dyDescent="0.35">
      <c r="A589" s="3"/>
      <c r="B589" s="7"/>
      <c r="C589" s="3" t="s">
        <v>1615</v>
      </c>
      <c r="D589" s="3"/>
      <c r="E589" s="3"/>
      <c r="G589" s="3" t="s">
        <v>3945</v>
      </c>
      <c r="H589" s="3" t="s">
        <v>1617</v>
      </c>
      <c r="I589" s="3" t="b">
        <v>1</v>
      </c>
      <c r="J589" s="3" t="b">
        <v>1</v>
      </c>
      <c r="K589" s="3" t="b">
        <v>1</v>
      </c>
      <c r="L589" s="3" t="b">
        <v>1</v>
      </c>
      <c r="M589" s="3" t="b">
        <v>1</v>
      </c>
      <c r="N589" s="3" t="b">
        <f t="shared" si="24"/>
        <v>1</v>
      </c>
      <c r="O589" s="3" t="b">
        <f t="shared" si="25"/>
        <v>0</v>
      </c>
      <c r="P589" s="3" t="b">
        <f t="shared" si="26"/>
        <v>0</v>
      </c>
      <c r="Q589" s="3" t="b">
        <f t="shared" si="27"/>
        <v>0</v>
      </c>
      <c r="R589" s="3" t="b">
        <f t="shared" si="28"/>
        <v>0</v>
      </c>
      <c r="S589" s="3" t="b">
        <f t="shared" si="29"/>
        <v>0</v>
      </c>
      <c r="U589" s="3" t="s">
        <v>1617</v>
      </c>
      <c r="V589" s="3" t="b">
        <v>1</v>
      </c>
      <c r="W589" s="3" t="b">
        <v>1</v>
      </c>
      <c r="X589" s="3" t="b">
        <v>1</v>
      </c>
      <c r="Y589" s="3" t="b">
        <v>1</v>
      </c>
      <c r="Z589" s="3" t="b">
        <v>1</v>
      </c>
      <c r="AA589" s="3"/>
      <c r="AB589" s="3"/>
      <c r="AC589" s="3"/>
      <c r="AD589" s="3"/>
      <c r="AF589" s="3" t="s">
        <v>1617</v>
      </c>
      <c r="AG589" s="3" t="b">
        <v>1</v>
      </c>
      <c r="AH589" s="3" t="b">
        <v>1</v>
      </c>
      <c r="AI589" s="3" t="b">
        <v>1</v>
      </c>
      <c r="AJ589" s="3" t="b">
        <v>1</v>
      </c>
      <c r="AK589" s="3" t="b">
        <v>1</v>
      </c>
      <c r="AL589" s="3"/>
      <c r="AM589" s="3"/>
      <c r="AN589" s="3"/>
      <c r="AO589" s="3"/>
      <c r="AQ589" s="4" t="s">
        <v>1617</v>
      </c>
      <c r="AR589" s="4" t="b">
        <v>1</v>
      </c>
      <c r="AS589" s="4" t="b">
        <v>1</v>
      </c>
      <c r="AT589" s="4" t="b">
        <v>1</v>
      </c>
      <c r="AU589" s="4" t="b">
        <v>1</v>
      </c>
      <c r="AV589" s="4" t="b">
        <v>1</v>
      </c>
      <c r="AW589" s="3" t="b">
        <f t="shared" si="30"/>
        <v>1</v>
      </c>
      <c r="AX589" s="3" t="b">
        <f t="shared" si="31"/>
        <v>0</v>
      </c>
      <c r="AY589" s="3" t="b">
        <f t="shared" si="32"/>
        <v>0</v>
      </c>
      <c r="AZ589" s="3" t="b">
        <f t="shared" si="33"/>
        <v>0</v>
      </c>
      <c r="BA589" s="3" t="b">
        <f t="shared" si="34"/>
        <v>0</v>
      </c>
      <c r="BB589" s="3" t="b">
        <f t="shared" si="35"/>
        <v>0</v>
      </c>
      <c r="BD589" s="4" t="s">
        <v>1617</v>
      </c>
      <c r="BE589" s="4" t="b">
        <v>1</v>
      </c>
      <c r="BF589" s="4" t="b">
        <v>1</v>
      </c>
      <c r="BG589" s="4" t="b">
        <v>1</v>
      </c>
      <c r="BH589" s="4" t="b">
        <v>1</v>
      </c>
      <c r="BI589" s="4" t="b">
        <v>1</v>
      </c>
      <c r="BO589" s="4" t="s">
        <v>1617</v>
      </c>
      <c r="BP589" s="4" t="b">
        <v>1</v>
      </c>
      <c r="BQ589" s="4" t="b">
        <v>1</v>
      </c>
      <c r="BR589" s="4" t="b">
        <v>1</v>
      </c>
      <c r="BS589" s="4" t="b">
        <v>1</v>
      </c>
      <c r="BT589" s="4" t="b">
        <v>1</v>
      </c>
    </row>
    <row r="590" spans="1:72" x14ac:dyDescent="0.35">
      <c r="A590" s="3"/>
      <c r="B590" s="7"/>
      <c r="C590" s="3" t="s">
        <v>1618</v>
      </c>
      <c r="D590" s="3"/>
      <c r="E590" s="3"/>
      <c r="G590" s="3" t="s">
        <v>3946</v>
      </c>
      <c r="H590" s="3" t="s">
        <v>1620</v>
      </c>
      <c r="I590" s="3" t="b">
        <v>1</v>
      </c>
      <c r="J590" s="3" t="b">
        <v>1</v>
      </c>
      <c r="K590" s="3" t="b">
        <v>1</v>
      </c>
      <c r="L590" s="3" t="b">
        <v>0</v>
      </c>
      <c r="M590" s="3" t="b">
        <v>1</v>
      </c>
      <c r="N590" s="3" t="b">
        <f t="shared" si="24"/>
        <v>0</v>
      </c>
      <c r="O590" s="3" t="b">
        <f t="shared" si="25"/>
        <v>0</v>
      </c>
      <c r="P590" s="3" t="b">
        <f t="shared" si="26"/>
        <v>0</v>
      </c>
      <c r="Q590" s="3" t="b">
        <f t="shared" si="27"/>
        <v>1</v>
      </c>
      <c r="R590" s="3" t="b">
        <f t="shared" si="28"/>
        <v>0</v>
      </c>
      <c r="S590" s="3" t="b">
        <f t="shared" si="29"/>
        <v>0</v>
      </c>
      <c r="U590" s="3" t="s">
        <v>1620</v>
      </c>
      <c r="V590" s="3" t="b">
        <v>1</v>
      </c>
      <c r="W590" s="3" t="b">
        <v>1</v>
      </c>
      <c r="X590" s="3" t="b">
        <v>1</v>
      </c>
      <c r="Y590" s="3" t="b">
        <v>0</v>
      </c>
      <c r="Z590" s="3" t="b">
        <v>1</v>
      </c>
      <c r="AA590" s="3"/>
      <c r="AB590" s="3"/>
      <c r="AC590" s="3"/>
      <c r="AD590" s="3"/>
      <c r="AF590" s="3" t="s">
        <v>1620</v>
      </c>
      <c r="AG590" s="3" t="b">
        <v>1</v>
      </c>
      <c r="AH590" s="3" t="b">
        <v>1</v>
      </c>
      <c r="AI590" s="3" t="b">
        <v>1</v>
      </c>
      <c r="AJ590" s="3" t="b">
        <v>0</v>
      </c>
      <c r="AK590" s="3" t="b">
        <v>1</v>
      </c>
      <c r="AL590" s="3"/>
      <c r="AM590" s="3"/>
      <c r="AN590" s="3"/>
      <c r="AO590" s="3"/>
      <c r="AQ590" s="4" t="s">
        <v>1621</v>
      </c>
      <c r="AR590" s="4" t="b">
        <v>1</v>
      </c>
      <c r="AS590" s="4" t="b">
        <v>0</v>
      </c>
      <c r="AT590" s="4" t="b">
        <v>0</v>
      </c>
      <c r="AU590" s="4" t="b">
        <v>0</v>
      </c>
      <c r="AV590" s="4" t="b">
        <v>0</v>
      </c>
      <c r="AW590" s="3" t="b">
        <f t="shared" si="30"/>
        <v>0</v>
      </c>
      <c r="AX590" s="3" t="b">
        <f t="shared" si="31"/>
        <v>0</v>
      </c>
      <c r="AY590" s="3" t="b">
        <f t="shared" si="32"/>
        <v>1</v>
      </c>
      <c r="AZ590" s="3" t="b">
        <f t="shared" si="33"/>
        <v>0</v>
      </c>
      <c r="BA590" s="3" t="b">
        <f t="shared" si="34"/>
        <v>0</v>
      </c>
      <c r="BB590" s="3" t="b">
        <f t="shared" si="35"/>
        <v>0</v>
      </c>
      <c r="BD590" s="4" t="s">
        <v>1622</v>
      </c>
      <c r="BE590" s="4" t="b">
        <v>1</v>
      </c>
      <c r="BF590" s="4" t="b">
        <v>1</v>
      </c>
      <c r="BG590" s="4" t="b">
        <v>1</v>
      </c>
      <c r="BH590" s="4" t="b">
        <v>1</v>
      </c>
      <c r="BI590" s="4" t="b">
        <v>1</v>
      </c>
      <c r="BO590" s="4" t="s">
        <v>1621</v>
      </c>
      <c r="BP590" s="4" t="b">
        <v>1</v>
      </c>
      <c r="BQ590" s="4" t="b">
        <v>0</v>
      </c>
      <c r="BR590" s="4" t="b">
        <v>0</v>
      </c>
      <c r="BS590" s="4" t="b">
        <v>0</v>
      </c>
      <c r="BT590" s="4" t="b">
        <v>0</v>
      </c>
    </row>
    <row r="591" spans="1:72" x14ac:dyDescent="0.35">
      <c r="A591" s="3"/>
      <c r="B591" s="7" t="s">
        <v>1623</v>
      </c>
      <c r="C591" s="3" t="s">
        <v>1624</v>
      </c>
      <c r="D591" s="3"/>
      <c r="E591" s="3"/>
      <c r="G591" s="3" t="s">
        <v>3947</v>
      </c>
      <c r="H591" s="3" t="s">
        <v>1626</v>
      </c>
      <c r="I591" s="3" t="b">
        <v>1</v>
      </c>
      <c r="J591" s="3" t="b">
        <v>1</v>
      </c>
      <c r="K591" s="3" t="b">
        <v>1</v>
      </c>
      <c r="L591" s="3" t="b">
        <v>1</v>
      </c>
      <c r="M591" s="3" t="b">
        <v>1</v>
      </c>
      <c r="N591" s="3" t="b">
        <f t="shared" si="24"/>
        <v>1</v>
      </c>
      <c r="O591" s="3" t="b">
        <f t="shared" si="25"/>
        <v>0</v>
      </c>
      <c r="P591" s="3" t="b">
        <f t="shared" si="26"/>
        <v>0</v>
      </c>
      <c r="Q591" s="3" t="b">
        <f t="shared" si="27"/>
        <v>0</v>
      </c>
      <c r="R591" s="3" t="b">
        <f t="shared" si="28"/>
        <v>0</v>
      </c>
      <c r="S591" s="3" t="b">
        <f t="shared" si="29"/>
        <v>0</v>
      </c>
      <c r="U591" s="3" t="s">
        <v>1626</v>
      </c>
      <c r="V591" s="3" t="b">
        <v>1</v>
      </c>
      <c r="W591" s="3" t="b">
        <v>1</v>
      </c>
      <c r="X591" s="3" t="b">
        <v>1</v>
      </c>
      <c r="Y591" s="3" t="b">
        <v>1</v>
      </c>
      <c r="Z591" s="3" t="b">
        <v>1</v>
      </c>
      <c r="AA591" s="3"/>
      <c r="AB591" s="3"/>
      <c r="AC591" s="3"/>
      <c r="AD591" s="3"/>
      <c r="AF591" s="3" t="s">
        <v>1626</v>
      </c>
      <c r="AG591" s="3" t="b">
        <v>1</v>
      </c>
      <c r="AH591" s="3" t="b">
        <v>1</v>
      </c>
      <c r="AI591" s="3" t="b">
        <v>1</v>
      </c>
      <c r="AJ591" s="3" t="b">
        <v>1</v>
      </c>
      <c r="AK591" s="3" t="b">
        <v>1</v>
      </c>
      <c r="AL591" s="3"/>
      <c r="AM591" s="3"/>
      <c r="AN591" s="3"/>
      <c r="AO591" s="3"/>
      <c r="AQ591" s="4" t="s">
        <v>1626</v>
      </c>
      <c r="AR591" s="4" t="b">
        <v>1</v>
      </c>
      <c r="AS591" s="4" t="b">
        <v>1</v>
      </c>
      <c r="AT591" s="4" t="b">
        <v>1</v>
      </c>
      <c r="AU591" s="4" t="b">
        <v>1</v>
      </c>
      <c r="AV591" s="4" t="b">
        <v>1</v>
      </c>
      <c r="AW591" s="3" t="b">
        <f t="shared" si="30"/>
        <v>1</v>
      </c>
      <c r="AX591" s="3" t="b">
        <f t="shared" si="31"/>
        <v>0</v>
      </c>
      <c r="AY591" s="3" t="b">
        <f t="shared" si="32"/>
        <v>0</v>
      </c>
      <c r="AZ591" s="3" t="b">
        <f t="shared" si="33"/>
        <v>0</v>
      </c>
      <c r="BA591" s="3" t="b">
        <f t="shared" si="34"/>
        <v>0</v>
      </c>
      <c r="BB591" s="3" t="b">
        <f t="shared" si="35"/>
        <v>0</v>
      </c>
      <c r="BD591" s="4" t="s">
        <v>1626</v>
      </c>
      <c r="BE591" s="4" t="b">
        <v>1</v>
      </c>
      <c r="BF591" s="4" t="b">
        <v>1</v>
      </c>
      <c r="BG591" s="4" t="b">
        <v>1</v>
      </c>
      <c r="BH591" s="4" t="b">
        <v>1</v>
      </c>
      <c r="BI591" s="4" t="b">
        <v>1</v>
      </c>
      <c r="BO591" s="4" t="s">
        <v>1626</v>
      </c>
      <c r="BP591" s="4" t="b">
        <v>1</v>
      </c>
      <c r="BQ591" s="4" t="b">
        <v>1</v>
      </c>
      <c r="BR591" s="4" t="b">
        <v>1</v>
      </c>
      <c r="BS591" s="4" t="b">
        <v>1</v>
      </c>
      <c r="BT591" s="4" t="b">
        <v>1</v>
      </c>
    </row>
    <row r="593" spans="1:55" x14ac:dyDescent="0.35">
      <c r="A593" s="4" t="s">
        <v>1627</v>
      </c>
      <c r="N593" s="4">
        <f t="shared" ref="N593:S593" si="36">COUNTIF(N1:N591,TRUE)</f>
        <v>314</v>
      </c>
      <c r="O593" s="4">
        <f t="shared" si="36"/>
        <v>16</v>
      </c>
      <c r="P593" s="4">
        <f t="shared" si="36"/>
        <v>72</v>
      </c>
      <c r="Q593" s="4">
        <f t="shared" si="36"/>
        <v>14</v>
      </c>
      <c r="R593" s="8">
        <f t="shared" si="36"/>
        <v>18</v>
      </c>
      <c r="S593" s="8">
        <f t="shared" si="36"/>
        <v>9</v>
      </c>
      <c r="T593" s="4">
        <f>SUM(N593:Q593)</f>
        <v>416</v>
      </c>
      <c r="AP593" s="4">
        <f>SUM(AL593:AO593)</f>
        <v>0</v>
      </c>
      <c r="AW593" s="4">
        <f t="shared" ref="AW593:BB593" si="37">COUNTIF(AW1:AW591,TRUE)</f>
        <v>262</v>
      </c>
      <c r="AX593" s="4">
        <f t="shared" si="37"/>
        <v>14</v>
      </c>
      <c r="AY593" s="4">
        <f t="shared" si="37"/>
        <v>94</v>
      </c>
      <c r="AZ593" s="4">
        <f t="shared" si="37"/>
        <v>46</v>
      </c>
      <c r="BA593" s="8">
        <f t="shared" si="37"/>
        <v>23</v>
      </c>
      <c r="BB593" s="8">
        <f t="shared" si="37"/>
        <v>13</v>
      </c>
      <c r="BC593" s="4">
        <f>SUM(AW593:AZ593)</f>
        <v>416</v>
      </c>
    </row>
    <row r="595" spans="1:55" x14ac:dyDescent="0.35">
      <c r="AW595" s="4">
        <v>0.94899999999999995</v>
      </c>
      <c r="BA595" s="4">
        <v>0.92700000000000005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617"/>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1.25" defaultRowHeight="15" customHeight="1" x14ac:dyDescent="0.35"/>
  <cols>
    <col min="1" max="1" width="13.4140625" customWidth="1"/>
    <col min="2" max="2" width="21.4140625" customWidth="1"/>
    <col min="3" max="4" width="33.4140625" customWidth="1"/>
    <col min="5" max="5" width="14.08203125" customWidth="1"/>
    <col min="6" max="7" width="33.4140625" customWidth="1"/>
  </cols>
  <sheetData>
    <row r="1" spans="1:28" x14ac:dyDescent="0.35">
      <c r="A1" s="1" t="s">
        <v>0</v>
      </c>
      <c r="B1" s="1" t="s">
        <v>1</v>
      </c>
      <c r="C1" s="1" t="s">
        <v>2</v>
      </c>
      <c r="D1" s="1" t="s">
        <v>3</v>
      </c>
      <c r="E1" s="1" t="s">
        <v>4</v>
      </c>
      <c r="F1" s="2" t="s">
        <v>5</v>
      </c>
      <c r="G1" s="2" t="s">
        <v>6</v>
      </c>
      <c r="H1" s="3"/>
      <c r="I1" s="3"/>
      <c r="J1" s="3"/>
      <c r="K1" s="3"/>
      <c r="L1" s="3"/>
      <c r="M1" s="3"/>
      <c r="N1" s="3"/>
      <c r="O1" s="3"/>
      <c r="P1" s="3"/>
      <c r="Q1" s="3"/>
      <c r="R1" s="3"/>
      <c r="S1" s="3"/>
      <c r="T1" s="3"/>
      <c r="U1" s="3"/>
      <c r="V1" s="3"/>
      <c r="W1" s="3"/>
      <c r="X1" s="3"/>
      <c r="Y1" s="3"/>
      <c r="Z1" s="3"/>
      <c r="AA1" s="3"/>
      <c r="AB1" s="3"/>
    </row>
    <row r="2" spans="1:28" x14ac:dyDescent="0.35">
      <c r="A2" s="3" t="s">
        <v>23</v>
      </c>
      <c r="B2" s="3" t="s">
        <v>24</v>
      </c>
      <c r="C2" s="3" t="s">
        <v>25</v>
      </c>
      <c r="D2" s="3"/>
      <c r="E2" s="3"/>
      <c r="F2" s="3"/>
      <c r="G2" s="3" t="s">
        <v>26</v>
      </c>
      <c r="H2" s="3"/>
      <c r="I2" s="3"/>
      <c r="J2" s="3"/>
      <c r="K2" s="3"/>
      <c r="L2" s="3"/>
      <c r="M2" s="3"/>
      <c r="N2" s="3"/>
      <c r="O2" s="3"/>
      <c r="P2" s="3"/>
      <c r="Q2" s="3"/>
      <c r="R2" s="3"/>
      <c r="S2" s="3"/>
      <c r="T2" s="3"/>
      <c r="U2" s="3"/>
      <c r="V2" s="3"/>
      <c r="W2" s="3"/>
      <c r="X2" s="3"/>
      <c r="Y2" s="3"/>
      <c r="Z2" s="3"/>
      <c r="AA2" s="3"/>
      <c r="AB2" s="3"/>
    </row>
    <row r="3" spans="1:28" x14ac:dyDescent="0.35">
      <c r="A3" s="3"/>
      <c r="B3" s="3"/>
      <c r="C3" s="3" t="s">
        <v>29</v>
      </c>
      <c r="D3" s="3"/>
      <c r="E3" s="3"/>
      <c r="F3" s="3"/>
      <c r="G3" s="3" t="s">
        <v>30</v>
      </c>
      <c r="H3" s="3"/>
      <c r="I3" s="3"/>
      <c r="J3" s="3"/>
      <c r="K3" s="3"/>
      <c r="L3" s="3"/>
      <c r="M3" s="3"/>
      <c r="N3" s="3"/>
      <c r="O3" s="3"/>
      <c r="P3" s="3"/>
      <c r="Q3" s="3"/>
      <c r="R3" s="3"/>
      <c r="S3" s="3"/>
      <c r="T3" s="3"/>
      <c r="U3" s="3"/>
      <c r="V3" s="3"/>
      <c r="W3" s="3"/>
      <c r="X3" s="3"/>
      <c r="Y3" s="3"/>
      <c r="Z3" s="3"/>
      <c r="AA3" s="3"/>
      <c r="AB3" s="3"/>
    </row>
    <row r="4" spans="1:28" x14ac:dyDescent="0.35">
      <c r="A4" s="3"/>
      <c r="B4" s="3" t="s">
        <v>32</v>
      </c>
      <c r="C4" s="3" t="s">
        <v>33</v>
      </c>
      <c r="D4" s="3" t="s">
        <v>34</v>
      </c>
      <c r="E4" s="3" t="s">
        <v>35</v>
      </c>
      <c r="F4" s="3"/>
      <c r="G4" s="3" t="s">
        <v>36</v>
      </c>
      <c r="H4" s="3"/>
      <c r="I4" s="3"/>
      <c r="J4" s="3"/>
      <c r="K4" s="3"/>
      <c r="L4" s="3"/>
      <c r="M4" s="3"/>
      <c r="N4" s="3"/>
      <c r="O4" s="3"/>
      <c r="P4" s="3"/>
      <c r="Q4" s="3"/>
      <c r="R4" s="3"/>
      <c r="S4" s="3"/>
      <c r="T4" s="3"/>
      <c r="U4" s="3"/>
      <c r="V4" s="3"/>
      <c r="W4" s="3"/>
      <c r="X4" s="3"/>
      <c r="Y4" s="3"/>
      <c r="Z4" s="3"/>
      <c r="AA4" s="3"/>
      <c r="AB4" s="3"/>
    </row>
    <row r="5" spans="1:28" x14ac:dyDescent="0.35">
      <c r="A5" s="3"/>
      <c r="B5" s="3"/>
      <c r="C5" s="3" t="s">
        <v>1628</v>
      </c>
      <c r="D5" s="3"/>
      <c r="E5" s="3"/>
      <c r="F5" s="3"/>
      <c r="G5" s="3" t="s">
        <v>39</v>
      </c>
      <c r="H5" s="3"/>
      <c r="I5" s="3"/>
      <c r="J5" s="3"/>
      <c r="K5" s="3"/>
      <c r="L5" s="3"/>
      <c r="M5" s="3"/>
      <c r="N5" s="3"/>
      <c r="O5" s="3"/>
      <c r="P5" s="3"/>
      <c r="Q5" s="3"/>
      <c r="R5" s="3"/>
      <c r="S5" s="3"/>
      <c r="T5" s="3"/>
      <c r="U5" s="3"/>
      <c r="V5" s="3"/>
      <c r="W5" s="3"/>
      <c r="X5" s="3"/>
      <c r="Y5" s="3"/>
      <c r="Z5" s="3"/>
      <c r="AA5" s="3"/>
      <c r="AB5" s="3"/>
    </row>
    <row r="6" spans="1:28" x14ac:dyDescent="0.35">
      <c r="A6" s="3"/>
      <c r="B6" s="3"/>
      <c r="C6" s="3" t="s">
        <v>43</v>
      </c>
      <c r="D6" s="3"/>
      <c r="E6" s="3"/>
      <c r="F6" s="3"/>
      <c r="G6" s="3" t="s">
        <v>44</v>
      </c>
      <c r="H6" s="3"/>
      <c r="I6" s="3"/>
      <c r="J6" s="3"/>
      <c r="K6" s="3"/>
      <c r="L6" s="3"/>
      <c r="M6" s="3"/>
      <c r="N6" s="3"/>
      <c r="O6" s="3"/>
      <c r="P6" s="3"/>
      <c r="Q6" s="3"/>
      <c r="R6" s="3"/>
      <c r="S6" s="3"/>
      <c r="T6" s="3"/>
      <c r="U6" s="3"/>
      <c r="V6" s="3"/>
      <c r="W6" s="3"/>
      <c r="X6" s="3"/>
      <c r="Y6" s="3"/>
      <c r="Z6" s="3"/>
      <c r="AA6" s="3"/>
      <c r="AB6" s="3"/>
    </row>
    <row r="7" spans="1:28" x14ac:dyDescent="0.35">
      <c r="A7" s="3"/>
      <c r="B7" s="3" t="s">
        <v>49</v>
      </c>
      <c r="C7" s="3" t="s">
        <v>50</v>
      </c>
      <c r="D7" s="3" t="s">
        <v>51</v>
      </c>
      <c r="E7" s="3" t="s">
        <v>52</v>
      </c>
      <c r="F7" s="3"/>
      <c r="G7" s="3" t="s">
        <v>53</v>
      </c>
      <c r="H7" s="3"/>
      <c r="I7" s="3"/>
      <c r="J7" s="3"/>
      <c r="K7" s="3"/>
      <c r="L7" s="3"/>
      <c r="M7" s="3"/>
      <c r="N7" s="3"/>
      <c r="O7" s="3"/>
      <c r="P7" s="3"/>
      <c r="Q7" s="3"/>
      <c r="R7" s="3"/>
      <c r="S7" s="3"/>
      <c r="T7" s="3"/>
      <c r="U7" s="3"/>
      <c r="V7" s="3"/>
      <c r="W7" s="3"/>
      <c r="X7" s="3"/>
      <c r="Y7" s="3"/>
      <c r="Z7" s="3"/>
      <c r="AA7" s="3"/>
      <c r="AB7" s="3"/>
    </row>
    <row r="8" spans="1:28" x14ac:dyDescent="0.35">
      <c r="A8" s="3"/>
      <c r="B8" s="3"/>
      <c r="C8" s="3" t="s">
        <v>57</v>
      </c>
      <c r="D8" s="3"/>
      <c r="E8" s="3"/>
      <c r="F8" s="3"/>
      <c r="G8" s="3" t="s">
        <v>58</v>
      </c>
      <c r="H8" s="3"/>
      <c r="I8" s="3"/>
      <c r="J8" s="3"/>
      <c r="K8" s="3"/>
      <c r="L8" s="3"/>
      <c r="M8" s="3"/>
      <c r="N8" s="3"/>
      <c r="O8" s="3"/>
      <c r="P8" s="3"/>
      <c r="Q8" s="3"/>
      <c r="R8" s="3"/>
      <c r="S8" s="3"/>
      <c r="T8" s="3"/>
      <c r="U8" s="3"/>
      <c r="V8" s="3"/>
      <c r="W8" s="3"/>
      <c r="X8" s="3"/>
      <c r="Y8" s="3"/>
      <c r="Z8" s="3"/>
      <c r="AA8" s="3"/>
      <c r="AB8" s="3"/>
    </row>
    <row r="9" spans="1:28" x14ac:dyDescent="0.35">
      <c r="A9" s="3"/>
      <c r="B9" s="3" t="s">
        <v>60</v>
      </c>
      <c r="C9" s="3" t="s">
        <v>61</v>
      </c>
      <c r="D9" s="3"/>
      <c r="E9" s="3"/>
      <c r="F9" s="3"/>
      <c r="G9" s="3" t="s">
        <v>62</v>
      </c>
      <c r="H9" s="3"/>
      <c r="I9" s="3"/>
      <c r="J9" s="3"/>
      <c r="K9" s="3"/>
      <c r="L9" s="3"/>
      <c r="M9" s="3"/>
      <c r="N9" s="3"/>
      <c r="O9" s="3"/>
      <c r="P9" s="3"/>
      <c r="Q9" s="3"/>
      <c r="R9" s="3"/>
      <c r="S9" s="3"/>
      <c r="T9" s="3"/>
      <c r="U9" s="3"/>
      <c r="V9" s="3"/>
      <c r="W9" s="3"/>
      <c r="X9" s="3"/>
      <c r="Y9" s="3"/>
      <c r="Z9" s="3"/>
      <c r="AA9" s="3"/>
      <c r="AB9" s="3"/>
    </row>
    <row r="10" spans="1:28" x14ac:dyDescent="0.35">
      <c r="A10" s="3"/>
      <c r="B10" s="3"/>
      <c r="C10" s="3" t="s">
        <v>64</v>
      </c>
      <c r="D10" s="3"/>
      <c r="E10" s="3"/>
      <c r="F10" s="3"/>
      <c r="G10" s="3" t="s">
        <v>65</v>
      </c>
      <c r="H10" s="3"/>
      <c r="I10" s="3"/>
      <c r="J10" s="3"/>
      <c r="K10" s="3"/>
      <c r="L10" s="3"/>
      <c r="M10" s="3"/>
      <c r="N10" s="3"/>
      <c r="O10" s="3"/>
      <c r="P10" s="3"/>
      <c r="Q10" s="3"/>
      <c r="R10" s="3"/>
      <c r="S10" s="3"/>
      <c r="T10" s="3"/>
      <c r="U10" s="3"/>
      <c r="V10" s="3"/>
      <c r="W10" s="3"/>
      <c r="X10" s="3"/>
      <c r="Y10" s="3"/>
      <c r="Z10" s="3"/>
      <c r="AA10" s="3"/>
      <c r="AB10" s="3"/>
    </row>
    <row r="11" spans="1:28" x14ac:dyDescent="0.35">
      <c r="A11" s="3"/>
      <c r="B11" s="3"/>
      <c r="C11" s="3" t="s">
        <v>68</v>
      </c>
      <c r="D11" s="3"/>
      <c r="E11" s="3"/>
      <c r="F11" s="3"/>
      <c r="G11" s="3" t="s">
        <v>69</v>
      </c>
      <c r="H11" s="3"/>
      <c r="I11" s="3"/>
      <c r="J11" s="3"/>
      <c r="K11" s="3"/>
      <c r="L11" s="3"/>
      <c r="M11" s="3"/>
      <c r="N11" s="3"/>
      <c r="O11" s="3"/>
      <c r="P11" s="3"/>
      <c r="Q11" s="3"/>
      <c r="R11" s="3"/>
      <c r="S11" s="3"/>
      <c r="T11" s="3"/>
      <c r="U11" s="3"/>
      <c r="V11" s="3"/>
      <c r="W11" s="3"/>
      <c r="X11" s="3"/>
      <c r="Y11" s="3"/>
      <c r="Z11" s="3"/>
      <c r="AA11" s="3"/>
      <c r="AB11" s="3"/>
    </row>
    <row r="12" spans="1:28" x14ac:dyDescent="0.35">
      <c r="A12" s="3"/>
      <c r="B12" s="3" t="s">
        <v>74</v>
      </c>
      <c r="C12" s="3" t="s">
        <v>75</v>
      </c>
      <c r="D12" s="3" t="s">
        <v>76</v>
      </c>
      <c r="E12" s="3" t="s">
        <v>77</v>
      </c>
      <c r="F12" s="3"/>
      <c r="G12" s="3" t="s">
        <v>78</v>
      </c>
      <c r="H12" s="3"/>
      <c r="I12" s="3"/>
      <c r="J12" s="3"/>
      <c r="K12" s="3"/>
      <c r="L12" s="3"/>
      <c r="M12" s="3"/>
      <c r="N12" s="3"/>
      <c r="O12" s="3"/>
      <c r="P12" s="3"/>
      <c r="Q12" s="3"/>
      <c r="R12" s="3"/>
      <c r="S12" s="3"/>
      <c r="T12" s="3"/>
      <c r="U12" s="3"/>
      <c r="V12" s="3"/>
      <c r="W12" s="3"/>
      <c r="X12" s="3"/>
      <c r="Y12" s="3"/>
      <c r="Z12" s="3"/>
      <c r="AA12" s="3"/>
      <c r="AB12" s="3"/>
    </row>
    <row r="13" spans="1:28" x14ac:dyDescent="0.35">
      <c r="A13" s="3"/>
      <c r="B13" s="3"/>
      <c r="C13" s="3" t="s">
        <v>83</v>
      </c>
      <c r="D13" s="3"/>
      <c r="E13" s="3"/>
      <c r="F13" s="3"/>
      <c r="G13" s="3" t="s">
        <v>84</v>
      </c>
      <c r="H13" s="3"/>
      <c r="I13" s="3"/>
      <c r="J13" s="3"/>
      <c r="K13" s="3"/>
      <c r="L13" s="3"/>
      <c r="M13" s="3"/>
      <c r="N13" s="3"/>
      <c r="O13" s="3"/>
      <c r="P13" s="3"/>
      <c r="Q13" s="3"/>
      <c r="R13" s="3"/>
      <c r="S13" s="3"/>
      <c r="T13" s="3"/>
      <c r="U13" s="3"/>
      <c r="V13" s="3"/>
      <c r="W13" s="3"/>
      <c r="X13" s="3"/>
      <c r="Y13" s="3"/>
      <c r="Z13" s="3"/>
      <c r="AA13" s="3"/>
      <c r="AB13" s="3"/>
    </row>
    <row r="14" spans="1:28" x14ac:dyDescent="0.35">
      <c r="A14" s="3"/>
      <c r="B14" s="3"/>
      <c r="C14" s="3" t="s">
        <v>89</v>
      </c>
      <c r="D14" s="3"/>
      <c r="E14" s="3"/>
      <c r="F14" s="3"/>
      <c r="G14" s="3" t="s">
        <v>90</v>
      </c>
      <c r="H14" s="3"/>
      <c r="I14" s="3"/>
      <c r="J14" s="3"/>
      <c r="K14" s="3"/>
      <c r="L14" s="3"/>
      <c r="M14" s="3"/>
      <c r="N14" s="3"/>
      <c r="O14" s="3"/>
      <c r="P14" s="3"/>
      <c r="Q14" s="3"/>
      <c r="R14" s="3"/>
      <c r="S14" s="3"/>
      <c r="T14" s="3"/>
      <c r="U14" s="3"/>
      <c r="V14" s="3"/>
      <c r="W14" s="3"/>
      <c r="X14" s="3"/>
      <c r="Y14" s="3"/>
      <c r="Z14" s="3"/>
      <c r="AA14" s="3"/>
      <c r="AB14" s="3"/>
    </row>
    <row r="15" spans="1:28" x14ac:dyDescent="0.35">
      <c r="A15" s="3"/>
      <c r="B15" s="3"/>
      <c r="C15" s="3" t="s">
        <v>97</v>
      </c>
      <c r="D15" s="3"/>
      <c r="E15" s="3"/>
      <c r="F15" s="3"/>
      <c r="G15" s="3" t="s">
        <v>98</v>
      </c>
      <c r="H15" s="3"/>
      <c r="I15" s="3"/>
      <c r="J15" s="3"/>
      <c r="K15" s="3"/>
      <c r="L15" s="3"/>
      <c r="M15" s="3"/>
      <c r="N15" s="3"/>
      <c r="O15" s="3"/>
      <c r="P15" s="3"/>
      <c r="Q15" s="3"/>
      <c r="R15" s="3"/>
      <c r="S15" s="3"/>
      <c r="T15" s="3"/>
      <c r="U15" s="3"/>
      <c r="V15" s="3"/>
      <c r="W15" s="3"/>
      <c r="X15" s="3"/>
      <c r="Y15" s="3"/>
      <c r="Z15" s="3"/>
      <c r="AA15" s="3"/>
      <c r="AB15" s="3"/>
    </row>
    <row r="16" spans="1:28" x14ac:dyDescent="0.35">
      <c r="A16" s="3"/>
      <c r="B16" s="3" t="s">
        <v>103</v>
      </c>
      <c r="C16" s="3"/>
      <c r="D16" s="3" t="s">
        <v>34</v>
      </c>
      <c r="E16" s="3" t="s">
        <v>35</v>
      </c>
      <c r="F16" s="3"/>
      <c r="G16" s="3"/>
      <c r="H16" s="3"/>
      <c r="I16" s="3"/>
      <c r="J16" s="3"/>
      <c r="K16" s="3"/>
      <c r="L16" s="3"/>
      <c r="M16" s="3"/>
      <c r="N16" s="3"/>
      <c r="O16" s="3"/>
      <c r="P16" s="3"/>
      <c r="Q16" s="3"/>
      <c r="R16" s="3"/>
      <c r="S16" s="3"/>
      <c r="T16" s="3"/>
      <c r="U16" s="3"/>
      <c r="V16" s="3"/>
      <c r="W16" s="3"/>
      <c r="X16" s="3"/>
      <c r="Y16" s="3"/>
      <c r="Z16" s="3"/>
      <c r="AA16" s="3"/>
      <c r="AB16" s="3"/>
    </row>
    <row r="17" spans="1:28" x14ac:dyDescent="0.35">
      <c r="A17" s="3"/>
      <c r="B17" s="3" t="s">
        <v>104</v>
      </c>
      <c r="C17" s="3"/>
      <c r="D17" s="3" t="s">
        <v>34</v>
      </c>
      <c r="E17" s="3" t="s">
        <v>35</v>
      </c>
      <c r="F17" s="3"/>
      <c r="G17" s="3"/>
      <c r="H17" s="3"/>
      <c r="I17" s="3"/>
      <c r="J17" s="3"/>
      <c r="K17" s="3"/>
      <c r="L17" s="3"/>
      <c r="M17" s="3"/>
      <c r="N17" s="3"/>
      <c r="O17" s="3"/>
      <c r="P17" s="3"/>
      <c r="Q17" s="3"/>
      <c r="R17" s="3"/>
      <c r="S17" s="3"/>
      <c r="T17" s="3"/>
      <c r="U17" s="3"/>
      <c r="V17" s="3"/>
      <c r="W17" s="3"/>
      <c r="X17" s="3"/>
      <c r="Y17" s="3"/>
      <c r="Z17" s="3"/>
      <c r="AA17" s="3"/>
      <c r="AB17" s="3"/>
    </row>
    <row r="18" spans="1:28" x14ac:dyDescent="0.35">
      <c r="A18" s="3"/>
      <c r="B18" s="3"/>
      <c r="C18" s="3"/>
      <c r="D18" s="3" t="s">
        <v>76</v>
      </c>
      <c r="E18" s="3" t="s">
        <v>77</v>
      </c>
      <c r="F18" s="3"/>
      <c r="G18" s="3"/>
      <c r="H18" s="3"/>
      <c r="I18" s="3"/>
      <c r="J18" s="3"/>
      <c r="K18" s="3"/>
      <c r="L18" s="3"/>
      <c r="M18" s="3"/>
      <c r="N18" s="3"/>
      <c r="O18" s="3"/>
      <c r="P18" s="3"/>
      <c r="Q18" s="3"/>
      <c r="R18" s="3"/>
      <c r="S18" s="3"/>
      <c r="T18" s="3"/>
      <c r="U18" s="3"/>
      <c r="V18" s="3"/>
      <c r="W18" s="3"/>
      <c r="X18" s="3"/>
      <c r="Y18" s="3"/>
      <c r="Z18" s="3"/>
      <c r="AA18" s="3"/>
      <c r="AB18" s="3"/>
    </row>
    <row r="19" spans="1:28" x14ac:dyDescent="0.35">
      <c r="A19" s="3"/>
      <c r="B19" s="3" t="s">
        <v>105</v>
      </c>
      <c r="C19" s="4" t="s">
        <v>25</v>
      </c>
      <c r="D19" s="3"/>
      <c r="E19" s="3"/>
      <c r="F19" s="3"/>
      <c r="G19" s="3" t="s">
        <v>106</v>
      </c>
      <c r="H19" s="3"/>
      <c r="I19" s="3"/>
      <c r="J19" s="3"/>
      <c r="K19" s="3"/>
      <c r="L19" s="3"/>
      <c r="M19" s="3"/>
      <c r="N19" s="3"/>
      <c r="O19" s="3"/>
      <c r="P19" s="3"/>
      <c r="Q19" s="3"/>
      <c r="R19" s="3"/>
      <c r="S19" s="3"/>
      <c r="T19" s="3"/>
      <c r="U19" s="3"/>
      <c r="V19" s="3"/>
      <c r="W19" s="3"/>
      <c r="X19" s="3"/>
      <c r="Y19" s="3"/>
      <c r="Z19" s="3"/>
      <c r="AA19" s="3"/>
      <c r="AB19" s="3"/>
    </row>
    <row r="20" spans="1:28" x14ac:dyDescent="0.35">
      <c r="A20" s="3"/>
      <c r="B20" s="3"/>
      <c r="C20" s="3" t="s">
        <v>29</v>
      </c>
      <c r="D20" s="3"/>
      <c r="E20" s="3"/>
      <c r="F20" s="3"/>
      <c r="G20" s="3" t="s">
        <v>107</v>
      </c>
      <c r="H20" s="3"/>
      <c r="I20" s="3"/>
      <c r="J20" s="3"/>
      <c r="K20" s="3"/>
      <c r="L20" s="3"/>
      <c r="M20" s="3"/>
      <c r="N20" s="3"/>
      <c r="O20" s="3"/>
      <c r="P20" s="3"/>
      <c r="Q20" s="3"/>
      <c r="R20" s="3"/>
      <c r="S20" s="3"/>
      <c r="T20" s="3"/>
      <c r="U20" s="3"/>
      <c r="V20" s="3"/>
      <c r="W20" s="3"/>
      <c r="X20" s="3"/>
      <c r="Y20" s="3"/>
      <c r="Z20" s="3"/>
      <c r="AA20" s="3"/>
      <c r="AB20" s="3"/>
    </row>
    <row r="21" spans="1:28" x14ac:dyDescent="0.35">
      <c r="A21" s="3"/>
      <c r="B21" s="3" t="s">
        <v>108</v>
      </c>
      <c r="C21" s="3" t="s">
        <v>109</v>
      </c>
      <c r="D21" s="3"/>
      <c r="E21" s="3"/>
      <c r="F21" s="3"/>
      <c r="G21" s="3" t="s">
        <v>110</v>
      </c>
      <c r="H21" s="3"/>
      <c r="I21" s="3"/>
      <c r="J21" s="3"/>
      <c r="K21" s="3"/>
      <c r="L21" s="3"/>
      <c r="M21" s="3"/>
      <c r="N21" s="3"/>
      <c r="O21" s="3"/>
      <c r="P21" s="3"/>
      <c r="Q21" s="3"/>
      <c r="R21" s="3"/>
      <c r="S21" s="3"/>
      <c r="T21" s="3"/>
      <c r="U21" s="3"/>
      <c r="V21" s="3"/>
      <c r="W21" s="3"/>
      <c r="X21" s="3"/>
      <c r="Y21" s="3"/>
      <c r="Z21" s="3"/>
      <c r="AA21" s="3"/>
      <c r="AB21" s="3"/>
    </row>
    <row r="22" spans="1:28" x14ac:dyDescent="0.35">
      <c r="A22" s="3"/>
      <c r="B22" s="3"/>
      <c r="C22" s="3" t="s">
        <v>113</v>
      </c>
      <c r="D22" s="3"/>
      <c r="E22" s="3"/>
      <c r="F22" s="3"/>
      <c r="G22" s="3" t="s">
        <v>114</v>
      </c>
      <c r="H22" s="3"/>
      <c r="I22" s="3"/>
      <c r="J22" s="3"/>
      <c r="K22" s="3"/>
      <c r="L22" s="3"/>
      <c r="M22" s="3"/>
      <c r="N22" s="3"/>
      <c r="O22" s="3"/>
      <c r="P22" s="3"/>
      <c r="Q22" s="3"/>
      <c r="R22" s="3"/>
      <c r="S22" s="3"/>
      <c r="T22" s="3"/>
      <c r="U22" s="3"/>
      <c r="V22" s="3"/>
      <c r="W22" s="3"/>
      <c r="X22" s="3"/>
      <c r="Y22" s="3"/>
      <c r="Z22" s="3"/>
      <c r="AA22" s="3"/>
      <c r="AB22" s="3"/>
    </row>
    <row r="23" spans="1:28" x14ac:dyDescent="0.35">
      <c r="A23" s="3"/>
      <c r="B23" s="3"/>
      <c r="C23" s="3" t="s">
        <v>119</v>
      </c>
      <c r="D23" s="3"/>
      <c r="E23" s="3"/>
      <c r="F23" s="3"/>
      <c r="G23" s="3" t="s">
        <v>120</v>
      </c>
      <c r="H23" s="3"/>
      <c r="I23" s="3"/>
      <c r="J23" s="3"/>
      <c r="K23" s="3"/>
      <c r="L23" s="3"/>
      <c r="M23" s="3"/>
      <c r="N23" s="3"/>
      <c r="O23" s="3"/>
      <c r="P23" s="3"/>
      <c r="Q23" s="3"/>
      <c r="R23" s="3"/>
      <c r="S23" s="3"/>
      <c r="T23" s="3"/>
      <c r="U23" s="3"/>
      <c r="V23" s="3"/>
      <c r="W23" s="3"/>
      <c r="X23" s="3"/>
      <c r="Y23" s="3"/>
      <c r="Z23" s="3"/>
      <c r="AA23" s="3"/>
      <c r="AB23" s="3"/>
    </row>
    <row r="24" spans="1:28" x14ac:dyDescent="0.35">
      <c r="A24" s="3"/>
      <c r="B24" s="3"/>
      <c r="C24" s="3" t="s">
        <v>125</v>
      </c>
      <c r="D24" s="3"/>
      <c r="E24" s="3"/>
      <c r="F24" s="3"/>
      <c r="G24" s="3" t="s">
        <v>126</v>
      </c>
      <c r="H24" s="3"/>
      <c r="I24" s="3"/>
      <c r="J24" s="3"/>
      <c r="K24" s="3"/>
      <c r="L24" s="3"/>
      <c r="M24" s="3"/>
      <c r="N24" s="3"/>
      <c r="O24" s="3"/>
      <c r="P24" s="3"/>
      <c r="Q24" s="3"/>
      <c r="R24" s="3"/>
      <c r="S24" s="3"/>
      <c r="T24" s="3"/>
      <c r="U24" s="3"/>
      <c r="V24" s="3"/>
      <c r="W24" s="3"/>
      <c r="X24" s="3"/>
      <c r="Y24" s="3"/>
      <c r="Z24" s="3"/>
      <c r="AA24" s="3"/>
      <c r="AB24" s="3"/>
    </row>
    <row r="25" spans="1:28" x14ac:dyDescent="0.35">
      <c r="A25" s="3"/>
      <c r="B25" s="3"/>
      <c r="C25" s="3" t="s">
        <v>131</v>
      </c>
      <c r="D25" s="3"/>
      <c r="E25" s="3"/>
      <c r="F25" s="3"/>
      <c r="G25" s="3" t="s">
        <v>132</v>
      </c>
      <c r="H25" s="3"/>
      <c r="I25" s="3"/>
      <c r="J25" s="3"/>
      <c r="K25" s="3"/>
      <c r="L25" s="3"/>
      <c r="M25" s="3"/>
      <c r="N25" s="3"/>
      <c r="O25" s="3"/>
      <c r="P25" s="3"/>
      <c r="Q25" s="3"/>
      <c r="R25" s="3"/>
      <c r="S25" s="3"/>
      <c r="T25" s="3"/>
      <c r="U25" s="3"/>
      <c r="V25" s="3"/>
      <c r="W25" s="3"/>
      <c r="X25" s="3"/>
      <c r="Y25" s="3"/>
      <c r="Z25" s="3"/>
      <c r="AA25" s="3"/>
      <c r="AB25" s="3"/>
    </row>
    <row r="26" spans="1:28" x14ac:dyDescent="0.35">
      <c r="A26" s="3"/>
      <c r="B26" s="3" t="s">
        <v>134</v>
      </c>
      <c r="C26" s="3"/>
      <c r="D26" s="3" t="s">
        <v>174</v>
      </c>
      <c r="E26" s="3" t="s">
        <v>175</v>
      </c>
      <c r="F26" s="3"/>
      <c r="G26" s="3"/>
      <c r="H26" s="3"/>
      <c r="I26" s="3"/>
      <c r="J26" s="3"/>
      <c r="K26" s="3"/>
      <c r="L26" s="3"/>
      <c r="M26" s="3"/>
      <c r="N26" s="3"/>
      <c r="O26" s="3"/>
      <c r="P26" s="3"/>
      <c r="Q26" s="3"/>
      <c r="R26" s="3"/>
      <c r="S26" s="3"/>
      <c r="T26" s="3"/>
      <c r="U26" s="3"/>
      <c r="V26" s="3"/>
      <c r="W26" s="3"/>
      <c r="X26" s="3"/>
      <c r="Y26" s="3"/>
      <c r="Z26" s="3"/>
      <c r="AA26" s="3"/>
      <c r="AB26" s="3"/>
    </row>
    <row r="27" spans="1:28" x14ac:dyDescent="0.35">
      <c r="A27" s="3"/>
      <c r="B27" s="3" t="s">
        <v>135</v>
      </c>
      <c r="C27" s="3" t="s">
        <v>1629</v>
      </c>
      <c r="D27" s="3"/>
      <c r="E27" s="3"/>
      <c r="F27" s="3"/>
      <c r="G27" s="3" t="s">
        <v>1630</v>
      </c>
      <c r="H27" s="3"/>
      <c r="I27" s="3"/>
      <c r="J27" s="3"/>
      <c r="K27" s="3"/>
      <c r="L27" s="3"/>
      <c r="M27" s="3"/>
      <c r="N27" s="3"/>
      <c r="O27" s="3"/>
      <c r="P27" s="3"/>
      <c r="Q27" s="3"/>
      <c r="R27" s="3"/>
      <c r="S27" s="3"/>
      <c r="T27" s="3"/>
      <c r="U27" s="3"/>
      <c r="V27" s="3"/>
      <c r="W27" s="3"/>
      <c r="X27" s="3"/>
      <c r="Y27" s="3"/>
      <c r="Z27" s="3"/>
      <c r="AA27" s="3"/>
      <c r="AB27" s="3"/>
    </row>
    <row r="28" spans="1:28" x14ac:dyDescent="0.35">
      <c r="A28" s="3"/>
      <c r="B28" s="3"/>
      <c r="C28" s="3" t="s">
        <v>1631</v>
      </c>
      <c r="D28" s="3"/>
      <c r="E28" s="3"/>
      <c r="F28" s="3"/>
      <c r="G28" s="3" t="s">
        <v>1632</v>
      </c>
      <c r="H28" s="3"/>
      <c r="I28" s="3"/>
      <c r="J28" s="3"/>
      <c r="K28" s="3"/>
      <c r="L28" s="3"/>
      <c r="M28" s="3"/>
      <c r="N28" s="3"/>
      <c r="O28" s="3"/>
      <c r="P28" s="3"/>
      <c r="Q28" s="3"/>
      <c r="R28" s="3"/>
      <c r="S28" s="3"/>
      <c r="T28" s="3"/>
      <c r="U28" s="3"/>
      <c r="V28" s="3"/>
      <c r="W28" s="3"/>
      <c r="X28" s="3"/>
      <c r="Y28" s="3"/>
      <c r="Z28" s="3"/>
      <c r="AA28" s="3"/>
      <c r="AB28" s="3"/>
    </row>
    <row r="29" spans="1:28" x14ac:dyDescent="0.35">
      <c r="A29" s="3"/>
      <c r="B29" s="3"/>
      <c r="C29" s="3" t="s">
        <v>1633</v>
      </c>
      <c r="D29" s="3"/>
      <c r="E29" s="3"/>
      <c r="F29" s="3"/>
      <c r="G29" s="3" t="s">
        <v>1634</v>
      </c>
      <c r="H29" s="3"/>
      <c r="I29" s="3"/>
      <c r="J29" s="3"/>
      <c r="K29" s="3"/>
      <c r="L29" s="3"/>
      <c r="M29" s="3"/>
      <c r="N29" s="3"/>
      <c r="O29" s="3"/>
      <c r="P29" s="3"/>
      <c r="Q29" s="3"/>
      <c r="R29" s="3"/>
      <c r="S29" s="3"/>
      <c r="T29" s="3"/>
      <c r="U29" s="3"/>
      <c r="V29" s="3"/>
      <c r="W29" s="3"/>
      <c r="X29" s="3"/>
      <c r="Y29" s="3"/>
      <c r="Z29" s="3"/>
      <c r="AA29" s="3"/>
      <c r="AB29" s="3"/>
    </row>
    <row r="30" spans="1:28" x14ac:dyDescent="0.35">
      <c r="A30" s="3"/>
      <c r="B30" s="3" t="s">
        <v>136</v>
      </c>
      <c r="C30" s="3" t="s">
        <v>1635</v>
      </c>
      <c r="D30" s="3"/>
      <c r="E30" s="3"/>
      <c r="F30" s="3"/>
      <c r="G30" s="3" t="s">
        <v>1636</v>
      </c>
      <c r="H30" s="3"/>
      <c r="I30" s="3"/>
      <c r="J30" s="3"/>
      <c r="K30" s="3"/>
      <c r="L30" s="3"/>
      <c r="M30" s="3"/>
      <c r="N30" s="3"/>
      <c r="O30" s="3"/>
      <c r="P30" s="3"/>
      <c r="Q30" s="3"/>
      <c r="R30" s="3"/>
      <c r="S30" s="3"/>
      <c r="T30" s="3"/>
      <c r="U30" s="3"/>
      <c r="V30" s="3"/>
      <c r="W30" s="3"/>
      <c r="X30" s="3"/>
      <c r="Y30" s="3"/>
      <c r="Z30" s="3"/>
      <c r="AA30" s="3"/>
      <c r="AB30" s="3"/>
    </row>
    <row r="31" spans="1:28" x14ac:dyDescent="0.35">
      <c r="A31" s="5"/>
      <c r="B31" s="5" t="s">
        <v>137</v>
      </c>
      <c r="C31" s="5" t="s">
        <v>131</v>
      </c>
      <c r="D31" s="5"/>
      <c r="E31" s="5"/>
      <c r="F31" s="5"/>
      <c r="G31" s="5"/>
      <c r="H31" s="5"/>
      <c r="I31" s="5"/>
      <c r="J31" s="5"/>
      <c r="K31" s="5"/>
      <c r="L31" s="5"/>
      <c r="M31" s="5"/>
      <c r="N31" s="5"/>
      <c r="O31" s="5"/>
      <c r="P31" s="5"/>
      <c r="Q31" s="5"/>
      <c r="R31" s="5"/>
      <c r="S31" s="5"/>
      <c r="T31" s="5"/>
      <c r="U31" s="5"/>
      <c r="V31" s="5"/>
      <c r="W31" s="5"/>
      <c r="X31" s="5"/>
      <c r="Y31" s="5"/>
      <c r="Z31" s="5"/>
      <c r="AA31" s="5"/>
      <c r="AB31" s="5"/>
    </row>
    <row r="32" spans="1:28" x14ac:dyDescent="0.35">
      <c r="A32" s="3"/>
      <c r="B32" s="3" t="s">
        <v>138</v>
      </c>
      <c r="C32" s="3" t="s">
        <v>1629</v>
      </c>
      <c r="D32" s="3"/>
      <c r="E32" s="3"/>
      <c r="F32" s="3"/>
      <c r="G32" s="3" t="s">
        <v>1630</v>
      </c>
      <c r="H32" s="3"/>
      <c r="I32" s="3"/>
      <c r="J32" s="3"/>
      <c r="K32" s="3"/>
      <c r="L32" s="3"/>
      <c r="M32" s="3"/>
      <c r="N32" s="3"/>
      <c r="O32" s="3"/>
      <c r="P32" s="3"/>
      <c r="Q32" s="3"/>
      <c r="R32" s="3"/>
      <c r="S32" s="3"/>
      <c r="T32" s="3"/>
      <c r="U32" s="3"/>
      <c r="V32" s="3"/>
      <c r="W32" s="3"/>
      <c r="X32" s="3"/>
      <c r="Y32" s="3"/>
      <c r="Z32" s="3"/>
      <c r="AA32" s="3"/>
      <c r="AB32" s="3"/>
    </row>
    <row r="33" spans="1:28" x14ac:dyDescent="0.35">
      <c r="A33" s="3"/>
      <c r="B33" s="3"/>
      <c r="C33" s="3" t="s">
        <v>1631</v>
      </c>
      <c r="D33" s="3"/>
      <c r="E33" s="3"/>
      <c r="F33" s="3"/>
      <c r="G33" s="3" t="s">
        <v>1637</v>
      </c>
      <c r="H33" s="3"/>
      <c r="I33" s="3"/>
      <c r="J33" s="3"/>
      <c r="K33" s="3"/>
      <c r="L33" s="3"/>
      <c r="M33" s="3"/>
      <c r="N33" s="3"/>
      <c r="O33" s="3"/>
      <c r="P33" s="3"/>
      <c r="Q33" s="3"/>
      <c r="R33" s="3"/>
      <c r="S33" s="3"/>
      <c r="T33" s="3"/>
      <c r="U33" s="3"/>
      <c r="V33" s="3"/>
      <c r="W33" s="3"/>
      <c r="X33" s="3"/>
      <c r="Y33" s="3"/>
      <c r="Z33" s="3"/>
      <c r="AA33" s="3"/>
      <c r="AB33" s="3"/>
    </row>
    <row r="34" spans="1:28" x14ac:dyDescent="0.35">
      <c r="A34" s="3"/>
      <c r="B34" s="3"/>
      <c r="C34" s="3" t="s">
        <v>1638</v>
      </c>
      <c r="D34" s="3"/>
      <c r="E34" s="3"/>
      <c r="F34" s="3"/>
      <c r="G34" s="3" t="s">
        <v>1639</v>
      </c>
      <c r="H34" s="3"/>
      <c r="I34" s="3"/>
      <c r="J34" s="3"/>
      <c r="K34" s="3"/>
      <c r="L34" s="3"/>
      <c r="M34" s="3"/>
      <c r="N34" s="3"/>
      <c r="O34" s="3"/>
      <c r="P34" s="3"/>
      <c r="Q34" s="3"/>
      <c r="R34" s="3"/>
      <c r="S34" s="3"/>
      <c r="T34" s="3"/>
      <c r="U34" s="3"/>
      <c r="V34" s="3"/>
      <c r="W34" s="3"/>
      <c r="X34" s="3"/>
      <c r="Y34" s="3"/>
      <c r="Z34" s="3"/>
      <c r="AA34" s="3"/>
      <c r="AB34" s="3"/>
    </row>
    <row r="35" spans="1:28" x14ac:dyDescent="0.35">
      <c r="A35" s="5"/>
      <c r="B35" s="5" t="s">
        <v>139</v>
      </c>
      <c r="C35" s="5" t="s">
        <v>131</v>
      </c>
      <c r="D35" s="5"/>
      <c r="E35" s="5"/>
      <c r="F35" s="5"/>
      <c r="G35" s="5"/>
      <c r="H35" s="5"/>
      <c r="I35" s="5"/>
      <c r="J35" s="5"/>
      <c r="K35" s="5"/>
      <c r="L35" s="5"/>
      <c r="M35" s="5"/>
      <c r="N35" s="5"/>
      <c r="O35" s="5"/>
      <c r="P35" s="5"/>
      <c r="Q35" s="5"/>
      <c r="R35" s="5"/>
      <c r="S35" s="5"/>
      <c r="T35" s="5"/>
      <c r="U35" s="5"/>
      <c r="V35" s="5"/>
      <c r="W35" s="5"/>
      <c r="X35" s="5"/>
      <c r="Y35" s="5"/>
      <c r="Z35" s="5"/>
      <c r="AA35" s="5"/>
      <c r="AB35" s="5"/>
    </row>
    <row r="36" spans="1:28" x14ac:dyDescent="0.35">
      <c r="A36" s="5"/>
      <c r="B36" s="5" t="s">
        <v>140</v>
      </c>
      <c r="C36" s="5" t="s">
        <v>131</v>
      </c>
      <c r="D36" s="5" t="s">
        <v>76</v>
      </c>
      <c r="E36" s="5" t="s">
        <v>77</v>
      </c>
      <c r="F36" s="5"/>
      <c r="G36" s="5"/>
      <c r="H36" s="5"/>
      <c r="I36" s="5"/>
      <c r="J36" s="5"/>
      <c r="K36" s="5"/>
      <c r="L36" s="5"/>
      <c r="M36" s="5"/>
      <c r="N36" s="5"/>
      <c r="O36" s="5"/>
      <c r="P36" s="5"/>
      <c r="Q36" s="5"/>
      <c r="R36" s="5"/>
      <c r="S36" s="5"/>
      <c r="T36" s="5"/>
      <c r="U36" s="5"/>
      <c r="V36" s="5"/>
      <c r="W36" s="5"/>
      <c r="X36" s="5"/>
      <c r="Y36" s="5"/>
      <c r="Z36" s="5"/>
      <c r="AA36" s="5"/>
      <c r="AB36" s="5"/>
    </row>
    <row r="37" spans="1:28" x14ac:dyDescent="0.35">
      <c r="A37" s="3"/>
      <c r="B37" s="3" t="s">
        <v>141</v>
      </c>
      <c r="C37" s="3" t="s">
        <v>142</v>
      </c>
      <c r="D37" s="3" t="s">
        <v>143</v>
      </c>
      <c r="E37" s="3" t="s">
        <v>144</v>
      </c>
      <c r="F37" s="3"/>
      <c r="G37" s="3" t="s">
        <v>145</v>
      </c>
      <c r="H37" s="3"/>
      <c r="I37" s="3"/>
      <c r="J37" s="3"/>
      <c r="K37" s="3"/>
      <c r="L37" s="3"/>
      <c r="M37" s="3"/>
      <c r="N37" s="3"/>
      <c r="O37" s="3"/>
      <c r="P37" s="3"/>
      <c r="Q37" s="3"/>
      <c r="R37" s="3"/>
      <c r="S37" s="3"/>
      <c r="T37" s="3"/>
      <c r="U37" s="3"/>
      <c r="V37" s="3"/>
      <c r="W37" s="3"/>
      <c r="X37" s="3"/>
      <c r="Y37" s="3"/>
      <c r="Z37" s="3"/>
      <c r="AA37" s="3"/>
      <c r="AB37" s="3"/>
    </row>
    <row r="38" spans="1:28" x14ac:dyDescent="0.35">
      <c r="A38" s="3"/>
      <c r="B38" s="3"/>
      <c r="C38" s="3" t="s">
        <v>148</v>
      </c>
      <c r="D38" s="3"/>
      <c r="E38" s="3"/>
      <c r="F38" s="3"/>
      <c r="G38" s="3" t="s">
        <v>149</v>
      </c>
      <c r="H38" s="3"/>
      <c r="I38" s="3"/>
      <c r="J38" s="3"/>
      <c r="K38" s="3"/>
      <c r="L38" s="3"/>
      <c r="M38" s="3"/>
      <c r="N38" s="3"/>
      <c r="O38" s="3"/>
      <c r="P38" s="3"/>
      <c r="Q38" s="3"/>
      <c r="R38" s="3"/>
      <c r="S38" s="3"/>
      <c r="T38" s="3"/>
      <c r="U38" s="3"/>
      <c r="V38" s="3"/>
      <c r="W38" s="3"/>
      <c r="X38" s="3"/>
      <c r="Y38" s="3"/>
      <c r="Z38" s="3"/>
      <c r="AA38" s="3"/>
      <c r="AB38" s="3"/>
    </row>
    <row r="39" spans="1:28" x14ac:dyDescent="0.35">
      <c r="A39" s="3"/>
      <c r="B39" s="3"/>
      <c r="C39" s="3" t="s">
        <v>155</v>
      </c>
      <c r="D39" s="3"/>
      <c r="E39" s="3"/>
      <c r="F39" s="3"/>
      <c r="G39" s="3" t="s">
        <v>156</v>
      </c>
      <c r="H39" s="3"/>
      <c r="I39" s="3"/>
      <c r="J39" s="3"/>
      <c r="K39" s="3"/>
      <c r="L39" s="3"/>
      <c r="M39" s="3"/>
      <c r="N39" s="3"/>
      <c r="O39" s="3"/>
      <c r="P39" s="3"/>
      <c r="Q39" s="3"/>
      <c r="R39" s="3"/>
      <c r="S39" s="3"/>
      <c r="T39" s="3"/>
      <c r="U39" s="3"/>
      <c r="V39" s="3"/>
      <c r="W39" s="3"/>
      <c r="X39" s="3"/>
      <c r="Y39" s="3"/>
      <c r="Z39" s="3"/>
      <c r="AA39" s="3"/>
      <c r="AB39" s="3"/>
    </row>
    <row r="40" spans="1:28" x14ac:dyDescent="0.35">
      <c r="A40" s="3"/>
      <c r="B40" s="3" t="s">
        <v>162</v>
      </c>
      <c r="C40" s="3" t="s">
        <v>163</v>
      </c>
      <c r="D40" s="3"/>
      <c r="E40" s="3"/>
      <c r="F40" s="3"/>
      <c r="G40" s="3" t="s">
        <v>164</v>
      </c>
      <c r="H40" s="3"/>
      <c r="I40" s="3"/>
      <c r="J40" s="3"/>
      <c r="K40" s="3"/>
      <c r="L40" s="3"/>
      <c r="M40" s="3"/>
      <c r="N40" s="3"/>
      <c r="O40" s="3"/>
      <c r="P40" s="3"/>
      <c r="Q40" s="3"/>
      <c r="R40" s="3"/>
      <c r="S40" s="3"/>
      <c r="T40" s="3"/>
      <c r="U40" s="3"/>
      <c r="V40" s="3"/>
      <c r="W40" s="3"/>
      <c r="X40" s="3"/>
      <c r="Y40" s="3"/>
      <c r="Z40" s="3"/>
      <c r="AA40" s="3"/>
      <c r="AB40" s="3"/>
    </row>
    <row r="41" spans="1:28" x14ac:dyDescent="0.35">
      <c r="A41" s="3"/>
      <c r="B41" s="3" t="s">
        <v>168</v>
      </c>
      <c r="C41" s="3"/>
      <c r="D41" s="3" t="s">
        <v>34</v>
      </c>
      <c r="E41" s="3" t="s">
        <v>35</v>
      </c>
      <c r="F41" s="3"/>
      <c r="G41" s="3"/>
      <c r="H41" s="3"/>
      <c r="I41" s="3"/>
      <c r="J41" s="3"/>
      <c r="K41" s="3"/>
      <c r="L41" s="3"/>
      <c r="M41" s="3"/>
      <c r="N41" s="3"/>
      <c r="O41" s="3"/>
      <c r="P41" s="3"/>
      <c r="Q41" s="3"/>
      <c r="R41" s="3"/>
      <c r="S41" s="3"/>
      <c r="T41" s="3"/>
      <c r="U41" s="3"/>
      <c r="V41" s="3"/>
      <c r="W41" s="3"/>
      <c r="X41" s="3"/>
      <c r="Y41" s="3"/>
      <c r="Z41" s="3"/>
      <c r="AA41" s="3"/>
      <c r="AB41" s="3"/>
    </row>
    <row r="42" spans="1:28" x14ac:dyDescent="0.35">
      <c r="A42" s="3"/>
      <c r="B42" s="3" t="s">
        <v>169</v>
      </c>
      <c r="C42" s="3"/>
      <c r="D42" s="3" t="s">
        <v>170</v>
      </c>
      <c r="E42" s="3" t="s">
        <v>171</v>
      </c>
      <c r="F42" s="3"/>
      <c r="G42" s="3"/>
      <c r="H42" s="3"/>
      <c r="I42" s="3"/>
      <c r="J42" s="3"/>
      <c r="K42" s="3"/>
      <c r="L42" s="3"/>
      <c r="M42" s="3"/>
      <c r="N42" s="3"/>
      <c r="O42" s="3"/>
      <c r="P42" s="3"/>
      <c r="Q42" s="3"/>
      <c r="R42" s="3"/>
      <c r="S42" s="3"/>
      <c r="T42" s="3"/>
      <c r="U42" s="3"/>
      <c r="V42" s="3"/>
      <c r="W42" s="3"/>
      <c r="X42" s="3"/>
      <c r="Y42" s="3"/>
      <c r="Z42" s="3"/>
      <c r="AA42" s="3"/>
      <c r="AB42" s="3"/>
    </row>
    <row r="43" spans="1:28" x14ac:dyDescent="0.35">
      <c r="A43" s="3"/>
      <c r="B43" s="3" t="s">
        <v>172</v>
      </c>
      <c r="C43" s="3"/>
      <c r="D43" s="3" t="s">
        <v>34</v>
      </c>
      <c r="E43" s="3" t="s">
        <v>35</v>
      </c>
      <c r="F43" s="3"/>
      <c r="G43" s="3"/>
      <c r="H43" s="3"/>
      <c r="I43" s="3"/>
      <c r="J43" s="3"/>
      <c r="K43" s="3"/>
      <c r="L43" s="3"/>
      <c r="M43" s="3"/>
      <c r="N43" s="3"/>
      <c r="O43" s="3"/>
      <c r="P43" s="3"/>
      <c r="Q43" s="3"/>
      <c r="R43" s="3"/>
      <c r="S43" s="3"/>
      <c r="T43" s="3"/>
      <c r="U43" s="3"/>
      <c r="V43" s="3"/>
      <c r="W43" s="3"/>
      <c r="X43" s="3"/>
      <c r="Y43" s="3"/>
      <c r="Z43" s="3"/>
      <c r="AA43" s="3"/>
      <c r="AB43" s="3"/>
    </row>
    <row r="44" spans="1:28" x14ac:dyDescent="0.35">
      <c r="A44" s="3"/>
      <c r="B44" s="3" t="s">
        <v>173</v>
      </c>
      <c r="C44" s="3" t="s">
        <v>142</v>
      </c>
      <c r="D44" s="3" t="s">
        <v>174</v>
      </c>
      <c r="E44" s="3" t="s">
        <v>175</v>
      </c>
      <c r="F44" s="3"/>
      <c r="G44" s="3" t="s">
        <v>176</v>
      </c>
      <c r="H44" s="3"/>
      <c r="I44" s="3"/>
      <c r="J44" s="3"/>
      <c r="K44" s="3"/>
      <c r="L44" s="3"/>
      <c r="M44" s="3"/>
      <c r="N44" s="3"/>
      <c r="O44" s="3"/>
      <c r="P44" s="3"/>
      <c r="Q44" s="3"/>
      <c r="R44" s="3"/>
      <c r="S44" s="3"/>
      <c r="T44" s="3"/>
      <c r="U44" s="3"/>
      <c r="V44" s="3"/>
      <c r="W44" s="3"/>
      <c r="X44" s="3"/>
      <c r="Y44" s="3"/>
      <c r="Z44" s="3"/>
      <c r="AA44" s="3"/>
      <c r="AB44" s="3"/>
    </row>
    <row r="45" spans="1:28" x14ac:dyDescent="0.35">
      <c r="A45" s="3"/>
      <c r="B45" s="3"/>
      <c r="C45" s="3" t="s">
        <v>148</v>
      </c>
      <c r="D45" s="3"/>
      <c r="E45" s="3"/>
      <c r="F45" s="3"/>
      <c r="G45" s="3" t="s">
        <v>177</v>
      </c>
      <c r="H45" s="3"/>
      <c r="I45" s="3"/>
      <c r="J45" s="3"/>
      <c r="K45" s="3"/>
      <c r="L45" s="3"/>
      <c r="M45" s="3"/>
      <c r="N45" s="3"/>
      <c r="O45" s="3"/>
      <c r="P45" s="3"/>
      <c r="Q45" s="3"/>
      <c r="R45" s="3"/>
      <c r="S45" s="3"/>
      <c r="T45" s="3"/>
      <c r="U45" s="3"/>
      <c r="V45" s="3"/>
      <c r="W45" s="3"/>
      <c r="X45" s="3"/>
      <c r="Y45" s="3"/>
      <c r="Z45" s="3"/>
      <c r="AA45" s="3"/>
      <c r="AB45" s="3"/>
    </row>
    <row r="46" spans="1:28" x14ac:dyDescent="0.35">
      <c r="A46" s="3"/>
      <c r="B46" s="3"/>
      <c r="C46" s="3" t="s">
        <v>182</v>
      </c>
      <c r="D46" s="3"/>
      <c r="E46" s="3"/>
      <c r="F46" s="3"/>
      <c r="G46" s="3" t="s">
        <v>183</v>
      </c>
      <c r="H46" s="3"/>
      <c r="I46" s="3"/>
      <c r="J46" s="3"/>
      <c r="K46" s="3"/>
      <c r="L46" s="3"/>
      <c r="M46" s="3"/>
      <c r="N46" s="3"/>
      <c r="O46" s="3"/>
      <c r="P46" s="3"/>
      <c r="Q46" s="3"/>
      <c r="R46" s="3"/>
      <c r="S46" s="3"/>
      <c r="T46" s="3"/>
      <c r="U46" s="3"/>
      <c r="V46" s="3"/>
      <c r="W46" s="3"/>
      <c r="X46" s="3"/>
      <c r="Y46" s="3"/>
      <c r="Z46" s="3"/>
      <c r="AA46" s="3"/>
      <c r="AB46" s="3"/>
    </row>
    <row r="47" spans="1:28" x14ac:dyDescent="0.35">
      <c r="A47" s="3"/>
      <c r="B47" s="3" t="s">
        <v>188</v>
      </c>
      <c r="C47" s="3" t="s">
        <v>1105</v>
      </c>
      <c r="D47" s="3"/>
      <c r="E47" s="3"/>
      <c r="F47" s="3"/>
      <c r="G47" s="3" t="s">
        <v>1640</v>
      </c>
      <c r="H47" s="3"/>
      <c r="I47" s="3"/>
      <c r="J47" s="3"/>
      <c r="K47" s="3"/>
      <c r="L47" s="3"/>
      <c r="M47" s="3"/>
      <c r="N47" s="3"/>
      <c r="O47" s="3"/>
      <c r="P47" s="3"/>
      <c r="Q47" s="3"/>
      <c r="R47" s="3"/>
      <c r="S47" s="3"/>
      <c r="T47" s="3"/>
      <c r="U47" s="3"/>
      <c r="V47" s="3"/>
      <c r="W47" s="3"/>
      <c r="X47" s="3"/>
      <c r="Y47" s="3"/>
      <c r="Z47" s="3"/>
      <c r="AA47" s="3"/>
      <c r="AB47" s="3"/>
    </row>
    <row r="48" spans="1:28" x14ac:dyDescent="0.35">
      <c r="A48" s="5"/>
      <c r="B48" s="5" t="s">
        <v>189</v>
      </c>
      <c r="C48" s="5" t="s">
        <v>131</v>
      </c>
      <c r="D48" s="5"/>
      <c r="E48" s="5"/>
      <c r="F48" s="5"/>
      <c r="G48" s="5"/>
      <c r="H48" s="5"/>
      <c r="I48" s="5"/>
      <c r="J48" s="5"/>
      <c r="K48" s="5"/>
      <c r="L48" s="5"/>
      <c r="M48" s="5"/>
      <c r="N48" s="5"/>
      <c r="O48" s="5"/>
      <c r="P48" s="5"/>
      <c r="Q48" s="5"/>
      <c r="R48" s="5"/>
      <c r="S48" s="5"/>
      <c r="T48" s="5"/>
      <c r="U48" s="5"/>
      <c r="V48" s="5"/>
      <c r="W48" s="5"/>
      <c r="X48" s="5"/>
      <c r="Y48" s="5"/>
      <c r="Z48" s="5"/>
      <c r="AA48" s="5"/>
      <c r="AB48" s="5"/>
    </row>
    <row r="49" spans="1:28" x14ac:dyDescent="0.35">
      <c r="A49" s="5"/>
      <c r="B49" s="5" t="s">
        <v>190</v>
      </c>
      <c r="C49" s="5" t="s">
        <v>131</v>
      </c>
      <c r="D49" s="5" t="s">
        <v>191</v>
      </c>
      <c r="E49" s="5" t="s">
        <v>192</v>
      </c>
      <c r="F49" s="5"/>
      <c r="G49" s="5"/>
      <c r="H49" s="5"/>
      <c r="I49" s="5"/>
      <c r="J49" s="5"/>
      <c r="K49" s="5"/>
      <c r="L49" s="5"/>
      <c r="M49" s="5"/>
      <c r="N49" s="5"/>
      <c r="O49" s="5"/>
      <c r="P49" s="5"/>
      <c r="Q49" s="5"/>
      <c r="R49" s="5"/>
      <c r="S49" s="5"/>
      <c r="T49" s="5"/>
      <c r="U49" s="5"/>
      <c r="V49" s="5"/>
      <c r="W49" s="5"/>
      <c r="X49" s="5"/>
      <c r="Y49" s="5"/>
      <c r="Z49" s="5"/>
      <c r="AA49" s="5"/>
      <c r="AB49" s="5"/>
    </row>
    <row r="50" spans="1:28" x14ac:dyDescent="0.35">
      <c r="A50" s="3"/>
      <c r="B50" s="3"/>
      <c r="C50" s="3"/>
      <c r="D50" s="5" t="s">
        <v>193</v>
      </c>
      <c r="E50" s="5" t="s">
        <v>194</v>
      </c>
      <c r="F50" s="3"/>
      <c r="G50" s="3"/>
      <c r="H50" s="3"/>
      <c r="I50" s="3"/>
      <c r="J50" s="3"/>
      <c r="K50" s="3"/>
      <c r="L50" s="3"/>
      <c r="M50" s="3"/>
      <c r="N50" s="3"/>
      <c r="O50" s="3"/>
      <c r="P50" s="3"/>
      <c r="Q50" s="3"/>
      <c r="R50" s="3"/>
      <c r="S50" s="3"/>
      <c r="T50" s="3"/>
      <c r="U50" s="3"/>
      <c r="V50" s="3"/>
      <c r="W50" s="3"/>
      <c r="X50" s="3"/>
      <c r="Y50" s="3"/>
      <c r="Z50" s="3"/>
      <c r="AA50" s="3"/>
      <c r="AB50" s="3"/>
    </row>
    <row r="51" spans="1:28" x14ac:dyDescent="0.35">
      <c r="A51" s="3"/>
      <c r="B51" s="3" t="s">
        <v>195</v>
      </c>
      <c r="C51" s="3" t="s">
        <v>131</v>
      </c>
      <c r="D51" s="3"/>
      <c r="E51" s="3"/>
      <c r="F51" s="3"/>
      <c r="G51" s="3" t="s">
        <v>196</v>
      </c>
      <c r="H51" s="3"/>
      <c r="I51" s="3"/>
      <c r="J51" s="3"/>
      <c r="K51" s="3"/>
      <c r="L51" s="3"/>
      <c r="M51" s="3"/>
      <c r="N51" s="3"/>
      <c r="O51" s="3"/>
      <c r="P51" s="3"/>
      <c r="Q51" s="3"/>
      <c r="R51" s="3"/>
      <c r="S51" s="3"/>
      <c r="T51" s="3"/>
      <c r="U51" s="3"/>
      <c r="V51" s="3"/>
      <c r="W51" s="3"/>
      <c r="X51" s="3"/>
      <c r="Y51" s="3"/>
      <c r="Z51" s="3"/>
      <c r="AA51" s="3"/>
      <c r="AB51" s="3"/>
    </row>
    <row r="52" spans="1:28" x14ac:dyDescent="0.35">
      <c r="A52" s="3"/>
      <c r="B52" s="3"/>
      <c r="C52" s="3" t="s">
        <v>197</v>
      </c>
      <c r="D52" s="3"/>
      <c r="E52" s="3"/>
      <c r="F52" s="3"/>
      <c r="G52" s="3" t="s">
        <v>198</v>
      </c>
      <c r="H52" s="3"/>
      <c r="I52" s="3"/>
      <c r="J52" s="3"/>
      <c r="K52" s="3"/>
      <c r="L52" s="3"/>
      <c r="M52" s="3"/>
      <c r="N52" s="3"/>
      <c r="O52" s="3"/>
      <c r="P52" s="3"/>
      <c r="Q52" s="3"/>
      <c r="R52" s="3"/>
      <c r="S52" s="3"/>
      <c r="T52" s="3"/>
      <c r="U52" s="3"/>
      <c r="V52" s="3"/>
      <c r="W52" s="3"/>
      <c r="X52" s="3"/>
      <c r="Y52" s="3"/>
      <c r="Z52" s="3"/>
      <c r="AA52" s="3"/>
      <c r="AB52" s="3"/>
    </row>
    <row r="53" spans="1:28" x14ac:dyDescent="0.35">
      <c r="A53" s="3"/>
      <c r="B53" s="3"/>
      <c r="C53" s="3" t="s">
        <v>200</v>
      </c>
      <c r="D53" s="3"/>
      <c r="E53" s="3"/>
      <c r="F53" s="3"/>
      <c r="G53" s="3" t="s">
        <v>201</v>
      </c>
      <c r="H53" s="3"/>
      <c r="I53" s="3"/>
      <c r="J53" s="3"/>
      <c r="K53" s="3"/>
      <c r="L53" s="3"/>
      <c r="M53" s="3"/>
      <c r="N53" s="3"/>
      <c r="O53" s="3"/>
      <c r="P53" s="3"/>
      <c r="Q53" s="3"/>
      <c r="R53" s="3"/>
      <c r="S53" s="3"/>
      <c r="T53" s="3"/>
      <c r="U53" s="3"/>
      <c r="V53" s="3"/>
      <c r="W53" s="3"/>
      <c r="X53" s="3"/>
      <c r="Y53" s="3"/>
      <c r="Z53" s="3"/>
      <c r="AA53" s="3"/>
      <c r="AB53" s="3"/>
    </row>
    <row r="54" spans="1:28" x14ac:dyDescent="0.35">
      <c r="A54" s="3"/>
      <c r="B54" s="3" t="s">
        <v>206</v>
      </c>
      <c r="C54" s="3" t="s">
        <v>1641</v>
      </c>
      <c r="D54" s="3" t="s">
        <v>208</v>
      </c>
      <c r="E54" s="3" t="s">
        <v>209</v>
      </c>
      <c r="F54" s="3"/>
      <c r="G54" s="3" t="s">
        <v>1642</v>
      </c>
      <c r="H54" s="3"/>
      <c r="I54" s="3"/>
      <c r="J54" s="3"/>
      <c r="K54" s="3"/>
      <c r="L54" s="3"/>
      <c r="M54" s="3"/>
      <c r="N54" s="3"/>
      <c r="O54" s="3"/>
      <c r="P54" s="3"/>
      <c r="Q54" s="3"/>
      <c r="R54" s="3"/>
      <c r="S54" s="3"/>
      <c r="T54" s="3"/>
      <c r="U54" s="3"/>
      <c r="V54" s="3"/>
      <c r="W54" s="3"/>
      <c r="X54" s="3"/>
      <c r="Y54" s="3"/>
      <c r="Z54" s="3"/>
      <c r="AA54" s="3"/>
      <c r="AB54" s="3"/>
    </row>
    <row r="55" spans="1:28"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x14ac:dyDescent="0.35">
      <c r="A56" s="3" t="s">
        <v>211</v>
      </c>
      <c r="B56" s="3" t="s">
        <v>212</v>
      </c>
      <c r="C56" s="3" t="s">
        <v>25</v>
      </c>
      <c r="D56" s="3"/>
      <c r="E56" s="3"/>
      <c r="F56" s="3"/>
      <c r="G56" s="3" t="s">
        <v>213</v>
      </c>
      <c r="H56" s="3"/>
      <c r="I56" s="3"/>
      <c r="J56" s="3"/>
      <c r="K56" s="3"/>
      <c r="L56" s="3"/>
      <c r="M56" s="3"/>
      <c r="N56" s="3"/>
      <c r="O56" s="3"/>
      <c r="P56" s="3"/>
      <c r="Q56" s="3"/>
      <c r="R56" s="3"/>
      <c r="S56" s="3"/>
      <c r="T56" s="3"/>
      <c r="U56" s="3"/>
      <c r="V56" s="3"/>
      <c r="W56" s="3"/>
      <c r="X56" s="3"/>
      <c r="Y56" s="3"/>
      <c r="Z56" s="3"/>
      <c r="AA56" s="3"/>
      <c r="AB56" s="3"/>
    </row>
    <row r="57" spans="1:28" x14ac:dyDescent="0.35">
      <c r="A57" s="3"/>
      <c r="B57" s="3"/>
      <c r="C57" s="3" t="s">
        <v>29</v>
      </c>
      <c r="D57" s="3"/>
      <c r="E57" s="3"/>
      <c r="F57" s="3"/>
      <c r="G57" s="3" t="s">
        <v>214</v>
      </c>
      <c r="H57" s="3"/>
      <c r="I57" s="3"/>
      <c r="J57" s="3"/>
      <c r="K57" s="3"/>
      <c r="L57" s="3"/>
      <c r="M57" s="3"/>
      <c r="N57" s="3"/>
      <c r="O57" s="3"/>
      <c r="P57" s="3"/>
      <c r="Q57" s="3"/>
      <c r="R57" s="3"/>
      <c r="S57" s="3"/>
      <c r="T57" s="3"/>
      <c r="U57" s="3"/>
      <c r="V57" s="3"/>
      <c r="W57" s="3"/>
      <c r="X57" s="3"/>
      <c r="Y57" s="3"/>
      <c r="Z57" s="3"/>
      <c r="AA57" s="3"/>
      <c r="AB57" s="3"/>
    </row>
    <row r="58" spans="1:28" x14ac:dyDescent="0.35">
      <c r="A58" s="3"/>
      <c r="B58" s="3" t="s">
        <v>215</v>
      </c>
      <c r="C58" s="3" t="s">
        <v>33</v>
      </c>
      <c r="D58" s="3" t="s">
        <v>34</v>
      </c>
      <c r="E58" s="3" t="s">
        <v>35</v>
      </c>
      <c r="F58" s="3"/>
      <c r="G58" s="3" t="s">
        <v>216</v>
      </c>
      <c r="H58" s="3"/>
      <c r="I58" s="3"/>
      <c r="J58" s="3"/>
      <c r="K58" s="3"/>
      <c r="L58" s="3"/>
      <c r="M58" s="3"/>
      <c r="N58" s="3"/>
      <c r="O58" s="3"/>
      <c r="P58" s="3"/>
      <c r="Q58" s="3"/>
      <c r="R58" s="3"/>
      <c r="S58" s="3"/>
      <c r="T58" s="3"/>
      <c r="U58" s="3"/>
      <c r="V58" s="3"/>
      <c r="W58" s="3"/>
      <c r="X58" s="3"/>
      <c r="Y58" s="3"/>
      <c r="Z58" s="3"/>
      <c r="AA58" s="3"/>
      <c r="AB58" s="3"/>
    </row>
    <row r="59" spans="1:28" x14ac:dyDescent="0.35">
      <c r="A59" s="3"/>
      <c r="B59" s="3" t="s">
        <v>218</v>
      </c>
      <c r="C59" s="3" t="s">
        <v>25</v>
      </c>
      <c r="D59" s="3"/>
      <c r="E59" s="3"/>
      <c r="F59" s="3"/>
      <c r="G59" s="3" t="s">
        <v>219</v>
      </c>
      <c r="H59" s="3"/>
      <c r="I59" s="3"/>
      <c r="J59" s="3"/>
      <c r="K59" s="3"/>
      <c r="L59" s="3"/>
      <c r="M59" s="3"/>
      <c r="N59" s="3"/>
      <c r="O59" s="3"/>
      <c r="P59" s="3"/>
      <c r="Q59" s="3"/>
      <c r="R59" s="3"/>
      <c r="S59" s="3"/>
      <c r="T59" s="3"/>
      <c r="U59" s="3"/>
      <c r="V59" s="3"/>
      <c r="W59" s="3"/>
      <c r="X59" s="3"/>
      <c r="Y59" s="3"/>
      <c r="Z59" s="3"/>
      <c r="AA59" s="3"/>
      <c r="AB59" s="3"/>
    </row>
    <row r="60" spans="1:28" x14ac:dyDescent="0.35">
      <c r="A60" s="3"/>
      <c r="B60" s="3"/>
      <c r="C60" s="3" t="s">
        <v>29</v>
      </c>
      <c r="D60" s="3"/>
      <c r="E60" s="3"/>
      <c r="F60" s="3"/>
      <c r="G60" s="3" t="s">
        <v>220</v>
      </c>
      <c r="H60" s="3"/>
      <c r="I60" s="3"/>
      <c r="J60" s="3"/>
      <c r="K60" s="3"/>
      <c r="L60" s="3"/>
      <c r="M60" s="3"/>
      <c r="N60" s="3"/>
      <c r="O60" s="3"/>
      <c r="P60" s="3"/>
      <c r="Q60" s="3"/>
      <c r="R60" s="3"/>
      <c r="S60" s="3"/>
      <c r="T60" s="3"/>
      <c r="U60" s="3"/>
      <c r="V60" s="3"/>
      <c r="W60" s="3"/>
      <c r="X60" s="3"/>
      <c r="Y60" s="3"/>
      <c r="Z60" s="3"/>
      <c r="AA60" s="3"/>
      <c r="AB60" s="3"/>
    </row>
    <row r="61" spans="1:28" x14ac:dyDescent="0.35">
      <c r="A61" s="3"/>
      <c r="B61" s="3" t="s">
        <v>60</v>
      </c>
      <c r="C61" s="3" t="s">
        <v>221</v>
      </c>
      <c r="D61" s="3" t="s">
        <v>222</v>
      </c>
      <c r="E61" s="3" t="s">
        <v>223</v>
      </c>
      <c r="F61" s="3"/>
      <c r="G61" s="3" t="s">
        <v>224</v>
      </c>
      <c r="H61" s="3"/>
      <c r="I61" s="3"/>
      <c r="J61" s="3"/>
      <c r="K61" s="3"/>
      <c r="L61" s="3"/>
      <c r="M61" s="3"/>
      <c r="N61" s="3"/>
      <c r="O61" s="3"/>
      <c r="P61" s="3"/>
      <c r="Q61" s="3"/>
      <c r="R61" s="3"/>
      <c r="S61" s="3"/>
      <c r="T61" s="3"/>
      <c r="U61" s="3"/>
      <c r="V61" s="3"/>
      <c r="W61" s="3"/>
      <c r="X61" s="3"/>
      <c r="Y61" s="3"/>
      <c r="Z61" s="3"/>
      <c r="AA61" s="3"/>
      <c r="AB61" s="3"/>
    </row>
    <row r="62" spans="1:28" x14ac:dyDescent="0.35">
      <c r="A62" s="3"/>
      <c r="B62" s="3"/>
      <c r="C62" s="3" t="s">
        <v>226</v>
      </c>
      <c r="D62" s="3"/>
      <c r="E62" s="3"/>
      <c r="F62" s="3"/>
      <c r="G62" s="3" t="s">
        <v>227</v>
      </c>
      <c r="H62" s="3"/>
      <c r="I62" s="3"/>
      <c r="J62" s="3"/>
      <c r="K62" s="3"/>
      <c r="L62" s="3"/>
      <c r="M62" s="3"/>
      <c r="N62" s="3"/>
      <c r="O62" s="3"/>
      <c r="P62" s="3"/>
      <c r="Q62" s="3"/>
      <c r="R62" s="3"/>
      <c r="S62" s="3"/>
      <c r="T62" s="3"/>
      <c r="U62" s="3"/>
      <c r="V62" s="3"/>
      <c r="W62" s="3"/>
      <c r="X62" s="3"/>
      <c r="Y62" s="3"/>
      <c r="Z62" s="3"/>
      <c r="AA62" s="3"/>
      <c r="AB62" s="3"/>
    </row>
    <row r="63" spans="1:28" x14ac:dyDescent="0.35">
      <c r="A63" s="3"/>
      <c r="B63" s="3" t="s">
        <v>230</v>
      </c>
      <c r="C63" s="3" t="s">
        <v>221</v>
      </c>
      <c r="D63" s="3" t="s">
        <v>222</v>
      </c>
      <c r="E63" s="3" t="s">
        <v>223</v>
      </c>
      <c r="F63" s="3"/>
      <c r="G63" s="3" t="s">
        <v>224</v>
      </c>
      <c r="H63" s="3"/>
      <c r="I63" s="3"/>
      <c r="J63" s="3"/>
      <c r="K63" s="3"/>
      <c r="L63" s="3"/>
      <c r="M63" s="3"/>
      <c r="N63" s="3"/>
      <c r="O63" s="3"/>
      <c r="P63" s="3"/>
      <c r="Q63" s="3"/>
      <c r="R63" s="3"/>
      <c r="S63" s="3"/>
      <c r="T63" s="3"/>
      <c r="U63" s="3"/>
      <c r="V63" s="3"/>
      <c r="W63" s="3"/>
      <c r="X63" s="3"/>
      <c r="Y63" s="3"/>
      <c r="Z63" s="3"/>
      <c r="AA63" s="3"/>
      <c r="AB63" s="3"/>
    </row>
    <row r="64" spans="1:28" x14ac:dyDescent="0.35">
      <c r="A64" s="3"/>
      <c r="B64" s="3" t="s">
        <v>232</v>
      </c>
      <c r="C64" s="3" t="s">
        <v>221</v>
      </c>
      <c r="D64" s="3" t="s">
        <v>222</v>
      </c>
      <c r="E64" s="3" t="s">
        <v>223</v>
      </c>
      <c r="F64" s="3"/>
      <c r="G64" s="3" t="s">
        <v>224</v>
      </c>
      <c r="H64" s="3"/>
      <c r="I64" s="3"/>
      <c r="J64" s="3"/>
      <c r="K64" s="3"/>
      <c r="L64" s="3"/>
      <c r="M64" s="3"/>
      <c r="N64" s="3"/>
      <c r="O64" s="3"/>
      <c r="P64" s="3"/>
      <c r="Q64" s="3"/>
      <c r="R64" s="3"/>
      <c r="S64" s="3"/>
      <c r="T64" s="3"/>
      <c r="U64" s="3"/>
      <c r="V64" s="3"/>
      <c r="W64" s="3"/>
      <c r="X64" s="3"/>
      <c r="Y64" s="3"/>
      <c r="Z64" s="3"/>
      <c r="AA64" s="3"/>
      <c r="AB64" s="3"/>
    </row>
    <row r="65" spans="1:28" x14ac:dyDescent="0.35">
      <c r="A65" s="3"/>
      <c r="B65" s="3" t="s">
        <v>105</v>
      </c>
      <c r="C65" s="3" t="s">
        <v>25</v>
      </c>
      <c r="D65" s="3"/>
      <c r="E65" s="3"/>
      <c r="F65" s="3"/>
      <c r="G65" s="3" t="s">
        <v>233</v>
      </c>
      <c r="H65" s="3"/>
      <c r="I65" s="3"/>
      <c r="J65" s="3"/>
      <c r="K65" s="3"/>
      <c r="L65" s="3"/>
      <c r="M65" s="3"/>
      <c r="N65" s="3"/>
      <c r="O65" s="3"/>
      <c r="P65" s="3"/>
      <c r="Q65" s="3"/>
      <c r="R65" s="3"/>
      <c r="S65" s="3"/>
      <c r="T65" s="3"/>
      <c r="U65" s="3"/>
      <c r="V65" s="3"/>
      <c r="W65" s="3"/>
      <c r="X65" s="3"/>
      <c r="Y65" s="3"/>
      <c r="Z65" s="3"/>
      <c r="AA65" s="3"/>
      <c r="AB65" s="3"/>
    </row>
    <row r="66" spans="1:28" x14ac:dyDescent="0.35">
      <c r="A66" s="3"/>
      <c r="B66" s="3"/>
      <c r="C66" s="3" t="s">
        <v>29</v>
      </c>
      <c r="D66" s="3"/>
      <c r="E66" s="3"/>
      <c r="F66" s="3"/>
      <c r="G66" s="3" t="s">
        <v>234</v>
      </c>
      <c r="H66" s="3"/>
      <c r="I66" s="3"/>
      <c r="J66" s="3"/>
      <c r="K66" s="3"/>
      <c r="L66" s="3"/>
      <c r="M66" s="3"/>
      <c r="N66" s="3"/>
      <c r="O66" s="3"/>
      <c r="P66" s="3"/>
      <c r="Q66" s="3"/>
      <c r="R66" s="3"/>
      <c r="S66" s="3"/>
      <c r="T66" s="3"/>
      <c r="U66" s="3"/>
      <c r="V66" s="3"/>
      <c r="W66" s="3"/>
      <c r="X66" s="3"/>
      <c r="Y66" s="3"/>
      <c r="Z66" s="3"/>
      <c r="AA66" s="3"/>
      <c r="AB66" s="3"/>
    </row>
    <row r="67" spans="1:28" x14ac:dyDescent="0.35">
      <c r="A67" s="3"/>
      <c r="B67" s="3" t="s">
        <v>108</v>
      </c>
      <c r="C67" s="3" t="s">
        <v>109</v>
      </c>
      <c r="D67" s="3"/>
      <c r="E67" s="3"/>
      <c r="F67" s="3"/>
      <c r="G67" s="3" t="s">
        <v>235</v>
      </c>
      <c r="H67" s="3"/>
      <c r="I67" s="3"/>
      <c r="J67" s="3"/>
      <c r="K67" s="3"/>
      <c r="L67" s="3"/>
      <c r="M67" s="3"/>
      <c r="N67" s="3"/>
      <c r="O67" s="3"/>
      <c r="P67" s="3"/>
      <c r="Q67" s="3"/>
      <c r="R67" s="3"/>
      <c r="S67" s="3"/>
      <c r="T67" s="3"/>
      <c r="U67" s="3"/>
      <c r="V67" s="3"/>
      <c r="W67" s="3"/>
      <c r="X67" s="3"/>
      <c r="Y67" s="3"/>
      <c r="Z67" s="3"/>
      <c r="AA67" s="3"/>
      <c r="AB67" s="3"/>
    </row>
    <row r="68" spans="1:28" x14ac:dyDescent="0.35">
      <c r="A68" s="3"/>
      <c r="B68" s="3"/>
      <c r="C68" s="3" t="s">
        <v>237</v>
      </c>
      <c r="D68" s="3"/>
      <c r="E68" s="3"/>
      <c r="F68" s="3"/>
      <c r="G68" s="3" t="s">
        <v>238</v>
      </c>
      <c r="H68" s="3"/>
      <c r="I68" s="3"/>
      <c r="J68" s="3"/>
      <c r="K68" s="3"/>
      <c r="L68" s="3"/>
      <c r="M68" s="3"/>
      <c r="N68" s="3"/>
      <c r="O68" s="3"/>
      <c r="P68" s="3"/>
      <c r="Q68" s="3"/>
      <c r="R68" s="3"/>
      <c r="S68" s="3"/>
      <c r="T68" s="3"/>
      <c r="U68" s="3"/>
      <c r="V68" s="3"/>
      <c r="W68" s="3"/>
      <c r="X68" s="3"/>
      <c r="Y68" s="3"/>
      <c r="Z68" s="3"/>
      <c r="AA68" s="3"/>
      <c r="AB68" s="3"/>
    </row>
    <row r="69" spans="1:28" x14ac:dyDescent="0.35">
      <c r="A69" s="3"/>
      <c r="B69" s="3"/>
      <c r="C69" s="3" t="s">
        <v>131</v>
      </c>
      <c r="D69" s="3"/>
      <c r="E69" s="3"/>
      <c r="F69" s="3"/>
      <c r="G69" s="3" t="s">
        <v>241</v>
      </c>
      <c r="H69" s="3"/>
      <c r="I69" s="3"/>
      <c r="J69" s="3"/>
      <c r="K69" s="3"/>
      <c r="L69" s="3"/>
      <c r="M69" s="3"/>
      <c r="N69" s="3"/>
      <c r="O69" s="3"/>
      <c r="P69" s="3"/>
      <c r="Q69" s="3"/>
      <c r="R69" s="3"/>
      <c r="S69" s="3"/>
      <c r="T69" s="3"/>
      <c r="U69" s="3"/>
      <c r="V69" s="3"/>
      <c r="W69" s="3"/>
      <c r="X69" s="3"/>
      <c r="Y69" s="3"/>
      <c r="Z69" s="3"/>
      <c r="AA69" s="3"/>
      <c r="AB69" s="3"/>
    </row>
    <row r="70" spans="1:28" x14ac:dyDescent="0.35">
      <c r="A70" s="5"/>
      <c r="B70" s="5" t="s">
        <v>242</v>
      </c>
      <c r="C70" s="5" t="s">
        <v>131</v>
      </c>
      <c r="D70" s="5"/>
      <c r="E70" s="5"/>
      <c r="F70" s="5"/>
      <c r="G70" s="5"/>
      <c r="H70" s="5"/>
      <c r="I70" s="5"/>
      <c r="J70" s="5"/>
      <c r="K70" s="5"/>
      <c r="L70" s="5"/>
      <c r="M70" s="5"/>
      <c r="N70" s="5"/>
      <c r="O70" s="5"/>
      <c r="P70" s="5"/>
      <c r="Q70" s="5"/>
      <c r="R70" s="5"/>
      <c r="S70" s="5"/>
      <c r="T70" s="5"/>
      <c r="U70" s="5"/>
      <c r="V70" s="5"/>
      <c r="W70" s="5"/>
      <c r="X70" s="5"/>
      <c r="Y70" s="5"/>
      <c r="Z70" s="5"/>
      <c r="AA70" s="5"/>
      <c r="AB70" s="5"/>
    </row>
    <row r="71" spans="1:28" x14ac:dyDescent="0.35">
      <c r="A71" s="3"/>
      <c r="B71" s="3" t="s">
        <v>243</v>
      </c>
      <c r="C71" s="3"/>
      <c r="D71" s="3" t="s">
        <v>265</v>
      </c>
      <c r="E71" s="3" t="s">
        <v>266</v>
      </c>
      <c r="F71" s="3"/>
      <c r="G71" s="3"/>
      <c r="H71" s="3"/>
      <c r="I71" s="3"/>
      <c r="J71" s="3"/>
      <c r="K71" s="3"/>
      <c r="L71" s="3"/>
      <c r="M71" s="3"/>
      <c r="N71" s="3"/>
      <c r="O71" s="3"/>
      <c r="P71" s="3"/>
      <c r="Q71" s="3"/>
      <c r="R71" s="3"/>
      <c r="S71" s="3"/>
      <c r="T71" s="3"/>
      <c r="U71" s="3"/>
      <c r="V71" s="3"/>
      <c r="W71" s="3"/>
      <c r="X71" s="3"/>
      <c r="Y71" s="3"/>
      <c r="Z71" s="3"/>
      <c r="AA71" s="3"/>
      <c r="AB71" s="3"/>
    </row>
    <row r="72" spans="1:28" x14ac:dyDescent="0.35">
      <c r="A72" s="3"/>
      <c r="B72" s="3" t="s">
        <v>244</v>
      </c>
      <c r="C72" s="3"/>
      <c r="D72" s="3" t="s">
        <v>265</v>
      </c>
      <c r="E72" s="3" t="s">
        <v>266</v>
      </c>
      <c r="F72" s="3"/>
      <c r="G72" s="3"/>
      <c r="H72" s="3"/>
      <c r="I72" s="3"/>
      <c r="J72" s="3"/>
      <c r="K72" s="3"/>
      <c r="L72" s="3"/>
      <c r="M72" s="3"/>
      <c r="N72" s="3"/>
      <c r="O72" s="3"/>
      <c r="P72" s="3"/>
      <c r="Q72" s="3"/>
      <c r="R72" s="3"/>
      <c r="S72" s="3"/>
      <c r="T72" s="3"/>
      <c r="U72" s="3"/>
      <c r="V72" s="3"/>
      <c r="W72" s="3"/>
      <c r="X72" s="3"/>
      <c r="Y72" s="3"/>
      <c r="Z72" s="3"/>
      <c r="AA72" s="3"/>
      <c r="AB72" s="3"/>
    </row>
    <row r="73" spans="1:28" x14ac:dyDescent="0.35">
      <c r="A73" s="3"/>
      <c r="B73" s="3" t="s">
        <v>245</v>
      </c>
      <c r="C73" s="3"/>
      <c r="D73" s="3" t="s">
        <v>265</v>
      </c>
      <c r="E73" s="3" t="s">
        <v>266</v>
      </c>
      <c r="F73" s="3"/>
      <c r="G73" s="3"/>
      <c r="H73" s="3"/>
      <c r="I73" s="3"/>
      <c r="J73" s="3"/>
      <c r="K73" s="3"/>
      <c r="L73" s="3"/>
      <c r="M73" s="3"/>
      <c r="N73" s="3"/>
      <c r="O73" s="3"/>
      <c r="P73" s="3"/>
      <c r="Q73" s="3"/>
      <c r="R73" s="3"/>
      <c r="S73" s="3"/>
      <c r="T73" s="3"/>
      <c r="U73" s="3"/>
      <c r="V73" s="3"/>
      <c r="W73" s="3"/>
      <c r="X73" s="3"/>
      <c r="Y73" s="3"/>
      <c r="Z73" s="3"/>
      <c r="AA73" s="3"/>
      <c r="AB73" s="3"/>
    </row>
    <row r="74" spans="1:28" x14ac:dyDescent="0.35">
      <c r="A74" s="3"/>
      <c r="B74" s="3" t="s">
        <v>136</v>
      </c>
      <c r="C74" s="3" t="s">
        <v>1635</v>
      </c>
      <c r="D74" s="3"/>
      <c r="E74" s="3"/>
      <c r="F74" s="3"/>
      <c r="G74" s="3" t="s">
        <v>1643</v>
      </c>
      <c r="H74" s="3"/>
      <c r="I74" s="3"/>
      <c r="J74" s="3"/>
      <c r="K74" s="3"/>
      <c r="L74" s="3"/>
      <c r="M74" s="3"/>
      <c r="N74" s="3"/>
      <c r="O74" s="3"/>
      <c r="P74" s="3"/>
      <c r="Q74" s="3"/>
      <c r="R74" s="3"/>
      <c r="S74" s="3"/>
      <c r="T74" s="3"/>
      <c r="U74" s="3"/>
      <c r="V74" s="3"/>
      <c r="W74" s="3"/>
      <c r="X74" s="3"/>
      <c r="Y74" s="3"/>
      <c r="Z74" s="3"/>
      <c r="AA74" s="3"/>
      <c r="AB74" s="3"/>
    </row>
    <row r="75" spans="1:28" x14ac:dyDescent="0.35">
      <c r="A75" s="5"/>
      <c r="B75" s="5" t="s">
        <v>137</v>
      </c>
      <c r="C75" s="5" t="s">
        <v>131</v>
      </c>
      <c r="D75" s="5"/>
      <c r="E75" s="5"/>
      <c r="F75" s="5"/>
      <c r="G75" s="5"/>
      <c r="H75" s="5"/>
      <c r="I75" s="5"/>
      <c r="J75" s="5"/>
      <c r="K75" s="5"/>
      <c r="L75" s="5"/>
      <c r="M75" s="5"/>
      <c r="N75" s="5"/>
      <c r="O75" s="5"/>
      <c r="P75" s="5"/>
      <c r="Q75" s="5"/>
      <c r="R75" s="5"/>
      <c r="S75" s="5"/>
      <c r="T75" s="5"/>
      <c r="U75" s="5"/>
      <c r="V75" s="5"/>
      <c r="W75" s="5"/>
      <c r="X75" s="5"/>
      <c r="Y75" s="5"/>
      <c r="Z75" s="5"/>
      <c r="AA75" s="5"/>
      <c r="AB75" s="5"/>
    </row>
    <row r="76" spans="1:28" x14ac:dyDescent="0.35">
      <c r="A76" s="3"/>
      <c r="B76" s="3" t="s">
        <v>246</v>
      </c>
      <c r="C76" s="3" t="s">
        <v>221</v>
      </c>
      <c r="D76" s="3" t="s">
        <v>222</v>
      </c>
      <c r="E76" s="3" t="s">
        <v>223</v>
      </c>
      <c r="F76" s="3"/>
      <c r="G76" s="3" t="s">
        <v>224</v>
      </c>
      <c r="H76" s="3"/>
      <c r="I76" s="3"/>
      <c r="J76" s="3"/>
      <c r="K76" s="3"/>
      <c r="L76" s="3"/>
      <c r="M76" s="3"/>
      <c r="N76" s="3"/>
      <c r="O76" s="3"/>
      <c r="P76" s="3"/>
      <c r="Q76" s="3"/>
      <c r="R76" s="3"/>
      <c r="S76" s="3"/>
      <c r="T76" s="3"/>
      <c r="U76" s="3"/>
      <c r="V76" s="3"/>
      <c r="W76" s="3"/>
      <c r="X76" s="3"/>
      <c r="Y76" s="3"/>
      <c r="Z76" s="3"/>
      <c r="AA76" s="3"/>
      <c r="AB76" s="3"/>
    </row>
    <row r="77" spans="1:28" x14ac:dyDescent="0.35">
      <c r="A77" s="3"/>
      <c r="B77" s="3"/>
      <c r="C77" s="3" t="s">
        <v>247</v>
      </c>
      <c r="D77" s="3"/>
      <c r="E77" s="3"/>
      <c r="F77" s="3"/>
      <c r="G77" s="3" t="s">
        <v>248</v>
      </c>
      <c r="H77" s="3"/>
      <c r="I77" s="3"/>
      <c r="J77" s="3"/>
      <c r="K77" s="3"/>
      <c r="L77" s="3"/>
      <c r="M77" s="3"/>
      <c r="N77" s="3"/>
      <c r="O77" s="3"/>
      <c r="P77" s="3"/>
      <c r="Q77" s="3"/>
      <c r="R77" s="3"/>
      <c r="S77" s="3"/>
      <c r="T77" s="3"/>
      <c r="U77" s="3"/>
      <c r="V77" s="3"/>
      <c r="W77" s="3"/>
      <c r="X77" s="3"/>
      <c r="Y77" s="3"/>
      <c r="Z77" s="3"/>
      <c r="AA77" s="3"/>
      <c r="AB77" s="3"/>
    </row>
    <row r="78" spans="1:28" x14ac:dyDescent="0.35">
      <c r="A78" s="3"/>
      <c r="B78" s="3" t="s">
        <v>249</v>
      </c>
      <c r="C78" s="3" t="s">
        <v>221</v>
      </c>
      <c r="D78" s="3" t="s">
        <v>222</v>
      </c>
      <c r="E78" s="3" t="s">
        <v>223</v>
      </c>
      <c r="F78" s="3"/>
      <c r="G78" s="3" t="s">
        <v>250</v>
      </c>
      <c r="H78" s="3"/>
      <c r="I78" s="3"/>
      <c r="J78" s="3"/>
      <c r="K78" s="3"/>
      <c r="L78" s="3"/>
      <c r="M78" s="3"/>
      <c r="N78" s="3"/>
      <c r="O78" s="3"/>
      <c r="P78" s="3"/>
      <c r="Q78" s="3"/>
      <c r="R78" s="3"/>
      <c r="S78" s="3"/>
      <c r="T78" s="3"/>
      <c r="U78" s="3"/>
      <c r="V78" s="3"/>
      <c r="W78" s="3"/>
      <c r="X78" s="3"/>
      <c r="Y78" s="3"/>
      <c r="Z78" s="3"/>
      <c r="AA78" s="3"/>
      <c r="AB78" s="3"/>
    </row>
    <row r="79" spans="1:28" x14ac:dyDescent="0.35">
      <c r="A79" s="3"/>
      <c r="B79" s="3"/>
      <c r="C79" s="3" t="s">
        <v>247</v>
      </c>
      <c r="D79" s="3"/>
      <c r="E79" s="3"/>
      <c r="F79" s="3"/>
      <c r="G79" s="3" t="s">
        <v>248</v>
      </c>
      <c r="H79" s="3"/>
      <c r="I79" s="3"/>
      <c r="J79" s="3"/>
      <c r="K79" s="3"/>
      <c r="L79" s="3"/>
      <c r="M79" s="3"/>
      <c r="N79" s="3"/>
      <c r="O79" s="3"/>
      <c r="P79" s="3"/>
      <c r="Q79" s="3"/>
      <c r="R79" s="3"/>
      <c r="S79" s="3"/>
      <c r="T79" s="3"/>
      <c r="U79" s="3"/>
      <c r="V79" s="3"/>
      <c r="W79" s="3"/>
      <c r="X79" s="3"/>
      <c r="Y79" s="3"/>
      <c r="Z79" s="3"/>
      <c r="AA79" s="3"/>
      <c r="AB79" s="3"/>
    </row>
    <row r="80" spans="1:28" x14ac:dyDescent="0.35">
      <c r="A80" s="3"/>
      <c r="B80" s="3" t="s">
        <v>253</v>
      </c>
      <c r="C80" s="3" t="s">
        <v>221</v>
      </c>
      <c r="D80" s="3" t="s">
        <v>222</v>
      </c>
      <c r="E80" s="3" t="s">
        <v>223</v>
      </c>
      <c r="F80" s="3"/>
      <c r="G80" s="3" t="s">
        <v>224</v>
      </c>
      <c r="H80" s="3"/>
      <c r="I80" s="3"/>
      <c r="J80" s="3"/>
      <c r="K80" s="3"/>
      <c r="L80" s="3"/>
      <c r="M80" s="3"/>
      <c r="N80" s="3"/>
      <c r="O80" s="3"/>
      <c r="P80" s="3"/>
      <c r="Q80" s="3"/>
      <c r="R80" s="3"/>
      <c r="S80" s="3"/>
      <c r="T80" s="3"/>
      <c r="U80" s="3"/>
      <c r="V80" s="3"/>
      <c r="W80" s="3"/>
      <c r="X80" s="3"/>
      <c r="Y80" s="3"/>
      <c r="Z80" s="3"/>
      <c r="AA80" s="3"/>
      <c r="AB80" s="3"/>
    </row>
    <row r="81" spans="1:28" x14ac:dyDescent="0.35">
      <c r="A81" s="3"/>
      <c r="B81" s="3"/>
      <c r="C81" s="3" t="s">
        <v>247</v>
      </c>
      <c r="D81" s="3"/>
      <c r="E81" s="3"/>
      <c r="F81" s="3"/>
      <c r="G81" s="3" t="s">
        <v>248</v>
      </c>
      <c r="H81" s="3"/>
      <c r="I81" s="3"/>
      <c r="J81" s="3"/>
      <c r="K81" s="3"/>
      <c r="L81" s="3"/>
      <c r="M81" s="3"/>
      <c r="N81" s="3"/>
      <c r="O81" s="3"/>
      <c r="P81" s="3"/>
      <c r="Q81" s="3"/>
      <c r="R81" s="3"/>
      <c r="S81" s="3"/>
      <c r="T81" s="3"/>
      <c r="U81" s="3"/>
      <c r="V81" s="3"/>
      <c r="W81" s="3"/>
      <c r="X81" s="3"/>
      <c r="Y81" s="3"/>
      <c r="Z81" s="3"/>
      <c r="AA81" s="3"/>
      <c r="AB81" s="3"/>
    </row>
    <row r="82" spans="1:28" x14ac:dyDescent="0.35">
      <c r="A82" s="3"/>
      <c r="B82" s="3" t="s">
        <v>254</v>
      </c>
      <c r="C82" s="3" t="s">
        <v>1644</v>
      </c>
      <c r="D82" s="3"/>
      <c r="E82" s="3"/>
      <c r="F82" s="3"/>
      <c r="G82" s="3" t="s">
        <v>1645</v>
      </c>
      <c r="H82" s="3"/>
      <c r="I82" s="3"/>
      <c r="J82" s="3"/>
      <c r="K82" s="3"/>
      <c r="L82" s="3"/>
      <c r="M82" s="3"/>
      <c r="N82" s="3"/>
      <c r="O82" s="3"/>
      <c r="P82" s="3"/>
      <c r="Q82" s="3"/>
      <c r="R82" s="3"/>
      <c r="S82" s="3"/>
      <c r="T82" s="3"/>
      <c r="U82" s="3"/>
      <c r="V82" s="3"/>
      <c r="W82" s="3"/>
      <c r="X82" s="3"/>
      <c r="Y82" s="3"/>
      <c r="Z82" s="3"/>
      <c r="AA82" s="3"/>
      <c r="AB82" s="3"/>
    </row>
    <row r="83" spans="1:28" x14ac:dyDescent="0.35">
      <c r="A83" s="3"/>
      <c r="B83" s="3" t="s">
        <v>255</v>
      </c>
      <c r="C83" s="3" t="s">
        <v>1644</v>
      </c>
      <c r="D83" s="3"/>
      <c r="E83" s="3"/>
      <c r="F83" s="3"/>
      <c r="G83" s="3" t="s">
        <v>1645</v>
      </c>
      <c r="H83" s="3"/>
      <c r="I83" s="3"/>
      <c r="J83" s="3"/>
      <c r="K83" s="3"/>
      <c r="L83" s="3"/>
      <c r="M83" s="3"/>
      <c r="N83" s="3"/>
      <c r="O83" s="3"/>
      <c r="P83" s="3"/>
      <c r="Q83" s="3"/>
      <c r="R83" s="3"/>
      <c r="S83" s="3"/>
      <c r="T83" s="3"/>
      <c r="U83" s="3"/>
      <c r="V83" s="3"/>
      <c r="W83" s="3"/>
      <c r="X83" s="3"/>
      <c r="Y83" s="3"/>
      <c r="Z83" s="3"/>
      <c r="AA83" s="3"/>
      <c r="AB83" s="3"/>
    </row>
    <row r="84" spans="1:28" x14ac:dyDescent="0.35">
      <c r="A84" s="3"/>
      <c r="B84" s="3" t="s">
        <v>256</v>
      </c>
      <c r="C84" s="3" t="s">
        <v>1644</v>
      </c>
      <c r="D84" s="3"/>
      <c r="E84" s="3"/>
      <c r="F84" s="3"/>
      <c r="G84" s="3" t="s">
        <v>1645</v>
      </c>
      <c r="H84" s="3"/>
      <c r="I84" s="3"/>
      <c r="J84" s="3"/>
      <c r="K84" s="3"/>
      <c r="L84" s="3"/>
      <c r="M84" s="3"/>
      <c r="N84" s="3"/>
      <c r="O84" s="3"/>
      <c r="P84" s="3"/>
      <c r="Q84" s="3"/>
      <c r="R84" s="3"/>
      <c r="S84" s="3"/>
      <c r="T84" s="3"/>
      <c r="U84" s="3"/>
      <c r="V84" s="3"/>
      <c r="W84" s="3"/>
      <c r="X84" s="3"/>
      <c r="Y84" s="3"/>
      <c r="Z84" s="3"/>
      <c r="AA84" s="3"/>
      <c r="AB84" s="3"/>
    </row>
    <row r="85" spans="1:28" x14ac:dyDescent="0.35">
      <c r="A85" s="3"/>
      <c r="B85" s="3" t="s">
        <v>257</v>
      </c>
      <c r="C85" s="3" t="s">
        <v>1644</v>
      </c>
      <c r="D85" s="3"/>
      <c r="E85" s="3"/>
      <c r="F85" s="3"/>
      <c r="G85" s="3" t="s">
        <v>1645</v>
      </c>
      <c r="H85" s="3"/>
      <c r="I85" s="3"/>
      <c r="J85" s="3"/>
      <c r="K85" s="3"/>
      <c r="L85" s="3"/>
      <c r="M85" s="3"/>
      <c r="N85" s="3"/>
      <c r="O85" s="3"/>
      <c r="P85" s="3"/>
      <c r="Q85" s="3"/>
      <c r="R85" s="3"/>
      <c r="S85" s="3"/>
      <c r="T85" s="3"/>
      <c r="U85" s="3"/>
      <c r="V85" s="3"/>
      <c r="W85" s="3"/>
      <c r="X85" s="3"/>
      <c r="Y85" s="3"/>
      <c r="Z85" s="3"/>
      <c r="AA85" s="3"/>
      <c r="AB85" s="3"/>
    </row>
    <row r="86" spans="1:28" x14ac:dyDescent="0.35">
      <c r="A86" s="3"/>
      <c r="B86" s="3" t="s">
        <v>261</v>
      </c>
      <c r="C86" s="3" t="s">
        <v>1644</v>
      </c>
      <c r="D86" s="3"/>
      <c r="E86" s="3"/>
      <c r="F86" s="3"/>
      <c r="G86" s="3" t="s">
        <v>1645</v>
      </c>
      <c r="H86" s="3"/>
      <c r="I86" s="3"/>
      <c r="J86" s="3"/>
      <c r="K86" s="3"/>
      <c r="L86" s="3"/>
      <c r="M86" s="3"/>
      <c r="N86" s="3"/>
      <c r="O86" s="3"/>
      <c r="P86" s="3"/>
      <c r="Q86" s="3"/>
      <c r="R86" s="3"/>
      <c r="S86" s="3"/>
      <c r="T86" s="3"/>
      <c r="U86" s="3"/>
      <c r="V86" s="3"/>
      <c r="W86" s="3"/>
      <c r="X86" s="3"/>
      <c r="Y86" s="3"/>
      <c r="Z86" s="3"/>
      <c r="AA86" s="3"/>
      <c r="AB86" s="3"/>
    </row>
    <row r="87" spans="1:28" x14ac:dyDescent="0.35">
      <c r="A87" s="3"/>
      <c r="B87" s="3" t="s">
        <v>263</v>
      </c>
      <c r="C87" s="3" t="s">
        <v>1644</v>
      </c>
      <c r="D87" s="3"/>
      <c r="E87" s="3"/>
      <c r="F87" s="3"/>
      <c r="G87" s="3" t="s">
        <v>1645</v>
      </c>
      <c r="H87" s="3"/>
      <c r="I87" s="3"/>
      <c r="J87" s="3"/>
      <c r="K87" s="3"/>
      <c r="L87" s="3"/>
      <c r="M87" s="3"/>
      <c r="N87" s="3"/>
      <c r="O87" s="3"/>
      <c r="P87" s="3"/>
      <c r="Q87" s="3"/>
      <c r="R87" s="3"/>
      <c r="S87" s="3"/>
      <c r="T87" s="3"/>
      <c r="U87" s="3"/>
      <c r="V87" s="3"/>
      <c r="W87" s="3"/>
      <c r="X87" s="3"/>
      <c r="Y87" s="3"/>
      <c r="Z87" s="3"/>
      <c r="AA87" s="3"/>
      <c r="AB87" s="3"/>
    </row>
    <row r="88" spans="1:28" x14ac:dyDescent="0.35">
      <c r="A88" s="3"/>
      <c r="B88" s="3" t="s">
        <v>264</v>
      </c>
      <c r="C88" s="3"/>
      <c r="D88" s="3" t="s">
        <v>265</v>
      </c>
      <c r="E88" s="3" t="s">
        <v>266</v>
      </c>
      <c r="F88" s="3"/>
      <c r="G88" s="3"/>
      <c r="H88" s="3"/>
      <c r="I88" s="3"/>
      <c r="J88" s="3"/>
      <c r="K88" s="3"/>
      <c r="L88" s="3"/>
      <c r="M88" s="3"/>
      <c r="N88" s="3"/>
      <c r="O88" s="3"/>
      <c r="P88" s="3"/>
      <c r="Q88" s="3"/>
      <c r="R88" s="3"/>
      <c r="S88" s="3"/>
      <c r="T88" s="3"/>
      <c r="U88" s="3"/>
      <c r="V88" s="3"/>
      <c r="W88" s="3"/>
      <c r="X88" s="3"/>
      <c r="Y88" s="3"/>
      <c r="Z88" s="3"/>
      <c r="AA88" s="3"/>
      <c r="AB88" s="3"/>
    </row>
    <row r="89" spans="1:28" x14ac:dyDescent="0.35">
      <c r="A89" s="3"/>
      <c r="B89" s="3" t="s">
        <v>267</v>
      </c>
      <c r="C89" s="3" t="s">
        <v>221</v>
      </c>
      <c r="D89" s="3" t="s">
        <v>222</v>
      </c>
      <c r="E89" s="3" t="s">
        <v>223</v>
      </c>
      <c r="F89" s="3"/>
      <c r="G89" s="3" t="s">
        <v>250</v>
      </c>
      <c r="H89" s="3"/>
      <c r="I89" s="3"/>
      <c r="J89" s="3"/>
      <c r="K89" s="3"/>
      <c r="L89" s="3"/>
      <c r="M89" s="3"/>
      <c r="N89" s="3"/>
      <c r="O89" s="3"/>
      <c r="P89" s="3"/>
      <c r="Q89" s="3"/>
      <c r="R89" s="3"/>
      <c r="S89" s="3"/>
      <c r="T89" s="3"/>
      <c r="U89" s="3"/>
      <c r="V89" s="3"/>
      <c r="W89" s="3"/>
      <c r="X89" s="3"/>
      <c r="Y89" s="3"/>
      <c r="Z89" s="3"/>
      <c r="AA89" s="3"/>
      <c r="AB89" s="3"/>
    </row>
    <row r="90" spans="1:28" x14ac:dyDescent="0.35">
      <c r="A90" s="3"/>
      <c r="B90" s="3" t="s">
        <v>268</v>
      </c>
      <c r="C90" s="3"/>
      <c r="D90" s="3" t="s">
        <v>265</v>
      </c>
      <c r="E90" s="3" t="s">
        <v>266</v>
      </c>
      <c r="F90" s="3"/>
      <c r="G90" s="3"/>
      <c r="H90" s="3"/>
      <c r="I90" s="3"/>
      <c r="J90" s="3"/>
      <c r="K90" s="3"/>
      <c r="L90" s="3"/>
      <c r="M90" s="3"/>
      <c r="N90" s="3"/>
      <c r="O90" s="3"/>
      <c r="P90" s="3"/>
      <c r="Q90" s="3"/>
      <c r="R90" s="3"/>
      <c r="S90" s="3"/>
      <c r="T90" s="3"/>
      <c r="U90" s="3"/>
      <c r="V90" s="3"/>
      <c r="W90" s="3"/>
      <c r="X90" s="3"/>
      <c r="Y90" s="3"/>
      <c r="Z90" s="3"/>
      <c r="AA90" s="3"/>
      <c r="AB90" s="3"/>
    </row>
    <row r="91" spans="1:28" x14ac:dyDescent="0.35">
      <c r="A91" s="3"/>
      <c r="B91" s="3" t="s">
        <v>162</v>
      </c>
      <c r="C91" s="3" t="s">
        <v>163</v>
      </c>
      <c r="D91" s="3"/>
      <c r="E91" s="3"/>
      <c r="F91" s="3"/>
      <c r="G91" s="3" t="s">
        <v>269</v>
      </c>
      <c r="H91" s="3"/>
      <c r="I91" s="3"/>
      <c r="J91" s="3"/>
      <c r="K91" s="3"/>
      <c r="L91" s="3"/>
      <c r="M91" s="3"/>
      <c r="N91" s="3"/>
      <c r="O91" s="3"/>
      <c r="P91" s="3"/>
      <c r="Q91" s="3"/>
      <c r="R91" s="3"/>
      <c r="S91" s="3"/>
      <c r="T91" s="3"/>
      <c r="U91" s="3"/>
      <c r="V91" s="3"/>
      <c r="W91" s="3"/>
      <c r="X91" s="3"/>
      <c r="Y91" s="3"/>
      <c r="Z91" s="3"/>
      <c r="AA91" s="3"/>
      <c r="AB91" s="3"/>
    </row>
    <row r="92" spans="1:28" x14ac:dyDescent="0.35">
      <c r="A92" s="3"/>
      <c r="B92" s="3" t="s">
        <v>270</v>
      </c>
      <c r="C92" s="3"/>
      <c r="D92" s="3" t="s">
        <v>265</v>
      </c>
      <c r="E92" s="3" t="s">
        <v>266</v>
      </c>
      <c r="F92" s="3"/>
      <c r="G92" s="3"/>
      <c r="H92" s="3"/>
      <c r="I92" s="3"/>
      <c r="J92" s="3"/>
      <c r="K92" s="3"/>
      <c r="L92" s="3"/>
      <c r="M92" s="3"/>
      <c r="N92" s="3"/>
      <c r="O92" s="3"/>
      <c r="P92" s="3"/>
      <c r="Q92" s="3"/>
      <c r="R92" s="3"/>
      <c r="S92" s="3"/>
      <c r="T92" s="3"/>
      <c r="U92" s="3"/>
      <c r="V92" s="3"/>
      <c r="W92" s="3"/>
      <c r="X92" s="3"/>
      <c r="Y92" s="3"/>
      <c r="Z92" s="3"/>
      <c r="AA92" s="3"/>
      <c r="AB92" s="3"/>
    </row>
    <row r="93" spans="1:28" x14ac:dyDescent="0.35">
      <c r="A93" s="3"/>
      <c r="B93" s="3" t="s">
        <v>271</v>
      </c>
      <c r="C93" s="3" t="s">
        <v>163</v>
      </c>
      <c r="D93" s="3"/>
      <c r="E93" s="3"/>
      <c r="F93" s="3"/>
      <c r="G93" s="3" t="s">
        <v>272</v>
      </c>
      <c r="H93" s="3"/>
      <c r="I93" s="3"/>
      <c r="J93" s="3"/>
      <c r="K93" s="3"/>
      <c r="L93" s="3"/>
      <c r="M93" s="3"/>
      <c r="N93" s="3"/>
      <c r="O93" s="3"/>
      <c r="P93" s="3"/>
      <c r="Q93" s="3"/>
      <c r="R93" s="3"/>
      <c r="S93" s="3"/>
      <c r="T93" s="3"/>
      <c r="U93" s="3"/>
      <c r="V93" s="3"/>
      <c r="W93" s="3"/>
      <c r="X93" s="3"/>
      <c r="Y93" s="3"/>
      <c r="Z93" s="3"/>
      <c r="AA93" s="3"/>
      <c r="AB93" s="3"/>
    </row>
    <row r="94" spans="1:28" x14ac:dyDescent="0.35">
      <c r="A94" s="3"/>
      <c r="B94" s="3" t="s">
        <v>275</v>
      </c>
      <c r="C94" s="3"/>
      <c r="D94" s="3" t="s">
        <v>265</v>
      </c>
      <c r="E94" s="3" t="s">
        <v>266</v>
      </c>
      <c r="F94" s="3"/>
      <c r="G94" s="3"/>
      <c r="H94" s="3"/>
      <c r="I94" s="3"/>
      <c r="J94" s="3"/>
      <c r="K94" s="3"/>
      <c r="L94" s="3"/>
      <c r="M94" s="3"/>
      <c r="N94" s="3"/>
      <c r="O94" s="3"/>
      <c r="P94" s="3"/>
      <c r="Q94" s="3"/>
      <c r="R94" s="3"/>
      <c r="S94" s="3"/>
      <c r="T94" s="3"/>
      <c r="U94" s="3"/>
      <c r="V94" s="3"/>
      <c r="W94" s="3"/>
      <c r="X94" s="3"/>
      <c r="Y94" s="3"/>
      <c r="Z94" s="3"/>
      <c r="AA94" s="3"/>
      <c r="AB94" s="3"/>
    </row>
    <row r="95" spans="1:28" x14ac:dyDescent="0.35">
      <c r="A95" s="3"/>
      <c r="B95" s="3" t="s">
        <v>276</v>
      </c>
      <c r="C95" s="3" t="s">
        <v>163</v>
      </c>
      <c r="D95" s="3"/>
      <c r="E95" s="3"/>
      <c r="F95" s="3"/>
      <c r="G95" s="3" t="s">
        <v>277</v>
      </c>
      <c r="H95" s="3"/>
      <c r="I95" s="3"/>
      <c r="J95" s="3"/>
      <c r="K95" s="3"/>
      <c r="L95" s="3"/>
      <c r="M95" s="3"/>
      <c r="N95" s="3"/>
      <c r="O95" s="3"/>
      <c r="P95" s="3"/>
      <c r="Q95" s="3"/>
      <c r="R95" s="3"/>
      <c r="S95" s="3"/>
      <c r="T95" s="3"/>
      <c r="U95" s="3"/>
      <c r="V95" s="3"/>
      <c r="W95" s="3"/>
      <c r="X95" s="3"/>
      <c r="Y95" s="3"/>
      <c r="Z95" s="3"/>
      <c r="AA95" s="3"/>
      <c r="AB95" s="3"/>
    </row>
    <row r="96" spans="1:28" x14ac:dyDescent="0.35">
      <c r="A96" s="3"/>
      <c r="B96" s="3" t="s">
        <v>188</v>
      </c>
      <c r="C96" s="3" t="s">
        <v>1105</v>
      </c>
      <c r="D96" s="3"/>
      <c r="E96" s="3"/>
      <c r="F96" s="3"/>
      <c r="G96" s="3" t="s">
        <v>1646</v>
      </c>
      <c r="H96" s="3"/>
      <c r="I96" s="3"/>
      <c r="J96" s="3"/>
      <c r="K96" s="3"/>
      <c r="L96" s="3"/>
      <c r="M96" s="3"/>
      <c r="N96" s="3"/>
      <c r="O96" s="3"/>
      <c r="P96" s="3"/>
      <c r="Q96" s="3"/>
      <c r="R96" s="3"/>
      <c r="S96" s="3"/>
      <c r="T96" s="3"/>
      <c r="U96" s="3"/>
      <c r="V96" s="3"/>
      <c r="W96" s="3"/>
      <c r="X96" s="3"/>
      <c r="Y96" s="3"/>
      <c r="Z96" s="3"/>
      <c r="AA96" s="3"/>
      <c r="AB96" s="3"/>
    </row>
    <row r="97" spans="1:28" x14ac:dyDescent="0.35">
      <c r="A97" s="5"/>
      <c r="B97" s="5" t="s">
        <v>189</v>
      </c>
      <c r="C97" s="5" t="s">
        <v>131</v>
      </c>
      <c r="D97" s="5"/>
      <c r="E97" s="5"/>
      <c r="F97" s="5"/>
      <c r="G97" s="5"/>
      <c r="H97" s="5"/>
      <c r="I97" s="5"/>
      <c r="J97" s="5"/>
      <c r="K97" s="5"/>
      <c r="L97" s="5"/>
      <c r="M97" s="5"/>
      <c r="N97" s="5"/>
      <c r="O97" s="5"/>
      <c r="P97" s="5"/>
      <c r="Q97" s="5"/>
      <c r="R97" s="5"/>
      <c r="S97" s="5"/>
      <c r="T97" s="5"/>
      <c r="U97" s="5"/>
      <c r="V97" s="5"/>
      <c r="W97" s="5"/>
      <c r="X97" s="5"/>
      <c r="Y97" s="5"/>
      <c r="Z97" s="5"/>
      <c r="AA97" s="5"/>
      <c r="AB97" s="5"/>
    </row>
    <row r="98" spans="1:28" x14ac:dyDescent="0.35">
      <c r="A98" s="3"/>
      <c r="B98" s="3" t="s">
        <v>195</v>
      </c>
      <c r="C98" s="3" t="s">
        <v>131</v>
      </c>
      <c r="D98" s="3"/>
      <c r="E98" s="3"/>
      <c r="F98" s="3"/>
      <c r="G98" s="3" t="s">
        <v>196</v>
      </c>
      <c r="H98" s="3"/>
      <c r="I98" s="3"/>
      <c r="J98" s="3"/>
      <c r="K98" s="3"/>
      <c r="L98" s="3"/>
      <c r="M98" s="3"/>
      <c r="N98" s="3"/>
      <c r="O98" s="3"/>
      <c r="P98" s="3"/>
      <c r="Q98" s="3"/>
      <c r="R98" s="3"/>
      <c r="S98" s="3"/>
      <c r="T98" s="3"/>
      <c r="U98" s="3"/>
      <c r="V98" s="3"/>
      <c r="W98" s="3"/>
      <c r="X98" s="3"/>
      <c r="Y98" s="3"/>
      <c r="Z98" s="3"/>
      <c r="AA98" s="3"/>
      <c r="AB98" s="3"/>
    </row>
    <row r="99" spans="1:28" x14ac:dyDescent="0.35">
      <c r="A99" s="3"/>
      <c r="B99" s="3"/>
      <c r="C99" s="3" t="s">
        <v>197</v>
      </c>
      <c r="D99" s="3"/>
      <c r="E99" s="3"/>
      <c r="F99" s="3"/>
      <c r="G99" s="3" t="s">
        <v>278</v>
      </c>
      <c r="H99" s="3"/>
      <c r="I99" s="3"/>
      <c r="J99" s="3"/>
      <c r="K99" s="3"/>
      <c r="L99" s="3"/>
      <c r="M99" s="3"/>
      <c r="N99" s="3"/>
      <c r="O99" s="3"/>
      <c r="P99" s="3"/>
      <c r="Q99" s="3"/>
      <c r="R99" s="3"/>
      <c r="S99" s="3"/>
      <c r="T99" s="3"/>
      <c r="U99" s="3"/>
      <c r="V99" s="3"/>
      <c r="W99" s="3"/>
      <c r="X99" s="3"/>
      <c r="Y99" s="3"/>
      <c r="Z99" s="3"/>
      <c r="AA99" s="3"/>
      <c r="AB99" s="3"/>
    </row>
    <row r="100" spans="1:28" x14ac:dyDescent="0.35">
      <c r="A100" s="3"/>
      <c r="B100" s="3" t="s">
        <v>206</v>
      </c>
      <c r="C100" s="3" t="s">
        <v>1641</v>
      </c>
      <c r="D100" s="3" t="s">
        <v>208</v>
      </c>
      <c r="E100" s="3" t="s">
        <v>209</v>
      </c>
      <c r="F100" s="3"/>
      <c r="G100" s="3" t="s">
        <v>1647</v>
      </c>
      <c r="H100" s="3"/>
      <c r="I100" s="3"/>
      <c r="J100" s="3"/>
      <c r="K100" s="3"/>
      <c r="L100" s="3"/>
      <c r="M100" s="3"/>
      <c r="N100" s="3"/>
      <c r="O100" s="3"/>
      <c r="P100" s="3"/>
      <c r="Q100" s="3"/>
      <c r="R100" s="3"/>
      <c r="S100" s="3"/>
      <c r="T100" s="3"/>
      <c r="U100" s="3"/>
      <c r="V100" s="3"/>
      <c r="W100" s="3"/>
      <c r="X100" s="3"/>
      <c r="Y100" s="3"/>
      <c r="Z100" s="3"/>
      <c r="AA100" s="3"/>
      <c r="AB100" s="3"/>
    </row>
    <row r="101" spans="1:28"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x14ac:dyDescent="0.35">
      <c r="A102" s="3" t="s">
        <v>280</v>
      </c>
      <c r="B102" s="3" t="s">
        <v>281</v>
      </c>
      <c r="C102" s="3" t="s">
        <v>25</v>
      </c>
      <c r="D102" s="3"/>
      <c r="E102" s="3"/>
      <c r="F102" s="3"/>
      <c r="G102" s="3" t="s">
        <v>282</v>
      </c>
      <c r="H102" s="3"/>
      <c r="I102" s="3"/>
      <c r="J102" s="3"/>
      <c r="K102" s="3"/>
      <c r="L102" s="3"/>
      <c r="M102" s="3"/>
      <c r="N102" s="3"/>
      <c r="O102" s="3"/>
      <c r="P102" s="3"/>
      <c r="Q102" s="3"/>
      <c r="R102" s="3"/>
      <c r="S102" s="3"/>
      <c r="T102" s="3"/>
      <c r="U102" s="3"/>
      <c r="V102" s="3"/>
      <c r="W102" s="3"/>
      <c r="X102" s="3"/>
      <c r="Y102" s="3"/>
      <c r="Z102" s="3"/>
      <c r="AA102" s="3"/>
      <c r="AB102" s="3"/>
    </row>
    <row r="103" spans="1:28" x14ac:dyDescent="0.35">
      <c r="A103" s="3"/>
      <c r="B103" s="3"/>
      <c r="C103" s="3" t="s">
        <v>29</v>
      </c>
      <c r="D103" s="3"/>
      <c r="E103" s="3"/>
      <c r="F103" s="3"/>
      <c r="G103" s="3" t="s">
        <v>283</v>
      </c>
      <c r="H103" s="3"/>
      <c r="I103" s="3"/>
      <c r="J103" s="3"/>
      <c r="K103" s="3"/>
      <c r="L103" s="3"/>
      <c r="M103" s="3"/>
      <c r="N103" s="3"/>
      <c r="O103" s="3"/>
      <c r="P103" s="3"/>
      <c r="Q103" s="3"/>
      <c r="R103" s="3"/>
      <c r="S103" s="3"/>
      <c r="T103" s="3"/>
      <c r="U103" s="3"/>
      <c r="V103" s="3"/>
      <c r="W103" s="3"/>
      <c r="X103" s="3"/>
      <c r="Y103" s="3"/>
      <c r="Z103" s="3"/>
      <c r="AA103" s="3"/>
      <c r="AB103" s="3"/>
    </row>
    <row r="104" spans="1:28" x14ac:dyDescent="0.35">
      <c r="A104" s="3"/>
      <c r="B104" s="3" t="s">
        <v>284</v>
      </c>
      <c r="C104" s="3" t="s">
        <v>33</v>
      </c>
      <c r="D104" s="3" t="s">
        <v>34</v>
      </c>
      <c r="E104" s="3" t="s">
        <v>35</v>
      </c>
      <c r="F104" s="3"/>
      <c r="G104" s="3" t="s">
        <v>285</v>
      </c>
      <c r="H104" s="3"/>
      <c r="I104" s="3"/>
      <c r="J104" s="3"/>
      <c r="K104" s="3"/>
      <c r="L104" s="3"/>
      <c r="M104" s="3"/>
      <c r="N104" s="3"/>
      <c r="O104" s="3"/>
      <c r="P104" s="3"/>
      <c r="Q104" s="3"/>
      <c r="R104" s="3"/>
      <c r="S104" s="3"/>
      <c r="T104" s="3"/>
      <c r="U104" s="3"/>
      <c r="V104" s="3"/>
      <c r="W104" s="3"/>
      <c r="X104" s="3"/>
      <c r="Y104" s="3"/>
      <c r="Z104" s="3"/>
      <c r="AA104" s="3"/>
      <c r="AB104" s="3"/>
    </row>
    <row r="105" spans="1:28" x14ac:dyDescent="0.35">
      <c r="A105" s="3"/>
      <c r="B105" s="3"/>
      <c r="C105" s="3" t="s">
        <v>1628</v>
      </c>
      <c r="D105" s="3"/>
      <c r="E105" s="3"/>
      <c r="F105" s="3"/>
      <c r="G105" s="3" t="s">
        <v>288</v>
      </c>
      <c r="H105" s="3"/>
      <c r="I105" s="3"/>
      <c r="J105" s="3"/>
      <c r="K105" s="3"/>
      <c r="L105" s="3"/>
      <c r="M105" s="3"/>
      <c r="N105" s="3"/>
      <c r="O105" s="3"/>
      <c r="P105" s="3"/>
      <c r="Q105" s="3"/>
      <c r="R105" s="3"/>
      <c r="S105" s="3"/>
      <c r="T105" s="3"/>
      <c r="U105" s="3"/>
      <c r="V105" s="3"/>
      <c r="W105" s="3"/>
      <c r="X105" s="3"/>
      <c r="Y105" s="3"/>
      <c r="Z105" s="3"/>
      <c r="AA105" s="3"/>
      <c r="AB105" s="3"/>
    </row>
    <row r="106" spans="1:28" x14ac:dyDescent="0.35">
      <c r="A106" s="3"/>
      <c r="B106" s="3"/>
      <c r="C106" s="3" t="s">
        <v>43</v>
      </c>
      <c r="D106" s="3"/>
      <c r="E106" s="3"/>
      <c r="F106" s="3"/>
      <c r="G106" s="3" t="s">
        <v>292</v>
      </c>
      <c r="H106" s="3"/>
      <c r="I106" s="3"/>
      <c r="J106" s="3"/>
      <c r="K106" s="3"/>
      <c r="L106" s="3"/>
      <c r="M106" s="3"/>
      <c r="N106" s="3"/>
      <c r="O106" s="3"/>
      <c r="P106" s="3"/>
      <c r="Q106" s="3"/>
      <c r="R106" s="3"/>
      <c r="S106" s="3"/>
      <c r="T106" s="3"/>
      <c r="U106" s="3"/>
      <c r="V106" s="3"/>
      <c r="W106" s="3"/>
      <c r="X106" s="3"/>
      <c r="Y106" s="3"/>
      <c r="Z106" s="3"/>
      <c r="AA106" s="3"/>
      <c r="AB106" s="3"/>
    </row>
    <row r="107" spans="1:28" x14ac:dyDescent="0.35">
      <c r="A107" s="3"/>
      <c r="B107" s="3" t="s">
        <v>295</v>
      </c>
      <c r="C107" s="3" t="s">
        <v>50</v>
      </c>
      <c r="D107" s="3" t="s">
        <v>51</v>
      </c>
      <c r="E107" s="3" t="s">
        <v>52</v>
      </c>
      <c r="F107" s="3"/>
      <c r="G107" s="3" t="s">
        <v>296</v>
      </c>
      <c r="H107" s="3"/>
      <c r="I107" s="3"/>
      <c r="J107" s="3"/>
      <c r="K107" s="3"/>
      <c r="L107" s="3"/>
      <c r="M107" s="3"/>
      <c r="N107" s="3"/>
      <c r="O107" s="3"/>
      <c r="P107" s="3"/>
      <c r="Q107" s="3"/>
      <c r="R107" s="3"/>
      <c r="S107" s="3"/>
      <c r="T107" s="3"/>
      <c r="U107" s="3"/>
      <c r="V107" s="3"/>
      <c r="W107" s="3"/>
      <c r="X107" s="3"/>
      <c r="Y107" s="3"/>
      <c r="Z107" s="3"/>
      <c r="AA107" s="3"/>
      <c r="AB107" s="3"/>
    </row>
    <row r="108" spans="1:28" x14ac:dyDescent="0.35">
      <c r="A108" s="3"/>
      <c r="B108" s="3"/>
      <c r="C108" s="3" t="s">
        <v>57</v>
      </c>
      <c r="D108" s="3"/>
      <c r="E108" s="3"/>
      <c r="F108" s="3"/>
      <c r="G108" s="3" t="s">
        <v>298</v>
      </c>
      <c r="H108" s="3"/>
      <c r="I108" s="3"/>
      <c r="J108" s="3"/>
      <c r="K108" s="3"/>
      <c r="L108" s="3"/>
      <c r="M108" s="3"/>
      <c r="N108" s="3"/>
      <c r="O108" s="3"/>
      <c r="P108" s="3"/>
      <c r="Q108" s="3"/>
      <c r="R108" s="3"/>
      <c r="S108" s="3"/>
      <c r="T108" s="3"/>
      <c r="U108" s="3"/>
      <c r="V108" s="3"/>
      <c r="W108" s="3"/>
      <c r="X108" s="3"/>
      <c r="Y108" s="3"/>
      <c r="Z108" s="3"/>
      <c r="AA108" s="3"/>
      <c r="AB108" s="3"/>
    </row>
    <row r="109" spans="1:28" x14ac:dyDescent="0.35">
      <c r="A109" s="3"/>
      <c r="B109" s="3" t="s">
        <v>300</v>
      </c>
      <c r="C109" s="3" t="s">
        <v>301</v>
      </c>
      <c r="D109" s="3" t="s">
        <v>51</v>
      </c>
      <c r="E109" s="3" t="s">
        <v>52</v>
      </c>
      <c r="F109" s="3"/>
      <c r="G109" s="3" t="s">
        <v>302</v>
      </c>
      <c r="H109" s="3"/>
      <c r="I109" s="3"/>
      <c r="J109" s="3"/>
      <c r="K109" s="3"/>
      <c r="L109" s="3"/>
      <c r="M109" s="3"/>
      <c r="N109" s="3"/>
      <c r="O109" s="3"/>
      <c r="P109" s="3"/>
      <c r="Q109" s="3"/>
      <c r="R109" s="3"/>
      <c r="S109" s="3"/>
      <c r="T109" s="3"/>
      <c r="U109" s="3"/>
      <c r="V109" s="3"/>
      <c r="W109" s="3"/>
      <c r="X109" s="3"/>
      <c r="Y109" s="3"/>
      <c r="Z109" s="3"/>
      <c r="AA109" s="3"/>
      <c r="AB109" s="3"/>
    </row>
    <row r="110" spans="1:28" x14ac:dyDescent="0.35">
      <c r="A110" s="3"/>
      <c r="B110" s="3"/>
      <c r="C110" s="3" t="s">
        <v>306</v>
      </c>
      <c r="D110" s="3"/>
      <c r="E110" s="3" t="s">
        <v>307</v>
      </c>
      <c r="F110" s="3"/>
      <c r="G110" s="3" t="s">
        <v>308</v>
      </c>
      <c r="H110" s="3"/>
      <c r="I110" s="3"/>
      <c r="J110" s="3"/>
      <c r="K110" s="3"/>
      <c r="L110" s="3"/>
      <c r="M110" s="3"/>
      <c r="N110" s="3"/>
      <c r="O110" s="3"/>
      <c r="P110" s="3"/>
      <c r="Q110" s="3"/>
      <c r="R110" s="3"/>
      <c r="S110" s="3"/>
      <c r="T110" s="3"/>
      <c r="U110" s="3"/>
      <c r="V110" s="3"/>
      <c r="W110" s="3"/>
      <c r="X110" s="3"/>
      <c r="Y110" s="3"/>
      <c r="Z110" s="3"/>
      <c r="AA110" s="3"/>
      <c r="AB110" s="3"/>
    </row>
    <row r="111" spans="1:28" x14ac:dyDescent="0.35">
      <c r="A111" s="3"/>
      <c r="B111" s="3" t="s">
        <v>60</v>
      </c>
      <c r="C111" s="3" t="s">
        <v>61</v>
      </c>
      <c r="D111" s="3"/>
      <c r="E111" s="3"/>
      <c r="F111" s="3"/>
      <c r="G111" s="3" t="s">
        <v>310</v>
      </c>
      <c r="H111" s="3"/>
      <c r="I111" s="3"/>
      <c r="J111" s="3"/>
      <c r="K111" s="3"/>
      <c r="L111" s="3"/>
      <c r="M111" s="3"/>
      <c r="N111" s="3"/>
      <c r="O111" s="3"/>
      <c r="P111" s="3"/>
      <c r="Q111" s="3"/>
      <c r="R111" s="3"/>
      <c r="S111" s="3"/>
      <c r="T111" s="3"/>
      <c r="U111" s="3"/>
      <c r="V111" s="3"/>
      <c r="W111" s="3"/>
      <c r="X111" s="3"/>
      <c r="Y111" s="3"/>
      <c r="Z111" s="3"/>
      <c r="AA111" s="3"/>
      <c r="AB111" s="3"/>
    </row>
    <row r="112" spans="1:28" x14ac:dyDescent="0.35">
      <c r="A112" s="3"/>
      <c r="B112" s="3"/>
      <c r="C112" s="3" t="s">
        <v>64</v>
      </c>
      <c r="D112" s="3"/>
      <c r="E112" s="3"/>
      <c r="F112" s="3"/>
      <c r="G112" s="3" t="s">
        <v>65</v>
      </c>
      <c r="H112" s="3"/>
      <c r="I112" s="3"/>
      <c r="J112" s="3"/>
      <c r="K112" s="3"/>
      <c r="L112" s="3"/>
      <c r="M112" s="3"/>
      <c r="N112" s="3"/>
      <c r="O112" s="3"/>
      <c r="P112" s="3"/>
      <c r="Q112" s="3"/>
      <c r="R112" s="3"/>
      <c r="S112" s="3"/>
      <c r="T112" s="3"/>
      <c r="U112" s="3"/>
      <c r="V112" s="3"/>
      <c r="W112" s="3"/>
      <c r="X112" s="3"/>
      <c r="Y112" s="3"/>
      <c r="Z112" s="3"/>
      <c r="AA112" s="3"/>
      <c r="AB112" s="3"/>
    </row>
    <row r="113" spans="1:28" x14ac:dyDescent="0.35">
      <c r="A113" s="3"/>
      <c r="B113" s="3"/>
      <c r="C113" s="3" t="s">
        <v>68</v>
      </c>
      <c r="D113" s="3"/>
      <c r="E113" s="3"/>
      <c r="F113" s="3"/>
      <c r="G113" s="3" t="s">
        <v>311</v>
      </c>
      <c r="H113" s="3"/>
      <c r="I113" s="3"/>
      <c r="J113" s="3"/>
      <c r="K113" s="3"/>
      <c r="L113" s="3"/>
      <c r="M113" s="3"/>
      <c r="N113" s="3"/>
      <c r="O113" s="3"/>
      <c r="P113" s="3"/>
      <c r="Q113" s="3"/>
      <c r="R113" s="3"/>
      <c r="S113" s="3"/>
      <c r="T113" s="3"/>
      <c r="U113" s="3"/>
      <c r="V113" s="3"/>
      <c r="W113" s="3"/>
      <c r="X113" s="3"/>
      <c r="Y113" s="3"/>
      <c r="Z113" s="3"/>
      <c r="AA113" s="3"/>
      <c r="AB113" s="3"/>
    </row>
    <row r="114" spans="1:28" x14ac:dyDescent="0.35">
      <c r="A114" s="3"/>
      <c r="B114" s="3" t="s">
        <v>74</v>
      </c>
      <c r="C114" s="3" t="s">
        <v>75</v>
      </c>
      <c r="D114" s="3" t="s">
        <v>315</v>
      </c>
      <c r="E114" s="3" t="s">
        <v>77</v>
      </c>
      <c r="F114" s="3"/>
      <c r="G114" s="3" t="s">
        <v>316</v>
      </c>
      <c r="H114" s="3"/>
      <c r="I114" s="3"/>
      <c r="J114" s="3"/>
      <c r="K114" s="3"/>
      <c r="L114" s="3"/>
      <c r="M114" s="3"/>
      <c r="N114" s="3"/>
      <c r="O114" s="3"/>
      <c r="P114" s="3"/>
      <c r="Q114" s="3"/>
      <c r="R114" s="3"/>
      <c r="S114" s="3"/>
      <c r="T114" s="3"/>
      <c r="U114" s="3"/>
      <c r="V114" s="3"/>
      <c r="W114" s="3"/>
      <c r="X114" s="3"/>
      <c r="Y114" s="3"/>
      <c r="Z114" s="3"/>
      <c r="AA114" s="3"/>
      <c r="AB114" s="3"/>
    </row>
    <row r="115" spans="1:28" x14ac:dyDescent="0.35">
      <c r="A115" s="3"/>
      <c r="B115" s="3"/>
      <c r="C115" s="3" t="s">
        <v>318</v>
      </c>
      <c r="D115" s="3"/>
      <c r="E115" s="3"/>
      <c r="F115" s="3"/>
      <c r="G115" s="3" t="s">
        <v>319</v>
      </c>
      <c r="H115" s="3"/>
      <c r="I115" s="3"/>
      <c r="J115" s="3"/>
      <c r="K115" s="3"/>
      <c r="L115" s="3"/>
      <c r="M115" s="3"/>
      <c r="N115" s="3"/>
      <c r="O115" s="3"/>
      <c r="P115" s="3"/>
      <c r="Q115" s="3"/>
      <c r="R115" s="3"/>
      <c r="S115" s="3"/>
      <c r="T115" s="3"/>
      <c r="U115" s="3"/>
      <c r="V115" s="3"/>
      <c r="W115" s="3"/>
      <c r="X115" s="3"/>
      <c r="Y115" s="3"/>
      <c r="Z115" s="3"/>
      <c r="AA115" s="3"/>
      <c r="AB115" s="3"/>
    </row>
    <row r="116" spans="1:28" x14ac:dyDescent="0.35">
      <c r="A116" s="3"/>
      <c r="B116" s="3"/>
      <c r="C116" s="3" t="s">
        <v>89</v>
      </c>
      <c r="D116" s="3"/>
      <c r="E116" s="3"/>
      <c r="F116" s="3"/>
      <c r="G116" s="3" t="s">
        <v>322</v>
      </c>
      <c r="H116" s="3"/>
      <c r="I116" s="3"/>
      <c r="J116" s="3"/>
      <c r="K116" s="3"/>
      <c r="L116" s="3"/>
      <c r="M116" s="3"/>
      <c r="N116" s="3"/>
      <c r="O116" s="3"/>
      <c r="P116" s="3"/>
      <c r="Q116" s="3"/>
      <c r="R116" s="3"/>
      <c r="S116" s="3"/>
      <c r="T116" s="3"/>
      <c r="U116" s="3"/>
      <c r="V116" s="3"/>
      <c r="W116" s="3"/>
      <c r="X116" s="3"/>
      <c r="Y116" s="3"/>
      <c r="Z116" s="3"/>
      <c r="AA116" s="3"/>
      <c r="AB116" s="3"/>
    </row>
    <row r="117" spans="1:28" x14ac:dyDescent="0.35">
      <c r="A117" s="3"/>
      <c r="B117" s="3"/>
      <c r="C117" s="3" t="s">
        <v>97</v>
      </c>
      <c r="D117" s="3"/>
      <c r="E117" s="3"/>
      <c r="F117" s="3"/>
      <c r="G117" s="3" t="s">
        <v>328</v>
      </c>
      <c r="H117" s="3"/>
      <c r="I117" s="3"/>
      <c r="J117" s="3"/>
      <c r="K117" s="3"/>
      <c r="L117" s="3"/>
      <c r="M117" s="3"/>
      <c r="N117" s="3"/>
      <c r="O117" s="3"/>
      <c r="P117" s="3"/>
      <c r="Q117" s="3"/>
      <c r="R117" s="3"/>
      <c r="S117" s="3"/>
      <c r="T117" s="3"/>
      <c r="U117" s="3"/>
      <c r="V117" s="3"/>
      <c r="W117" s="3"/>
      <c r="X117" s="3"/>
      <c r="Y117" s="3"/>
      <c r="Z117" s="3"/>
      <c r="AA117" s="3"/>
      <c r="AB117" s="3"/>
    </row>
    <row r="118" spans="1:28" x14ac:dyDescent="0.35">
      <c r="A118" s="3"/>
      <c r="B118" s="3" t="s">
        <v>103</v>
      </c>
      <c r="C118" s="3"/>
      <c r="D118" s="3" t="s">
        <v>34</v>
      </c>
      <c r="E118" s="3" t="s">
        <v>35</v>
      </c>
      <c r="F118" s="3"/>
      <c r="G118" s="3"/>
      <c r="H118" s="3"/>
      <c r="I118" s="3"/>
      <c r="J118" s="3"/>
      <c r="K118" s="3"/>
      <c r="L118" s="3"/>
      <c r="M118" s="3"/>
      <c r="N118" s="3"/>
      <c r="O118" s="3"/>
      <c r="P118" s="3"/>
      <c r="Q118" s="3"/>
      <c r="R118" s="3"/>
      <c r="S118" s="3"/>
      <c r="T118" s="3"/>
      <c r="U118" s="3"/>
      <c r="V118" s="3"/>
      <c r="W118" s="3"/>
      <c r="X118" s="3"/>
      <c r="Y118" s="3"/>
      <c r="Z118" s="3"/>
      <c r="AA118" s="3"/>
      <c r="AB118" s="3"/>
    </row>
    <row r="119" spans="1:28" x14ac:dyDescent="0.35">
      <c r="A119" s="3"/>
      <c r="B119" s="3" t="s">
        <v>104</v>
      </c>
      <c r="C119" s="3"/>
      <c r="D119" s="3" t="s">
        <v>34</v>
      </c>
      <c r="E119" s="3" t="s">
        <v>35</v>
      </c>
      <c r="F119" s="3"/>
      <c r="G119" s="3"/>
      <c r="H119" s="3"/>
      <c r="I119" s="3"/>
      <c r="J119" s="3"/>
      <c r="K119" s="3"/>
      <c r="L119" s="3"/>
      <c r="M119" s="3"/>
      <c r="N119" s="3"/>
      <c r="O119" s="3"/>
      <c r="P119" s="3"/>
      <c r="Q119" s="3"/>
      <c r="R119" s="3"/>
      <c r="S119" s="3"/>
      <c r="T119" s="3"/>
      <c r="U119" s="3"/>
      <c r="V119" s="3"/>
      <c r="W119" s="3"/>
      <c r="X119" s="3"/>
      <c r="Y119" s="3"/>
      <c r="Z119" s="3"/>
      <c r="AA119" s="3"/>
      <c r="AB119" s="3"/>
    </row>
    <row r="120" spans="1:28" x14ac:dyDescent="0.35">
      <c r="A120" s="3"/>
      <c r="B120" s="3"/>
      <c r="C120" s="3"/>
      <c r="D120" s="3" t="s">
        <v>315</v>
      </c>
      <c r="E120" s="3" t="s">
        <v>77</v>
      </c>
      <c r="F120" s="3"/>
      <c r="G120" s="3"/>
      <c r="H120" s="3"/>
      <c r="I120" s="3"/>
      <c r="J120" s="3"/>
      <c r="K120" s="3"/>
      <c r="L120" s="3"/>
      <c r="M120" s="3"/>
      <c r="N120" s="3"/>
      <c r="O120" s="3"/>
      <c r="P120" s="3"/>
      <c r="Q120" s="3"/>
      <c r="R120" s="3"/>
      <c r="S120" s="3"/>
      <c r="T120" s="3"/>
      <c r="U120" s="3"/>
      <c r="V120" s="3"/>
      <c r="W120" s="3"/>
      <c r="X120" s="3"/>
      <c r="Y120" s="3"/>
      <c r="Z120" s="3"/>
      <c r="AA120" s="3"/>
      <c r="AB120" s="3"/>
    </row>
    <row r="121" spans="1:28" x14ac:dyDescent="0.35">
      <c r="A121" s="3"/>
      <c r="B121" s="3" t="s">
        <v>333</v>
      </c>
      <c r="C121" s="3" t="s">
        <v>334</v>
      </c>
      <c r="D121" s="3"/>
      <c r="E121" s="3"/>
      <c r="F121" s="3"/>
      <c r="G121" s="3" t="s">
        <v>335</v>
      </c>
      <c r="H121" s="3"/>
      <c r="I121" s="3"/>
      <c r="J121" s="3"/>
      <c r="K121" s="3"/>
      <c r="L121" s="3"/>
      <c r="M121" s="3"/>
      <c r="N121" s="3"/>
      <c r="O121" s="3"/>
      <c r="P121" s="3"/>
      <c r="Q121" s="3"/>
      <c r="R121" s="3"/>
      <c r="S121" s="3"/>
      <c r="T121" s="3"/>
      <c r="U121" s="3"/>
      <c r="V121" s="3"/>
      <c r="W121" s="3"/>
      <c r="X121" s="3"/>
      <c r="Y121" s="3"/>
      <c r="Z121" s="3"/>
      <c r="AA121" s="3"/>
      <c r="AB121" s="3"/>
    </row>
    <row r="122" spans="1:28" x14ac:dyDescent="0.35">
      <c r="A122" s="3"/>
      <c r="B122" s="3" t="s">
        <v>105</v>
      </c>
      <c r="C122" s="3" t="s">
        <v>25</v>
      </c>
      <c r="D122" s="3"/>
      <c r="E122" s="3"/>
      <c r="F122" s="3"/>
      <c r="G122" s="3" t="s">
        <v>337</v>
      </c>
      <c r="H122" s="3"/>
      <c r="I122" s="3"/>
      <c r="J122" s="3"/>
      <c r="K122" s="3"/>
      <c r="L122" s="3"/>
      <c r="M122" s="3"/>
      <c r="N122" s="3"/>
      <c r="O122" s="3"/>
      <c r="P122" s="3"/>
      <c r="Q122" s="3"/>
      <c r="R122" s="3"/>
      <c r="S122" s="3"/>
      <c r="T122" s="3"/>
      <c r="U122" s="3"/>
      <c r="V122" s="3"/>
      <c r="W122" s="3"/>
      <c r="X122" s="3"/>
      <c r="Y122" s="3"/>
      <c r="Z122" s="3"/>
      <c r="AA122" s="3"/>
      <c r="AB122" s="3"/>
    </row>
    <row r="123" spans="1:28" x14ac:dyDescent="0.35">
      <c r="A123" s="3"/>
      <c r="B123" s="3"/>
      <c r="C123" s="3" t="s">
        <v>29</v>
      </c>
      <c r="D123" s="3"/>
      <c r="E123" s="3"/>
      <c r="F123" s="3"/>
      <c r="G123" s="3" t="s">
        <v>338</v>
      </c>
      <c r="H123" s="3"/>
      <c r="I123" s="3"/>
      <c r="J123" s="3"/>
      <c r="K123" s="3"/>
      <c r="L123" s="3"/>
      <c r="M123" s="3"/>
      <c r="N123" s="3"/>
      <c r="O123" s="3"/>
      <c r="P123" s="3"/>
      <c r="Q123" s="3"/>
      <c r="R123" s="3"/>
      <c r="S123" s="3"/>
      <c r="T123" s="3"/>
      <c r="U123" s="3"/>
      <c r="V123" s="3"/>
      <c r="W123" s="3"/>
      <c r="X123" s="3"/>
      <c r="Y123" s="3"/>
      <c r="Z123" s="3"/>
      <c r="AA123" s="3"/>
      <c r="AB123" s="3"/>
    </row>
    <row r="124" spans="1:28" x14ac:dyDescent="0.35">
      <c r="A124" s="3"/>
      <c r="B124" s="3" t="s">
        <v>108</v>
      </c>
      <c r="C124" s="3" t="s">
        <v>109</v>
      </c>
      <c r="D124" s="3"/>
      <c r="E124" s="3"/>
      <c r="F124" s="3"/>
      <c r="G124" s="3" t="s">
        <v>339</v>
      </c>
      <c r="H124" s="3"/>
      <c r="I124" s="3"/>
      <c r="J124" s="3"/>
      <c r="K124" s="3"/>
      <c r="L124" s="3"/>
      <c r="M124" s="3"/>
      <c r="N124" s="3"/>
      <c r="O124" s="3"/>
      <c r="P124" s="3"/>
      <c r="Q124" s="3"/>
      <c r="R124" s="3"/>
      <c r="S124" s="3"/>
      <c r="T124" s="3"/>
      <c r="U124" s="3"/>
      <c r="V124" s="3"/>
      <c r="W124" s="3"/>
      <c r="X124" s="3"/>
      <c r="Y124" s="3"/>
      <c r="Z124" s="3"/>
      <c r="AA124" s="3"/>
      <c r="AB124" s="3"/>
    </row>
    <row r="125" spans="1:28" x14ac:dyDescent="0.35">
      <c r="A125" s="3"/>
      <c r="B125" s="3"/>
      <c r="C125" s="3" t="s">
        <v>113</v>
      </c>
      <c r="D125" s="3"/>
      <c r="E125" s="3"/>
      <c r="F125" s="3"/>
      <c r="G125" s="3" t="s">
        <v>340</v>
      </c>
      <c r="H125" s="3"/>
      <c r="I125" s="3"/>
      <c r="J125" s="3"/>
      <c r="K125" s="3"/>
      <c r="L125" s="3"/>
      <c r="M125" s="3"/>
      <c r="N125" s="3"/>
      <c r="O125" s="3"/>
      <c r="P125" s="3"/>
      <c r="Q125" s="3"/>
      <c r="R125" s="3"/>
      <c r="S125" s="3"/>
      <c r="T125" s="3"/>
      <c r="U125" s="3"/>
      <c r="V125" s="3"/>
      <c r="W125" s="3"/>
      <c r="X125" s="3"/>
      <c r="Y125" s="3"/>
      <c r="Z125" s="3"/>
      <c r="AA125" s="3"/>
      <c r="AB125" s="3"/>
    </row>
    <row r="126" spans="1:28" x14ac:dyDescent="0.35">
      <c r="A126" s="3"/>
      <c r="B126" s="3"/>
      <c r="C126" s="3" t="s">
        <v>341</v>
      </c>
      <c r="D126" s="3"/>
      <c r="E126" s="3"/>
      <c r="F126" s="3"/>
      <c r="G126" s="3" t="s">
        <v>342</v>
      </c>
      <c r="H126" s="3"/>
      <c r="I126" s="3"/>
      <c r="J126" s="3"/>
      <c r="K126" s="3"/>
      <c r="L126" s="3"/>
      <c r="M126" s="3"/>
      <c r="N126" s="3"/>
      <c r="O126" s="3"/>
      <c r="P126" s="3"/>
      <c r="Q126" s="3"/>
      <c r="R126" s="3"/>
      <c r="S126" s="3"/>
      <c r="T126" s="3"/>
      <c r="U126" s="3"/>
      <c r="V126" s="3"/>
      <c r="W126" s="3"/>
      <c r="X126" s="3"/>
      <c r="Y126" s="3"/>
      <c r="Z126" s="3"/>
      <c r="AA126" s="3"/>
      <c r="AB126" s="3"/>
    </row>
    <row r="127" spans="1:28" x14ac:dyDescent="0.35">
      <c r="A127" s="3"/>
      <c r="B127" s="3"/>
      <c r="C127" s="3" t="s">
        <v>344</v>
      </c>
      <c r="D127" s="3"/>
      <c r="E127" s="3"/>
      <c r="F127" s="3"/>
      <c r="G127" s="3" t="s">
        <v>345</v>
      </c>
      <c r="H127" s="3"/>
      <c r="I127" s="3"/>
      <c r="J127" s="3"/>
      <c r="K127" s="3"/>
      <c r="L127" s="3"/>
      <c r="M127" s="3"/>
      <c r="N127" s="3"/>
      <c r="O127" s="3"/>
      <c r="P127" s="3"/>
      <c r="Q127" s="3"/>
      <c r="R127" s="3"/>
      <c r="S127" s="3"/>
      <c r="T127" s="3"/>
      <c r="U127" s="3"/>
      <c r="V127" s="3"/>
      <c r="W127" s="3"/>
      <c r="X127" s="3"/>
      <c r="Y127" s="3"/>
      <c r="Z127" s="3"/>
      <c r="AA127" s="3"/>
      <c r="AB127" s="3"/>
    </row>
    <row r="128" spans="1:28" x14ac:dyDescent="0.35">
      <c r="A128" s="3"/>
      <c r="B128" s="3"/>
      <c r="C128" s="3" t="s">
        <v>131</v>
      </c>
      <c r="D128" s="3"/>
      <c r="E128" s="3"/>
      <c r="F128" s="3"/>
      <c r="G128" s="3" t="s">
        <v>349</v>
      </c>
      <c r="H128" s="3"/>
      <c r="I128" s="3"/>
      <c r="J128" s="3"/>
      <c r="K128" s="3"/>
      <c r="L128" s="3"/>
      <c r="M128" s="3"/>
      <c r="N128" s="3"/>
      <c r="O128" s="3"/>
      <c r="P128" s="3"/>
      <c r="Q128" s="3"/>
      <c r="R128" s="3"/>
      <c r="S128" s="3"/>
      <c r="T128" s="3"/>
      <c r="U128" s="3"/>
      <c r="V128" s="3"/>
      <c r="W128" s="3"/>
      <c r="X128" s="3"/>
      <c r="Y128" s="3"/>
      <c r="Z128" s="3"/>
      <c r="AA128" s="3"/>
      <c r="AB128" s="3"/>
    </row>
    <row r="129" spans="1:28" x14ac:dyDescent="0.35">
      <c r="A129" s="3"/>
      <c r="B129" s="3" t="s">
        <v>350</v>
      </c>
      <c r="C129" s="3"/>
      <c r="D129" s="3" t="s">
        <v>34</v>
      </c>
      <c r="E129" s="3" t="s">
        <v>35</v>
      </c>
      <c r="F129" s="3"/>
      <c r="G129" s="3"/>
      <c r="H129" s="3"/>
      <c r="I129" s="3"/>
      <c r="J129" s="3"/>
      <c r="K129" s="3"/>
      <c r="L129" s="3"/>
      <c r="M129" s="3"/>
      <c r="N129" s="3"/>
      <c r="O129" s="3"/>
      <c r="P129" s="3"/>
      <c r="Q129" s="3"/>
      <c r="R129" s="3"/>
      <c r="S129" s="3"/>
      <c r="T129" s="3"/>
      <c r="U129" s="3"/>
      <c r="V129" s="3"/>
      <c r="W129" s="3"/>
      <c r="X129" s="3"/>
      <c r="Y129" s="3"/>
      <c r="Z129" s="3"/>
      <c r="AA129" s="3"/>
      <c r="AB129" s="3"/>
    </row>
    <row r="130" spans="1:28" x14ac:dyDescent="0.35">
      <c r="A130" s="3"/>
      <c r="B130" s="3" t="s">
        <v>351</v>
      </c>
      <c r="C130" s="3"/>
      <c r="D130" s="3" t="s">
        <v>352</v>
      </c>
      <c r="E130" s="3" t="s">
        <v>353</v>
      </c>
      <c r="F130" s="3"/>
      <c r="G130" s="3"/>
      <c r="H130" s="3"/>
      <c r="I130" s="3"/>
      <c r="J130" s="3"/>
      <c r="K130" s="3"/>
      <c r="L130" s="3"/>
      <c r="M130" s="3"/>
      <c r="N130" s="3"/>
      <c r="O130" s="3"/>
      <c r="P130" s="3"/>
      <c r="Q130" s="3"/>
      <c r="R130" s="3"/>
      <c r="S130" s="3"/>
      <c r="T130" s="3"/>
      <c r="U130" s="3"/>
      <c r="V130" s="3"/>
      <c r="W130" s="3"/>
      <c r="X130" s="3"/>
      <c r="Y130" s="3"/>
      <c r="Z130" s="3"/>
      <c r="AA130" s="3"/>
      <c r="AB130" s="3"/>
    </row>
    <row r="131" spans="1:28" x14ac:dyDescent="0.35">
      <c r="A131" s="3"/>
      <c r="B131" s="3" t="s">
        <v>354</v>
      </c>
      <c r="C131" s="3" t="s">
        <v>1648</v>
      </c>
      <c r="D131" s="3" t="s">
        <v>423</v>
      </c>
      <c r="E131" s="3" t="s">
        <v>175</v>
      </c>
      <c r="F131" s="3"/>
      <c r="G131" s="3" t="s">
        <v>1649</v>
      </c>
      <c r="H131" s="3"/>
      <c r="I131" s="3"/>
      <c r="J131" s="3"/>
      <c r="K131" s="3"/>
      <c r="L131" s="3"/>
      <c r="M131" s="3"/>
      <c r="N131" s="3"/>
      <c r="O131" s="3"/>
      <c r="P131" s="3"/>
      <c r="Q131" s="3"/>
      <c r="R131" s="3"/>
      <c r="S131" s="3"/>
      <c r="T131" s="3"/>
      <c r="U131" s="3"/>
      <c r="V131" s="3"/>
      <c r="W131" s="3"/>
      <c r="X131" s="3"/>
      <c r="Y131" s="3"/>
      <c r="Z131" s="3"/>
      <c r="AA131" s="3"/>
      <c r="AB131" s="3"/>
    </row>
    <row r="132" spans="1:28" x14ac:dyDescent="0.35">
      <c r="A132" s="3"/>
      <c r="B132" s="5" t="s">
        <v>355</v>
      </c>
      <c r="C132" s="5" t="s">
        <v>131</v>
      </c>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x14ac:dyDescent="0.35">
      <c r="A133" s="3"/>
      <c r="B133" s="3" t="s">
        <v>356</v>
      </c>
      <c r="C133" s="3" t="s">
        <v>1650</v>
      </c>
      <c r="D133" s="3" t="s">
        <v>1651</v>
      </c>
      <c r="E133" s="3" t="s">
        <v>1652</v>
      </c>
      <c r="F133" s="3"/>
      <c r="G133" s="3" t="s">
        <v>1653</v>
      </c>
      <c r="H133" s="3"/>
      <c r="I133" s="3"/>
      <c r="J133" s="3"/>
      <c r="K133" s="3"/>
      <c r="L133" s="3"/>
      <c r="M133" s="3"/>
      <c r="N133" s="3"/>
      <c r="O133" s="3"/>
      <c r="P133" s="3"/>
      <c r="Q133" s="3"/>
      <c r="R133" s="3"/>
      <c r="S133" s="3"/>
      <c r="T133" s="3"/>
      <c r="U133" s="3"/>
      <c r="V133" s="3"/>
      <c r="W133" s="3"/>
      <c r="X133" s="3"/>
      <c r="Y133" s="3"/>
      <c r="Z133" s="3"/>
      <c r="AA133" s="3"/>
      <c r="AB133" s="3"/>
    </row>
    <row r="134" spans="1:28" x14ac:dyDescent="0.35">
      <c r="A134" s="3"/>
      <c r="B134" s="3" t="s">
        <v>134</v>
      </c>
      <c r="C134" s="3"/>
      <c r="D134" s="3" t="s">
        <v>423</v>
      </c>
      <c r="E134" s="3" t="s">
        <v>175</v>
      </c>
      <c r="F134" s="3"/>
      <c r="G134" s="3"/>
      <c r="H134" s="3"/>
      <c r="I134" s="3"/>
      <c r="J134" s="3"/>
      <c r="K134" s="3"/>
      <c r="L134" s="3"/>
      <c r="M134" s="3"/>
      <c r="N134" s="3"/>
      <c r="O134" s="3"/>
      <c r="P134" s="3"/>
      <c r="Q134" s="3"/>
      <c r="R134" s="3"/>
      <c r="S134" s="3"/>
      <c r="T134" s="3"/>
      <c r="U134" s="3"/>
      <c r="V134" s="3"/>
      <c r="W134" s="3"/>
      <c r="X134" s="3"/>
      <c r="Y134" s="3"/>
      <c r="Z134" s="3"/>
      <c r="AA134" s="3"/>
      <c r="AB134" s="3"/>
    </row>
    <row r="135" spans="1:28" x14ac:dyDescent="0.35">
      <c r="A135" s="3"/>
      <c r="B135" s="3" t="s">
        <v>135</v>
      </c>
      <c r="C135" s="3" t="s">
        <v>1629</v>
      </c>
      <c r="D135" s="3"/>
      <c r="E135" s="3"/>
      <c r="F135" s="3"/>
      <c r="G135" s="3" t="s">
        <v>1654</v>
      </c>
      <c r="H135" s="3"/>
      <c r="I135" s="3"/>
      <c r="J135" s="3"/>
      <c r="K135" s="3"/>
      <c r="L135" s="3"/>
      <c r="M135" s="3"/>
      <c r="N135" s="3"/>
      <c r="O135" s="3"/>
      <c r="P135" s="3"/>
      <c r="Q135" s="3"/>
      <c r="R135" s="3"/>
      <c r="S135" s="3"/>
      <c r="T135" s="3"/>
      <c r="U135" s="3"/>
      <c r="V135" s="3"/>
      <c r="W135" s="3"/>
      <c r="X135" s="3"/>
      <c r="Y135" s="3"/>
      <c r="Z135" s="3"/>
      <c r="AA135" s="3"/>
      <c r="AB135" s="3"/>
    </row>
    <row r="136" spans="1:28" x14ac:dyDescent="0.35">
      <c r="A136" s="3"/>
      <c r="B136" s="3"/>
      <c r="C136" s="3" t="s">
        <v>1631</v>
      </c>
      <c r="D136" s="3"/>
      <c r="E136" s="3"/>
      <c r="F136" s="3"/>
      <c r="G136" s="3" t="s">
        <v>1655</v>
      </c>
      <c r="H136" s="3"/>
      <c r="I136" s="3"/>
      <c r="J136" s="3"/>
      <c r="K136" s="3"/>
      <c r="L136" s="3"/>
      <c r="M136" s="3"/>
      <c r="N136" s="3"/>
      <c r="O136" s="3"/>
      <c r="P136" s="3"/>
      <c r="Q136" s="3"/>
      <c r="R136" s="3"/>
      <c r="S136" s="3"/>
      <c r="T136" s="3"/>
      <c r="U136" s="3"/>
      <c r="V136" s="3"/>
      <c r="W136" s="3"/>
      <c r="X136" s="3"/>
      <c r="Y136" s="3"/>
      <c r="Z136" s="3"/>
      <c r="AA136" s="3"/>
      <c r="AB136" s="3"/>
    </row>
    <row r="137" spans="1:28" x14ac:dyDescent="0.35">
      <c r="A137" s="3"/>
      <c r="B137" s="3"/>
      <c r="C137" s="3" t="s">
        <v>1633</v>
      </c>
      <c r="D137" s="3"/>
      <c r="E137" s="3"/>
      <c r="F137" s="3"/>
      <c r="G137" s="3" t="s">
        <v>1656</v>
      </c>
      <c r="H137" s="3"/>
      <c r="I137" s="3"/>
      <c r="J137" s="3"/>
      <c r="K137" s="3"/>
      <c r="L137" s="3"/>
      <c r="M137" s="3"/>
      <c r="N137" s="3"/>
      <c r="O137" s="3"/>
      <c r="P137" s="3"/>
      <c r="Q137" s="3"/>
      <c r="R137" s="3"/>
      <c r="S137" s="3"/>
      <c r="T137" s="3"/>
      <c r="U137" s="3"/>
      <c r="V137" s="3"/>
      <c r="W137" s="3"/>
      <c r="X137" s="3"/>
      <c r="Y137" s="3"/>
      <c r="Z137" s="3"/>
      <c r="AA137" s="3"/>
      <c r="AB137" s="3"/>
    </row>
    <row r="138" spans="1:28" x14ac:dyDescent="0.35">
      <c r="A138" s="3"/>
      <c r="B138" s="3" t="s">
        <v>357</v>
      </c>
      <c r="C138" s="3" t="s">
        <v>1629</v>
      </c>
      <c r="D138" s="3" t="s">
        <v>1657</v>
      </c>
      <c r="E138" s="3" t="s">
        <v>1658</v>
      </c>
      <c r="F138" s="3"/>
      <c r="G138" s="3" t="s">
        <v>1654</v>
      </c>
      <c r="H138" s="3"/>
      <c r="I138" s="3"/>
      <c r="J138" s="3"/>
      <c r="K138" s="3"/>
      <c r="L138" s="3"/>
      <c r="M138" s="3"/>
      <c r="N138" s="3"/>
      <c r="O138" s="3"/>
      <c r="P138" s="3"/>
      <c r="Q138" s="3"/>
      <c r="R138" s="3"/>
      <c r="S138" s="3"/>
      <c r="T138" s="3"/>
      <c r="U138" s="3"/>
      <c r="V138" s="3"/>
      <c r="W138" s="3"/>
      <c r="X138" s="3"/>
      <c r="Y138" s="3"/>
      <c r="Z138" s="3"/>
      <c r="AA138" s="3"/>
      <c r="AB138" s="3"/>
    </row>
    <row r="139" spans="1:28" x14ac:dyDescent="0.35">
      <c r="A139" s="3"/>
      <c r="B139" s="3"/>
      <c r="C139" s="3" t="s">
        <v>1631</v>
      </c>
      <c r="D139" s="3"/>
      <c r="E139" s="3"/>
      <c r="F139" s="3"/>
      <c r="G139" s="3" t="s">
        <v>1659</v>
      </c>
      <c r="H139" s="3"/>
      <c r="I139" s="3"/>
      <c r="J139" s="3"/>
      <c r="K139" s="3"/>
      <c r="L139" s="3"/>
      <c r="M139" s="3"/>
      <c r="N139" s="3"/>
      <c r="O139" s="3"/>
      <c r="P139" s="3"/>
      <c r="Q139" s="3"/>
      <c r="R139" s="3"/>
      <c r="S139" s="3"/>
      <c r="T139" s="3"/>
      <c r="U139" s="3"/>
      <c r="V139" s="3"/>
      <c r="W139" s="3"/>
      <c r="X139" s="3"/>
      <c r="Y139" s="3"/>
      <c r="Z139" s="3"/>
      <c r="AA139" s="3"/>
      <c r="AB139" s="3"/>
    </row>
    <row r="140" spans="1:28" x14ac:dyDescent="0.35">
      <c r="A140" s="2"/>
      <c r="B140" s="2" t="s">
        <v>358</v>
      </c>
      <c r="C140" s="2" t="s">
        <v>359</v>
      </c>
      <c r="D140" s="2" t="s">
        <v>315</v>
      </c>
      <c r="E140" s="2" t="s">
        <v>77</v>
      </c>
      <c r="F140" s="2"/>
      <c r="G140" s="2" t="s">
        <v>360</v>
      </c>
      <c r="H140" s="2"/>
      <c r="I140" s="2"/>
      <c r="J140" s="2"/>
      <c r="K140" s="2"/>
      <c r="L140" s="2"/>
      <c r="M140" s="2"/>
      <c r="N140" s="2"/>
      <c r="O140" s="2"/>
      <c r="P140" s="2"/>
      <c r="Q140" s="2"/>
      <c r="R140" s="2"/>
      <c r="S140" s="2"/>
      <c r="T140" s="2"/>
      <c r="U140" s="2"/>
      <c r="V140" s="2"/>
      <c r="W140" s="2"/>
      <c r="X140" s="2"/>
      <c r="Y140" s="2"/>
      <c r="Z140" s="2"/>
      <c r="AA140" s="2"/>
      <c r="AB140" s="2"/>
    </row>
    <row r="141" spans="1:28" x14ac:dyDescent="0.35">
      <c r="A141" s="3"/>
      <c r="B141" s="3"/>
      <c r="C141" s="3" t="s">
        <v>364</v>
      </c>
      <c r="D141" s="3"/>
      <c r="E141" s="3"/>
      <c r="F141" s="3"/>
      <c r="G141" s="3" t="s">
        <v>365</v>
      </c>
      <c r="H141" s="3"/>
      <c r="I141" s="3"/>
      <c r="J141" s="3"/>
      <c r="K141" s="3"/>
      <c r="L141" s="3"/>
      <c r="M141" s="3"/>
      <c r="N141" s="3"/>
      <c r="O141" s="3"/>
      <c r="P141" s="3"/>
      <c r="Q141" s="3"/>
      <c r="R141" s="3"/>
      <c r="S141" s="3"/>
      <c r="T141" s="3"/>
      <c r="U141" s="3"/>
      <c r="V141" s="3"/>
      <c r="W141" s="3"/>
      <c r="X141" s="3"/>
      <c r="Y141" s="3"/>
      <c r="Z141" s="3"/>
      <c r="AA141" s="3"/>
      <c r="AB141" s="3"/>
    </row>
    <row r="142" spans="1:28" x14ac:dyDescent="0.35">
      <c r="A142" s="3"/>
      <c r="B142" s="3"/>
      <c r="C142" s="3" t="s">
        <v>89</v>
      </c>
      <c r="D142" s="3"/>
      <c r="E142" s="3"/>
      <c r="F142" s="3"/>
      <c r="G142" s="3" t="s">
        <v>371</v>
      </c>
      <c r="H142" s="3"/>
      <c r="I142" s="3"/>
      <c r="J142" s="3"/>
      <c r="K142" s="3"/>
      <c r="L142" s="3"/>
      <c r="M142" s="3"/>
      <c r="N142" s="3"/>
      <c r="O142" s="3"/>
      <c r="P142" s="3"/>
      <c r="Q142" s="3"/>
      <c r="R142" s="3"/>
      <c r="S142" s="3"/>
      <c r="T142" s="3"/>
      <c r="U142" s="3"/>
      <c r="V142" s="3"/>
      <c r="W142" s="3"/>
      <c r="X142" s="3"/>
      <c r="Y142" s="3"/>
      <c r="Z142" s="3"/>
      <c r="AA142" s="3"/>
      <c r="AB142" s="3"/>
    </row>
    <row r="143" spans="1:28" x14ac:dyDescent="0.35">
      <c r="A143" s="3"/>
      <c r="B143" s="3"/>
      <c r="C143" s="3" t="s">
        <v>97</v>
      </c>
      <c r="D143" s="3"/>
      <c r="E143" s="3"/>
      <c r="F143" s="3"/>
      <c r="G143" s="3" t="s">
        <v>375</v>
      </c>
      <c r="H143" s="3"/>
      <c r="I143" s="3"/>
      <c r="J143" s="3"/>
      <c r="K143" s="3"/>
      <c r="L143" s="3"/>
      <c r="M143" s="3"/>
      <c r="N143" s="3"/>
      <c r="O143" s="3"/>
      <c r="P143" s="3"/>
      <c r="Q143" s="3"/>
      <c r="R143" s="3"/>
      <c r="S143" s="3"/>
      <c r="T143" s="3"/>
      <c r="U143" s="3"/>
      <c r="V143" s="3"/>
      <c r="W143" s="3"/>
      <c r="X143" s="3"/>
      <c r="Y143" s="3"/>
      <c r="Z143" s="3"/>
      <c r="AA143" s="3"/>
      <c r="AB143" s="3"/>
    </row>
    <row r="144" spans="1:28" x14ac:dyDescent="0.35">
      <c r="A144" s="3"/>
      <c r="B144" s="3" t="s">
        <v>136</v>
      </c>
      <c r="C144" s="3" t="s">
        <v>1635</v>
      </c>
      <c r="D144" s="3"/>
      <c r="E144" s="3"/>
      <c r="F144" s="3"/>
      <c r="G144" s="3" t="s">
        <v>1660</v>
      </c>
      <c r="H144" s="3"/>
      <c r="I144" s="3"/>
      <c r="J144" s="3"/>
      <c r="K144" s="3"/>
      <c r="L144" s="3"/>
      <c r="M144" s="3"/>
      <c r="N144" s="3"/>
      <c r="O144" s="3"/>
      <c r="P144" s="3"/>
      <c r="Q144" s="3"/>
      <c r="R144" s="3"/>
      <c r="S144" s="3"/>
      <c r="T144" s="3"/>
      <c r="U144" s="3"/>
      <c r="V144" s="3"/>
      <c r="W144" s="3"/>
      <c r="X144" s="3"/>
      <c r="Y144" s="3"/>
      <c r="Z144" s="3"/>
      <c r="AA144" s="3"/>
      <c r="AB144" s="3"/>
    </row>
    <row r="145" spans="1:28" x14ac:dyDescent="0.35">
      <c r="A145" s="3"/>
      <c r="B145" s="5" t="s">
        <v>137</v>
      </c>
      <c r="C145" s="5" t="s">
        <v>131</v>
      </c>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x14ac:dyDescent="0.35">
      <c r="A146" s="3"/>
      <c r="B146" s="3" t="s">
        <v>378</v>
      </c>
      <c r="C146" s="3" t="s">
        <v>1661</v>
      </c>
      <c r="D146" s="3" t="s">
        <v>1651</v>
      </c>
      <c r="E146" s="3" t="s">
        <v>1652</v>
      </c>
      <c r="F146" s="3"/>
      <c r="G146" s="3" t="s">
        <v>1662</v>
      </c>
      <c r="H146" s="3"/>
      <c r="I146" s="3"/>
      <c r="J146" s="3"/>
      <c r="K146" s="3"/>
      <c r="L146" s="3"/>
      <c r="M146" s="3"/>
      <c r="N146" s="3"/>
      <c r="O146" s="3"/>
      <c r="P146" s="3"/>
      <c r="Q146" s="3"/>
      <c r="R146" s="3"/>
      <c r="S146" s="3"/>
      <c r="T146" s="3"/>
      <c r="U146" s="3"/>
      <c r="V146" s="3"/>
      <c r="W146" s="3"/>
      <c r="X146" s="3"/>
      <c r="Y146" s="3"/>
      <c r="Z146" s="3"/>
      <c r="AA146" s="3"/>
      <c r="AB146" s="3"/>
    </row>
    <row r="147" spans="1:28" x14ac:dyDescent="0.35">
      <c r="A147" s="3"/>
      <c r="B147" s="3" t="s">
        <v>138</v>
      </c>
      <c r="C147" s="3" t="s">
        <v>1629</v>
      </c>
      <c r="D147" s="3"/>
      <c r="E147" s="3"/>
      <c r="F147" s="3"/>
      <c r="G147" s="3" t="s">
        <v>1630</v>
      </c>
      <c r="H147" s="3"/>
      <c r="I147" s="3"/>
      <c r="J147" s="3"/>
      <c r="K147" s="3"/>
      <c r="L147" s="3"/>
      <c r="M147" s="3"/>
      <c r="N147" s="3"/>
      <c r="O147" s="3"/>
      <c r="P147" s="3"/>
      <c r="Q147" s="3"/>
      <c r="R147" s="3"/>
      <c r="S147" s="3"/>
      <c r="T147" s="3"/>
      <c r="U147" s="3"/>
      <c r="V147" s="3"/>
      <c r="W147" s="3"/>
      <c r="X147" s="3"/>
      <c r="Y147" s="3"/>
      <c r="Z147" s="3"/>
      <c r="AA147" s="3"/>
      <c r="AB147" s="3"/>
    </row>
    <row r="148" spans="1:28" x14ac:dyDescent="0.35">
      <c r="A148" s="3"/>
      <c r="B148" s="3"/>
      <c r="C148" s="3" t="s">
        <v>1631</v>
      </c>
      <c r="D148" s="3"/>
      <c r="E148" s="3"/>
      <c r="F148" s="3"/>
      <c r="G148" s="3" t="s">
        <v>1663</v>
      </c>
      <c r="H148" s="3"/>
      <c r="I148" s="3"/>
      <c r="J148" s="3"/>
      <c r="K148" s="3"/>
      <c r="L148" s="3"/>
      <c r="M148" s="3"/>
      <c r="N148" s="3"/>
      <c r="O148" s="3"/>
      <c r="P148" s="3"/>
      <c r="Q148" s="3"/>
      <c r="R148" s="3"/>
      <c r="S148" s="3"/>
      <c r="T148" s="3"/>
      <c r="U148" s="3"/>
      <c r="V148" s="3"/>
      <c r="W148" s="3"/>
      <c r="X148" s="3"/>
      <c r="Y148" s="3"/>
      <c r="Z148" s="3"/>
      <c r="AA148" s="3"/>
      <c r="AB148" s="3"/>
    </row>
    <row r="149" spans="1:28" x14ac:dyDescent="0.35">
      <c r="A149" s="3"/>
      <c r="B149" s="3"/>
      <c r="C149" s="3" t="s">
        <v>1638</v>
      </c>
      <c r="D149" s="3"/>
      <c r="E149" s="3"/>
      <c r="F149" s="3"/>
      <c r="G149" s="3" t="s">
        <v>1664</v>
      </c>
      <c r="H149" s="3"/>
      <c r="I149" s="3"/>
      <c r="J149" s="3"/>
      <c r="K149" s="3"/>
      <c r="L149" s="3"/>
      <c r="M149" s="3"/>
      <c r="N149" s="3"/>
      <c r="O149" s="3"/>
      <c r="P149" s="3"/>
      <c r="Q149" s="3"/>
      <c r="R149" s="3"/>
      <c r="S149" s="3"/>
      <c r="T149" s="3"/>
      <c r="U149" s="3"/>
      <c r="V149" s="3"/>
      <c r="W149" s="3"/>
      <c r="X149" s="3"/>
      <c r="Y149" s="3"/>
      <c r="Z149" s="3"/>
      <c r="AA149" s="3"/>
      <c r="AB149" s="3"/>
    </row>
    <row r="150" spans="1:28" x14ac:dyDescent="0.35">
      <c r="A150" s="3"/>
      <c r="B150" s="3" t="s">
        <v>379</v>
      </c>
      <c r="C150" s="3" t="s">
        <v>1629</v>
      </c>
      <c r="D150" s="3" t="s">
        <v>174</v>
      </c>
      <c r="E150" s="3" t="s">
        <v>175</v>
      </c>
      <c r="F150" s="3"/>
      <c r="G150" s="3" t="s">
        <v>1665</v>
      </c>
      <c r="H150" s="3"/>
      <c r="I150" s="3"/>
      <c r="J150" s="3"/>
      <c r="K150" s="3"/>
      <c r="L150" s="3"/>
      <c r="M150" s="3"/>
      <c r="N150" s="3"/>
      <c r="O150" s="3"/>
      <c r="P150" s="3"/>
      <c r="Q150" s="3"/>
      <c r="R150" s="3"/>
      <c r="S150" s="3"/>
      <c r="T150" s="3"/>
      <c r="U150" s="3"/>
      <c r="V150" s="3"/>
      <c r="W150" s="3"/>
      <c r="X150" s="3"/>
      <c r="Y150" s="3"/>
      <c r="Z150" s="3"/>
      <c r="AA150" s="3"/>
      <c r="AB150" s="3"/>
    </row>
    <row r="151" spans="1:28" x14ac:dyDescent="0.35">
      <c r="A151" s="3"/>
      <c r="B151" s="3"/>
      <c r="C151" s="3" t="s">
        <v>1631</v>
      </c>
      <c r="D151" s="3"/>
      <c r="E151" s="3"/>
      <c r="F151" s="3"/>
      <c r="G151" s="3" t="s">
        <v>1666</v>
      </c>
      <c r="H151" s="3"/>
      <c r="I151" s="3"/>
      <c r="J151" s="3"/>
      <c r="K151" s="3"/>
      <c r="L151" s="3"/>
      <c r="M151" s="3"/>
      <c r="N151" s="3"/>
      <c r="O151" s="3"/>
      <c r="P151" s="3"/>
      <c r="Q151" s="3"/>
      <c r="R151" s="3"/>
      <c r="S151" s="3"/>
      <c r="T151" s="3"/>
      <c r="U151" s="3"/>
      <c r="V151" s="3"/>
      <c r="W151" s="3"/>
      <c r="X151" s="3"/>
      <c r="Y151" s="3"/>
      <c r="Z151" s="3"/>
      <c r="AA151" s="3"/>
      <c r="AB151" s="3"/>
    </row>
    <row r="152" spans="1:28" x14ac:dyDescent="0.35">
      <c r="A152" s="3"/>
      <c r="B152" s="5" t="s">
        <v>139</v>
      </c>
      <c r="C152" s="5" t="s">
        <v>131</v>
      </c>
      <c r="D152" s="5"/>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x14ac:dyDescent="0.35">
      <c r="A153" s="3"/>
      <c r="B153" s="5" t="s">
        <v>140</v>
      </c>
      <c r="C153" s="5" t="s">
        <v>131</v>
      </c>
      <c r="D153" s="5" t="s">
        <v>76</v>
      </c>
      <c r="E153" s="5" t="s">
        <v>77</v>
      </c>
      <c r="F153" s="3"/>
      <c r="G153" s="3"/>
      <c r="H153" s="3"/>
      <c r="I153" s="3"/>
      <c r="J153" s="3"/>
      <c r="K153" s="3"/>
      <c r="L153" s="3"/>
      <c r="M153" s="3"/>
      <c r="N153" s="3"/>
      <c r="O153" s="3"/>
      <c r="P153" s="3"/>
      <c r="Q153" s="3"/>
      <c r="R153" s="3"/>
      <c r="S153" s="3"/>
      <c r="T153" s="3"/>
      <c r="U153" s="3"/>
      <c r="V153" s="3"/>
      <c r="W153" s="3"/>
      <c r="X153" s="3"/>
      <c r="Y153" s="3"/>
      <c r="Z153" s="3"/>
      <c r="AA153" s="3"/>
      <c r="AB153" s="3"/>
    </row>
    <row r="154" spans="1:28" x14ac:dyDescent="0.35">
      <c r="A154" s="3"/>
      <c r="B154" s="3" t="s">
        <v>141</v>
      </c>
      <c r="C154" s="3" t="s">
        <v>142</v>
      </c>
      <c r="D154" s="3" t="s">
        <v>380</v>
      </c>
      <c r="E154" s="3" t="s">
        <v>144</v>
      </c>
      <c r="F154" s="3"/>
      <c r="G154" s="3" t="s">
        <v>381</v>
      </c>
      <c r="H154" s="3"/>
      <c r="I154" s="3"/>
      <c r="J154" s="3"/>
      <c r="K154" s="3"/>
      <c r="L154" s="3"/>
      <c r="M154" s="3"/>
      <c r="N154" s="3"/>
      <c r="O154" s="3"/>
      <c r="P154" s="3"/>
      <c r="Q154" s="3"/>
      <c r="R154" s="3"/>
      <c r="S154" s="3"/>
      <c r="T154" s="3"/>
      <c r="U154" s="3"/>
      <c r="V154" s="3"/>
      <c r="W154" s="3"/>
      <c r="X154" s="3"/>
      <c r="Y154" s="3"/>
      <c r="Z154" s="3"/>
      <c r="AA154" s="3"/>
      <c r="AB154" s="3"/>
    </row>
    <row r="155" spans="1:28" x14ac:dyDescent="0.35">
      <c r="A155" s="3"/>
      <c r="B155" s="3"/>
      <c r="C155" s="3" t="s">
        <v>148</v>
      </c>
      <c r="D155" s="3"/>
      <c r="E155" s="3"/>
      <c r="F155" s="3"/>
      <c r="G155" s="3" t="s">
        <v>384</v>
      </c>
      <c r="H155" s="3"/>
      <c r="I155" s="3"/>
      <c r="J155" s="3"/>
      <c r="K155" s="3"/>
      <c r="L155" s="3"/>
      <c r="M155" s="3"/>
      <c r="N155" s="3"/>
      <c r="O155" s="3"/>
      <c r="P155" s="3"/>
      <c r="Q155" s="3"/>
      <c r="R155" s="3"/>
      <c r="S155" s="3"/>
      <c r="T155" s="3"/>
      <c r="U155" s="3"/>
      <c r="V155" s="3"/>
      <c r="W155" s="3"/>
      <c r="X155" s="3"/>
      <c r="Y155" s="3"/>
      <c r="Z155" s="3"/>
      <c r="AA155" s="3"/>
      <c r="AB155" s="3"/>
    </row>
    <row r="156" spans="1:28" x14ac:dyDescent="0.35">
      <c r="A156" s="3"/>
      <c r="B156" s="3"/>
      <c r="C156" s="3" t="s">
        <v>155</v>
      </c>
      <c r="D156" s="3"/>
      <c r="E156" s="3"/>
      <c r="F156" s="3"/>
      <c r="G156" s="3" t="s">
        <v>391</v>
      </c>
      <c r="H156" s="3"/>
      <c r="I156" s="3"/>
      <c r="J156" s="3"/>
      <c r="K156" s="3"/>
      <c r="L156" s="3"/>
      <c r="M156" s="3"/>
      <c r="N156" s="3"/>
      <c r="O156" s="3"/>
      <c r="P156" s="3"/>
      <c r="Q156" s="3"/>
      <c r="R156" s="3"/>
      <c r="S156" s="3"/>
      <c r="T156" s="3"/>
      <c r="U156" s="3"/>
      <c r="V156" s="3"/>
      <c r="W156" s="3"/>
      <c r="X156" s="3"/>
      <c r="Y156" s="3"/>
      <c r="Z156" s="3"/>
      <c r="AA156" s="3"/>
      <c r="AB156" s="3"/>
    </row>
    <row r="157" spans="1:28" x14ac:dyDescent="0.35">
      <c r="A157" s="3"/>
      <c r="B157" s="3" t="s">
        <v>162</v>
      </c>
      <c r="C157" s="3" t="s">
        <v>163</v>
      </c>
      <c r="D157" s="3"/>
      <c r="E157" s="3"/>
      <c r="F157" s="3"/>
      <c r="G157" s="3" t="s">
        <v>398</v>
      </c>
      <c r="H157" s="3"/>
      <c r="I157" s="3"/>
      <c r="J157" s="3"/>
      <c r="K157" s="3"/>
      <c r="L157" s="3"/>
      <c r="M157" s="3"/>
      <c r="N157" s="3"/>
      <c r="O157" s="3"/>
      <c r="P157" s="3"/>
      <c r="Q157" s="3"/>
      <c r="R157" s="3"/>
      <c r="S157" s="3"/>
      <c r="T157" s="3"/>
      <c r="U157" s="3"/>
      <c r="V157" s="3"/>
      <c r="W157" s="3"/>
      <c r="X157" s="3"/>
      <c r="Y157" s="3"/>
      <c r="Z157" s="3"/>
      <c r="AA157" s="3"/>
      <c r="AB157" s="3"/>
    </row>
    <row r="158" spans="1:28" x14ac:dyDescent="0.35">
      <c r="A158" s="3"/>
      <c r="B158" s="3" t="s">
        <v>168</v>
      </c>
      <c r="C158" s="3"/>
      <c r="D158" s="3" t="s">
        <v>34</v>
      </c>
      <c r="E158" s="3" t="s">
        <v>35</v>
      </c>
      <c r="F158" s="3"/>
      <c r="G158" s="3"/>
      <c r="H158" s="3"/>
      <c r="I158" s="3"/>
      <c r="J158" s="3"/>
      <c r="K158" s="3"/>
      <c r="L158" s="3"/>
      <c r="M158" s="3"/>
      <c r="N158" s="3"/>
      <c r="O158" s="3"/>
      <c r="P158" s="3"/>
      <c r="Q158" s="3"/>
      <c r="R158" s="3"/>
      <c r="S158" s="3"/>
      <c r="T158" s="3"/>
      <c r="U158" s="3"/>
      <c r="V158" s="3"/>
      <c r="W158" s="3"/>
      <c r="X158" s="3"/>
      <c r="Y158" s="3"/>
      <c r="Z158" s="3"/>
      <c r="AA158" s="3"/>
      <c r="AB158" s="3"/>
    </row>
    <row r="159" spans="1:28" x14ac:dyDescent="0.35">
      <c r="A159" s="3"/>
      <c r="B159" s="3" t="s">
        <v>400</v>
      </c>
      <c r="C159" s="3" t="s">
        <v>25</v>
      </c>
      <c r="D159" s="3"/>
      <c r="E159" s="3"/>
      <c r="F159" s="3"/>
      <c r="G159" s="3" t="s">
        <v>401</v>
      </c>
      <c r="H159" s="3"/>
      <c r="I159" s="3"/>
      <c r="J159" s="3"/>
      <c r="K159" s="3"/>
      <c r="L159" s="3"/>
      <c r="M159" s="3"/>
      <c r="N159" s="3"/>
      <c r="O159" s="3"/>
      <c r="P159" s="3"/>
      <c r="Q159" s="3"/>
      <c r="R159" s="3"/>
      <c r="S159" s="3"/>
      <c r="T159" s="3"/>
      <c r="U159" s="3"/>
      <c r="V159" s="3"/>
      <c r="W159" s="3"/>
      <c r="X159" s="3"/>
      <c r="Y159" s="3"/>
      <c r="Z159" s="3"/>
      <c r="AA159" s="3"/>
      <c r="AB159" s="3"/>
    </row>
    <row r="160" spans="1:28" x14ac:dyDescent="0.35">
      <c r="A160" s="3"/>
      <c r="B160" s="3"/>
      <c r="C160" s="3" t="s">
        <v>29</v>
      </c>
      <c r="D160" s="3"/>
      <c r="E160" s="3"/>
      <c r="F160" s="3"/>
      <c r="G160" s="3" t="s">
        <v>402</v>
      </c>
      <c r="H160" s="3"/>
      <c r="I160" s="3"/>
      <c r="J160" s="3"/>
      <c r="K160" s="3"/>
      <c r="L160" s="3"/>
      <c r="M160" s="3"/>
      <c r="N160" s="3"/>
      <c r="O160" s="3"/>
      <c r="P160" s="3"/>
      <c r="Q160" s="3"/>
      <c r="R160" s="3"/>
      <c r="S160" s="3"/>
      <c r="T160" s="3"/>
      <c r="U160" s="3"/>
      <c r="V160" s="3"/>
      <c r="W160" s="3"/>
      <c r="X160" s="3"/>
      <c r="Y160" s="3"/>
      <c r="Z160" s="3"/>
      <c r="AA160" s="3"/>
      <c r="AB160" s="3"/>
    </row>
    <row r="161" spans="1:28" x14ac:dyDescent="0.35">
      <c r="A161" s="3"/>
      <c r="B161" s="3" t="s">
        <v>403</v>
      </c>
      <c r="C161" s="3" t="s">
        <v>404</v>
      </c>
      <c r="D161" s="3"/>
      <c r="E161" s="3"/>
      <c r="F161" s="3"/>
      <c r="G161" s="3" t="s">
        <v>405</v>
      </c>
      <c r="H161" s="3"/>
      <c r="I161" s="3"/>
      <c r="J161" s="3"/>
      <c r="K161" s="3"/>
      <c r="L161" s="3"/>
      <c r="M161" s="3"/>
      <c r="N161" s="3"/>
      <c r="O161" s="3"/>
      <c r="P161" s="3"/>
      <c r="Q161" s="3"/>
      <c r="R161" s="3"/>
      <c r="S161" s="3"/>
      <c r="T161" s="3"/>
      <c r="U161" s="3"/>
      <c r="V161" s="3"/>
      <c r="W161" s="3"/>
      <c r="X161" s="3"/>
      <c r="Y161" s="3"/>
      <c r="Z161" s="3"/>
      <c r="AA161" s="3"/>
      <c r="AB161" s="3"/>
    </row>
    <row r="162" spans="1:28" x14ac:dyDescent="0.35">
      <c r="A162" s="3"/>
      <c r="B162" s="3" t="s">
        <v>409</v>
      </c>
      <c r="C162" s="3" t="s">
        <v>142</v>
      </c>
      <c r="D162" s="3" t="s">
        <v>380</v>
      </c>
      <c r="E162" s="3" t="s">
        <v>144</v>
      </c>
      <c r="F162" s="3"/>
      <c r="G162" s="3" t="s">
        <v>1667</v>
      </c>
      <c r="H162" s="3"/>
      <c r="I162" s="3"/>
      <c r="J162" s="3"/>
      <c r="K162" s="3"/>
      <c r="L162" s="3"/>
      <c r="M162" s="3"/>
      <c r="N162" s="3"/>
      <c r="O162" s="3"/>
      <c r="P162" s="3"/>
      <c r="Q162" s="3"/>
      <c r="R162" s="3"/>
      <c r="S162" s="3"/>
      <c r="T162" s="3"/>
      <c r="U162" s="3"/>
      <c r="V162" s="3"/>
      <c r="W162" s="3"/>
      <c r="X162" s="3"/>
      <c r="Y162" s="3"/>
      <c r="Z162" s="3"/>
      <c r="AA162" s="3"/>
      <c r="AB162" s="3"/>
    </row>
    <row r="163" spans="1:28" x14ac:dyDescent="0.35">
      <c r="A163" s="3"/>
      <c r="B163" s="3"/>
      <c r="C163" s="3" t="s">
        <v>148</v>
      </c>
      <c r="D163" s="3"/>
      <c r="E163" s="3"/>
      <c r="F163" s="3"/>
      <c r="G163" s="3" t="s">
        <v>410</v>
      </c>
      <c r="H163" s="3"/>
      <c r="I163" s="3"/>
      <c r="J163" s="3"/>
      <c r="K163" s="3"/>
      <c r="L163" s="3"/>
      <c r="M163" s="3"/>
      <c r="N163" s="3"/>
      <c r="O163" s="3"/>
      <c r="P163" s="3"/>
      <c r="Q163" s="3"/>
      <c r="R163" s="3"/>
      <c r="S163" s="3"/>
      <c r="T163" s="3"/>
      <c r="U163" s="3"/>
      <c r="V163" s="3"/>
      <c r="W163" s="3"/>
      <c r="X163" s="3"/>
      <c r="Y163" s="3"/>
      <c r="Z163" s="3"/>
      <c r="AA163" s="3"/>
      <c r="AB163" s="3"/>
    </row>
    <row r="164" spans="1:28" x14ac:dyDescent="0.35">
      <c r="A164" s="3"/>
      <c r="B164" s="3"/>
      <c r="C164" s="3" t="s">
        <v>155</v>
      </c>
      <c r="D164" s="3"/>
      <c r="E164" s="3"/>
      <c r="F164" s="3"/>
      <c r="G164" s="3" t="s">
        <v>416</v>
      </c>
      <c r="H164" s="3"/>
      <c r="I164" s="3"/>
      <c r="J164" s="3"/>
      <c r="K164" s="3"/>
      <c r="L164" s="3"/>
      <c r="M164" s="3"/>
      <c r="N164" s="3"/>
      <c r="O164" s="3"/>
      <c r="P164" s="3"/>
      <c r="Q164" s="3"/>
      <c r="R164" s="3"/>
      <c r="S164" s="3"/>
      <c r="T164" s="3"/>
      <c r="U164" s="3"/>
      <c r="V164" s="3"/>
      <c r="W164" s="3"/>
      <c r="X164" s="3"/>
      <c r="Y164" s="3"/>
      <c r="Z164" s="3"/>
      <c r="AA164" s="3"/>
      <c r="AB164" s="3"/>
    </row>
    <row r="165" spans="1:28" x14ac:dyDescent="0.35">
      <c r="A165" s="3"/>
      <c r="B165" s="3" t="s">
        <v>169</v>
      </c>
      <c r="C165" s="3"/>
      <c r="D165" s="3" t="s">
        <v>170</v>
      </c>
      <c r="E165" s="3" t="s">
        <v>171</v>
      </c>
      <c r="F165" s="3"/>
      <c r="G165" s="3"/>
      <c r="H165" s="3"/>
      <c r="I165" s="3"/>
      <c r="J165" s="3"/>
      <c r="K165" s="3"/>
      <c r="L165" s="3"/>
      <c r="M165" s="3"/>
      <c r="N165" s="3"/>
      <c r="O165" s="3"/>
      <c r="P165" s="3"/>
      <c r="Q165" s="3"/>
      <c r="R165" s="3"/>
      <c r="S165" s="3"/>
      <c r="T165" s="3"/>
      <c r="U165" s="3"/>
      <c r="V165" s="3"/>
      <c r="W165" s="3"/>
      <c r="X165" s="3"/>
      <c r="Y165" s="3"/>
      <c r="Z165" s="3"/>
      <c r="AA165" s="3"/>
      <c r="AB165" s="3"/>
    </row>
    <row r="166" spans="1:28" x14ac:dyDescent="0.35">
      <c r="A166" s="3"/>
      <c r="B166" s="3" t="s">
        <v>172</v>
      </c>
      <c r="C166" s="3"/>
      <c r="D166" s="3" t="s">
        <v>34</v>
      </c>
      <c r="E166" s="3" t="s">
        <v>35</v>
      </c>
      <c r="F166" s="3"/>
      <c r="G166" s="3"/>
      <c r="H166" s="3"/>
      <c r="I166" s="3"/>
      <c r="J166" s="3"/>
      <c r="K166" s="3"/>
      <c r="L166" s="3"/>
      <c r="M166" s="3"/>
      <c r="N166" s="3"/>
      <c r="O166" s="3"/>
      <c r="P166" s="3"/>
      <c r="Q166" s="3"/>
      <c r="R166" s="3"/>
      <c r="S166" s="3"/>
      <c r="T166" s="3"/>
      <c r="U166" s="3"/>
      <c r="V166" s="3"/>
      <c r="W166" s="3"/>
      <c r="X166" s="3"/>
      <c r="Y166" s="3"/>
      <c r="Z166" s="3"/>
      <c r="AA166" s="3"/>
      <c r="AB166" s="3"/>
    </row>
    <row r="167" spans="1:28" x14ac:dyDescent="0.35">
      <c r="A167" s="3"/>
      <c r="B167" s="3" t="s">
        <v>173</v>
      </c>
      <c r="C167" s="3" t="s">
        <v>142</v>
      </c>
      <c r="D167" s="3" t="s">
        <v>423</v>
      </c>
      <c r="E167" s="3" t="s">
        <v>175</v>
      </c>
      <c r="F167" s="3"/>
      <c r="G167" s="3" t="s">
        <v>424</v>
      </c>
      <c r="H167" s="3"/>
      <c r="I167" s="3"/>
      <c r="J167" s="3"/>
      <c r="K167" s="3"/>
      <c r="L167" s="3"/>
      <c r="M167" s="3"/>
      <c r="N167" s="3"/>
      <c r="O167" s="3"/>
      <c r="P167" s="3"/>
      <c r="Q167" s="3"/>
      <c r="R167" s="3"/>
      <c r="S167" s="3"/>
      <c r="T167" s="3"/>
      <c r="U167" s="3"/>
      <c r="V167" s="3"/>
      <c r="W167" s="3"/>
      <c r="X167" s="3"/>
      <c r="Y167" s="3"/>
      <c r="Z167" s="3"/>
      <c r="AA167" s="3"/>
      <c r="AB167" s="3"/>
    </row>
    <row r="168" spans="1:28" x14ac:dyDescent="0.35">
      <c r="A168" s="3"/>
      <c r="B168" s="3"/>
      <c r="C168" s="3" t="s">
        <v>148</v>
      </c>
      <c r="D168" s="3"/>
      <c r="E168" s="3"/>
      <c r="F168" s="3"/>
      <c r="G168" s="3" t="s">
        <v>426</v>
      </c>
      <c r="H168" s="3"/>
      <c r="I168" s="3"/>
      <c r="J168" s="3"/>
      <c r="K168" s="3"/>
      <c r="L168" s="3"/>
      <c r="M168" s="3"/>
      <c r="N168" s="3"/>
      <c r="O168" s="3"/>
      <c r="P168" s="3"/>
      <c r="Q168" s="3"/>
      <c r="R168" s="3"/>
      <c r="S168" s="3"/>
      <c r="T168" s="3"/>
      <c r="U168" s="3"/>
      <c r="V168" s="3"/>
      <c r="W168" s="3"/>
      <c r="X168" s="3"/>
      <c r="Y168" s="3"/>
      <c r="Z168" s="3"/>
      <c r="AA168" s="3"/>
      <c r="AB168" s="3"/>
    </row>
    <row r="169" spans="1:28" x14ac:dyDescent="0.35">
      <c r="A169" s="3"/>
      <c r="B169" s="3"/>
      <c r="C169" s="3" t="s">
        <v>182</v>
      </c>
      <c r="D169" s="3"/>
      <c r="E169" s="3"/>
      <c r="F169" s="3"/>
      <c r="G169" s="3" t="s">
        <v>431</v>
      </c>
      <c r="H169" s="3"/>
      <c r="I169" s="3"/>
      <c r="J169" s="3"/>
      <c r="K169" s="3"/>
      <c r="L169" s="3"/>
      <c r="M169" s="3"/>
      <c r="N169" s="3"/>
      <c r="O169" s="3"/>
      <c r="P169" s="3"/>
      <c r="Q169" s="3"/>
      <c r="R169" s="3"/>
      <c r="S169" s="3"/>
      <c r="T169" s="3"/>
      <c r="U169" s="3"/>
      <c r="V169" s="3"/>
      <c r="W169" s="3"/>
      <c r="X169" s="3"/>
      <c r="Y169" s="3"/>
      <c r="Z169" s="3"/>
      <c r="AA169" s="3"/>
      <c r="AB169" s="3"/>
    </row>
    <row r="170" spans="1:28" x14ac:dyDescent="0.35">
      <c r="A170" s="3"/>
      <c r="B170" s="3" t="s">
        <v>436</v>
      </c>
      <c r="C170" s="3" t="s">
        <v>142</v>
      </c>
      <c r="D170" s="3" t="s">
        <v>423</v>
      </c>
      <c r="E170" s="3" t="s">
        <v>175</v>
      </c>
      <c r="F170" s="3"/>
      <c r="G170" s="3" t="s">
        <v>424</v>
      </c>
      <c r="H170" s="3"/>
      <c r="I170" s="3"/>
      <c r="J170" s="3"/>
      <c r="K170" s="3"/>
      <c r="L170" s="3"/>
      <c r="M170" s="3"/>
      <c r="N170" s="3"/>
      <c r="O170" s="3"/>
      <c r="P170" s="3"/>
      <c r="Q170" s="3"/>
      <c r="R170" s="3"/>
      <c r="S170" s="3"/>
      <c r="T170" s="3"/>
      <c r="U170" s="3"/>
      <c r="V170" s="3"/>
      <c r="W170" s="3"/>
      <c r="X170" s="3"/>
      <c r="Y170" s="3"/>
      <c r="Z170" s="3"/>
      <c r="AA170" s="3"/>
      <c r="AB170" s="3"/>
    </row>
    <row r="171" spans="1:28" x14ac:dyDescent="0.35">
      <c r="A171" s="3"/>
      <c r="B171" s="3"/>
      <c r="C171" s="3" t="s">
        <v>148</v>
      </c>
      <c r="D171" s="3"/>
      <c r="E171" s="3"/>
      <c r="F171" s="3"/>
      <c r="G171" s="3" t="s">
        <v>437</v>
      </c>
      <c r="H171" s="3"/>
      <c r="I171" s="3"/>
      <c r="J171" s="3"/>
      <c r="K171" s="3"/>
      <c r="L171" s="3"/>
      <c r="M171" s="3"/>
      <c r="N171" s="3"/>
      <c r="O171" s="3"/>
      <c r="P171" s="3"/>
      <c r="Q171" s="3"/>
      <c r="R171" s="3"/>
      <c r="S171" s="3"/>
      <c r="T171" s="3"/>
      <c r="U171" s="3"/>
      <c r="V171" s="3"/>
      <c r="W171" s="3"/>
      <c r="X171" s="3"/>
      <c r="Y171" s="3"/>
      <c r="Z171" s="3"/>
      <c r="AA171" s="3"/>
      <c r="AB171" s="3"/>
    </row>
    <row r="172" spans="1:28" x14ac:dyDescent="0.35">
      <c r="A172" s="3"/>
      <c r="B172" s="3"/>
      <c r="C172" s="3" t="s">
        <v>182</v>
      </c>
      <c r="D172" s="3"/>
      <c r="E172" s="3"/>
      <c r="F172" s="3"/>
      <c r="G172" s="3" t="s">
        <v>441</v>
      </c>
      <c r="H172" s="3"/>
      <c r="I172" s="3"/>
      <c r="J172" s="3"/>
      <c r="K172" s="3"/>
      <c r="L172" s="3"/>
      <c r="M172" s="3"/>
      <c r="N172" s="3"/>
      <c r="O172" s="3"/>
      <c r="P172" s="3"/>
      <c r="Q172" s="3"/>
      <c r="R172" s="3"/>
      <c r="S172" s="3"/>
      <c r="T172" s="3"/>
      <c r="U172" s="3"/>
      <c r="V172" s="3"/>
      <c r="W172" s="3"/>
      <c r="X172" s="3"/>
      <c r="Y172" s="3"/>
      <c r="Z172" s="3"/>
      <c r="AA172" s="3"/>
      <c r="AB172" s="3"/>
    </row>
    <row r="173" spans="1:28" x14ac:dyDescent="0.35">
      <c r="A173" s="3"/>
      <c r="B173" s="3" t="s">
        <v>446</v>
      </c>
      <c r="C173" s="3"/>
      <c r="D173" s="3" t="s">
        <v>447</v>
      </c>
      <c r="E173" s="3" t="s">
        <v>448</v>
      </c>
      <c r="F173" s="3"/>
      <c r="G173" s="3"/>
      <c r="H173" s="3"/>
      <c r="I173" s="3"/>
      <c r="J173" s="3"/>
      <c r="K173" s="3"/>
      <c r="L173" s="3"/>
      <c r="M173" s="3"/>
      <c r="N173" s="3"/>
      <c r="O173" s="3"/>
      <c r="P173" s="3"/>
      <c r="Q173" s="3"/>
      <c r="R173" s="3"/>
      <c r="S173" s="3"/>
      <c r="T173" s="3"/>
      <c r="U173" s="3"/>
      <c r="V173" s="3"/>
      <c r="W173" s="3"/>
      <c r="X173" s="3"/>
      <c r="Y173" s="3"/>
      <c r="Z173" s="3"/>
      <c r="AA173" s="3"/>
      <c r="AB173" s="3"/>
    </row>
    <row r="174" spans="1:28" x14ac:dyDescent="0.35">
      <c r="A174" s="3"/>
      <c r="B174" s="3" t="s">
        <v>188</v>
      </c>
      <c r="C174" s="3" t="s">
        <v>1105</v>
      </c>
      <c r="D174" s="3"/>
      <c r="E174" s="3"/>
      <c r="F174" s="3"/>
      <c r="G174" s="3" t="s">
        <v>1668</v>
      </c>
      <c r="H174" s="3"/>
      <c r="I174" s="3"/>
      <c r="J174" s="3"/>
      <c r="K174" s="3"/>
      <c r="L174" s="3"/>
      <c r="M174" s="3"/>
      <c r="N174" s="3"/>
      <c r="O174" s="3"/>
      <c r="P174" s="3"/>
      <c r="Q174" s="3"/>
      <c r="R174" s="3"/>
      <c r="S174" s="3"/>
      <c r="T174" s="3"/>
      <c r="U174" s="3"/>
      <c r="V174" s="3"/>
      <c r="W174" s="3"/>
      <c r="X174" s="3"/>
      <c r="Y174" s="3"/>
      <c r="Z174" s="3"/>
      <c r="AA174" s="3"/>
      <c r="AB174" s="3"/>
    </row>
    <row r="175" spans="1:28" x14ac:dyDescent="0.35">
      <c r="A175" s="3"/>
      <c r="B175" s="5" t="s">
        <v>189</v>
      </c>
      <c r="C175" s="5" t="s">
        <v>131</v>
      </c>
      <c r="D175" s="5"/>
      <c r="E175" s="5"/>
      <c r="F175" s="3"/>
      <c r="G175" s="3"/>
      <c r="H175" s="3"/>
      <c r="I175" s="3"/>
      <c r="J175" s="3"/>
      <c r="K175" s="3"/>
      <c r="L175" s="3"/>
      <c r="M175" s="3"/>
      <c r="N175" s="3"/>
      <c r="O175" s="3"/>
      <c r="P175" s="3"/>
      <c r="Q175" s="3"/>
      <c r="R175" s="3"/>
      <c r="S175" s="3"/>
      <c r="T175" s="3"/>
      <c r="U175" s="3"/>
      <c r="V175" s="3"/>
      <c r="W175" s="3"/>
      <c r="X175" s="3"/>
      <c r="Y175" s="3"/>
      <c r="Z175" s="3"/>
      <c r="AA175" s="3"/>
      <c r="AB175" s="3"/>
    </row>
    <row r="176" spans="1:28" x14ac:dyDescent="0.35">
      <c r="A176" s="3"/>
      <c r="B176" s="5" t="s">
        <v>190</v>
      </c>
      <c r="C176" s="5" t="s">
        <v>131</v>
      </c>
      <c r="D176" s="5" t="s">
        <v>191</v>
      </c>
      <c r="E176" s="5" t="s">
        <v>192</v>
      </c>
      <c r="F176" s="3"/>
      <c r="G176" s="3"/>
      <c r="H176" s="3"/>
      <c r="I176" s="3"/>
      <c r="J176" s="3"/>
      <c r="K176" s="3"/>
      <c r="L176" s="3"/>
      <c r="M176" s="3"/>
      <c r="N176" s="3"/>
      <c r="O176" s="3"/>
      <c r="P176" s="3"/>
      <c r="Q176" s="3"/>
      <c r="R176" s="3"/>
      <c r="S176" s="3"/>
      <c r="T176" s="3"/>
      <c r="U176" s="3"/>
      <c r="V176" s="3"/>
      <c r="W176" s="3"/>
      <c r="X176" s="3"/>
      <c r="Y176" s="3"/>
      <c r="Z176" s="3"/>
      <c r="AA176" s="3"/>
      <c r="AB176" s="3"/>
    </row>
    <row r="177" spans="1:28" x14ac:dyDescent="0.35">
      <c r="A177" s="3"/>
      <c r="B177" s="5"/>
      <c r="C177" s="5"/>
      <c r="D177" s="5" t="s">
        <v>193</v>
      </c>
      <c r="E177" s="5" t="s">
        <v>194</v>
      </c>
      <c r="F177" s="3"/>
      <c r="G177" s="3"/>
      <c r="H177" s="3"/>
      <c r="I177" s="3"/>
      <c r="J177" s="3"/>
      <c r="K177" s="3"/>
      <c r="L177" s="3"/>
      <c r="M177" s="3"/>
      <c r="N177" s="3"/>
      <c r="O177" s="3"/>
      <c r="P177" s="3"/>
      <c r="Q177" s="3"/>
      <c r="R177" s="3"/>
      <c r="S177" s="3"/>
      <c r="T177" s="3"/>
      <c r="U177" s="3"/>
      <c r="V177" s="3"/>
      <c r="W177" s="3"/>
      <c r="X177" s="3"/>
      <c r="Y177" s="3"/>
      <c r="Z177" s="3"/>
      <c r="AA177" s="3"/>
      <c r="AB177" s="3"/>
    </row>
    <row r="178" spans="1:28" x14ac:dyDescent="0.35">
      <c r="A178" s="3"/>
      <c r="B178" s="3" t="s">
        <v>195</v>
      </c>
      <c r="C178" s="3" t="s">
        <v>131</v>
      </c>
      <c r="D178" s="3"/>
      <c r="E178" s="3"/>
      <c r="F178" s="3"/>
      <c r="G178" s="3" t="s">
        <v>196</v>
      </c>
      <c r="H178" s="3"/>
      <c r="I178" s="3"/>
      <c r="J178" s="3"/>
      <c r="K178" s="3"/>
      <c r="L178" s="3"/>
      <c r="M178" s="3"/>
      <c r="N178" s="3"/>
      <c r="O178" s="3"/>
      <c r="P178" s="3"/>
      <c r="Q178" s="3"/>
      <c r="R178" s="3"/>
      <c r="S178" s="3"/>
      <c r="T178" s="3"/>
      <c r="U178" s="3"/>
      <c r="V178" s="3"/>
      <c r="W178" s="3"/>
      <c r="X178" s="3"/>
      <c r="Y178" s="3"/>
      <c r="Z178" s="3"/>
      <c r="AA178" s="3"/>
      <c r="AB178" s="3"/>
    </row>
    <row r="179" spans="1:28" x14ac:dyDescent="0.35">
      <c r="A179" s="3"/>
      <c r="B179" s="3"/>
      <c r="C179" s="3" t="s">
        <v>197</v>
      </c>
      <c r="D179" s="3"/>
      <c r="E179" s="3"/>
      <c r="F179" s="3"/>
      <c r="G179" s="3" t="s">
        <v>449</v>
      </c>
      <c r="H179" s="3"/>
      <c r="I179" s="3"/>
      <c r="J179" s="3"/>
      <c r="K179" s="3"/>
      <c r="L179" s="3"/>
      <c r="M179" s="3"/>
      <c r="N179" s="3"/>
      <c r="O179" s="3"/>
      <c r="P179" s="3"/>
      <c r="Q179" s="3"/>
      <c r="R179" s="3"/>
      <c r="S179" s="3"/>
      <c r="T179" s="3"/>
      <c r="U179" s="3"/>
      <c r="V179" s="3"/>
      <c r="W179" s="3"/>
      <c r="X179" s="3"/>
      <c r="Y179" s="3"/>
      <c r="Z179" s="3"/>
      <c r="AA179" s="3"/>
      <c r="AB179" s="3"/>
    </row>
    <row r="180" spans="1:28" x14ac:dyDescent="0.35">
      <c r="A180" s="3"/>
      <c r="B180" s="3"/>
      <c r="C180" s="3" t="s">
        <v>200</v>
      </c>
      <c r="D180" s="3"/>
      <c r="E180" s="3"/>
      <c r="F180" s="3"/>
      <c r="G180" s="3" t="s">
        <v>450</v>
      </c>
      <c r="H180" s="3"/>
      <c r="I180" s="3"/>
      <c r="J180" s="3"/>
      <c r="K180" s="3"/>
      <c r="L180" s="3"/>
      <c r="M180" s="3"/>
      <c r="N180" s="3"/>
      <c r="O180" s="3"/>
      <c r="P180" s="3"/>
      <c r="Q180" s="3"/>
      <c r="R180" s="3"/>
      <c r="S180" s="3"/>
      <c r="T180" s="3"/>
      <c r="U180" s="3"/>
      <c r="V180" s="3"/>
      <c r="W180" s="3"/>
      <c r="X180" s="3"/>
      <c r="Y180" s="3"/>
      <c r="Z180" s="3"/>
      <c r="AA180" s="3"/>
      <c r="AB180" s="3"/>
    </row>
    <row r="181" spans="1:28" x14ac:dyDescent="0.35">
      <c r="A181" s="3"/>
      <c r="B181" s="3" t="s">
        <v>206</v>
      </c>
      <c r="C181" s="3" t="s">
        <v>1641</v>
      </c>
      <c r="D181" s="3" t="s">
        <v>208</v>
      </c>
      <c r="E181" s="3" t="s">
        <v>209</v>
      </c>
      <c r="F181" s="3"/>
      <c r="G181" s="3" t="s">
        <v>1669</v>
      </c>
      <c r="H181" s="3"/>
      <c r="I181" s="3"/>
      <c r="J181" s="3"/>
      <c r="K181" s="3"/>
      <c r="L181" s="3"/>
      <c r="M181" s="3"/>
      <c r="N181" s="3"/>
      <c r="O181" s="3"/>
      <c r="P181" s="3"/>
      <c r="Q181" s="3"/>
      <c r="R181" s="3"/>
      <c r="S181" s="3"/>
      <c r="T181" s="3"/>
      <c r="U181" s="3"/>
      <c r="V181" s="3"/>
      <c r="W181" s="3"/>
      <c r="X181" s="3"/>
      <c r="Y181" s="3"/>
      <c r="Z181" s="3"/>
      <c r="AA181" s="3"/>
      <c r="AB181" s="3"/>
    </row>
    <row r="182" spans="1:28" x14ac:dyDescent="0.35">
      <c r="A182" s="3"/>
      <c r="B182" s="5" t="s">
        <v>456</v>
      </c>
      <c r="C182" s="5" t="s">
        <v>131</v>
      </c>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x14ac:dyDescent="0.35">
      <c r="A184" s="3" t="s">
        <v>457</v>
      </c>
      <c r="B184" s="3" t="s">
        <v>458</v>
      </c>
      <c r="C184" s="3" t="s">
        <v>25</v>
      </c>
      <c r="D184" s="3"/>
      <c r="E184" s="3"/>
      <c r="F184" s="3"/>
      <c r="G184" s="3" t="s">
        <v>459</v>
      </c>
      <c r="H184" s="3"/>
      <c r="I184" s="3"/>
      <c r="J184" s="3"/>
      <c r="K184" s="3"/>
      <c r="L184" s="3"/>
      <c r="M184" s="3"/>
      <c r="N184" s="3"/>
      <c r="O184" s="3"/>
      <c r="P184" s="3"/>
      <c r="Q184" s="3"/>
      <c r="R184" s="3"/>
      <c r="S184" s="3"/>
      <c r="T184" s="3"/>
      <c r="U184" s="3"/>
      <c r="V184" s="3"/>
      <c r="W184" s="3"/>
      <c r="X184" s="3"/>
      <c r="Y184" s="3"/>
      <c r="Z184" s="3"/>
      <c r="AA184" s="3"/>
      <c r="AB184" s="3"/>
    </row>
    <row r="185" spans="1:28" x14ac:dyDescent="0.35">
      <c r="A185" s="3"/>
      <c r="B185" s="3"/>
      <c r="C185" s="3" t="s">
        <v>29</v>
      </c>
      <c r="D185" s="3"/>
      <c r="E185" s="3"/>
      <c r="F185" s="3"/>
      <c r="G185" s="3" t="s">
        <v>461</v>
      </c>
      <c r="H185" s="3"/>
      <c r="I185" s="3"/>
      <c r="J185" s="3"/>
      <c r="K185" s="3"/>
      <c r="L185" s="3"/>
      <c r="M185" s="3"/>
      <c r="N185" s="3"/>
      <c r="O185" s="3"/>
      <c r="P185" s="3"/>
      <c r="Q185" s="3"/>
      <c r="R185" s="3"/>
      <c r="S185" s="3"/>
      <c r="T185" s="3"/>
      <c r="U185" s="3"/>
      <c r="V185" s="3"/>
      <c r="W185" s="3"/>
      <c r="X185" s="3"/>
      <c r="Y185" s="3"/>
      <c r="Z185" s="3"/>
      <c r="AA185" s="3"/>
      <c r="AB185" s="3"/>
    </row>
    <row r="186" spans="1:28" x14ac:dyDescent="0.35">
      <c r="A186" s="3"/>
      <c r="B186" s="3" t="s">
        <v>462</v>
      </c>
      <c r="C186" s="3" t="s">
        <v>33</v>
      </c>
      <c r="D186" s="3" t="s">
        <v>34</v>
      </c>
      <c r="E186" s="3" t="s">
        <v>35</v>
      </c>
      <c r="F186" s="3"/>
      <c r="G186" s="3" t="s">
        <v>463</v>
      </c>
      <c r="H186" s="3"/>
      <c r="I186" s="3"/>
      <c r="J186" s="3"/>
      <c r="K186" s="3"/>
      <c r="L186" s="3"/>
      <c r="M186" s="3"/>
      <c r="N186" s="3"/>
      <c r="O186" s="3"/>
      <c r="P186" s="3"/>
      <c r="Q186" s="3"/>
      <c r="R186" s="3"/>
      <c r="S186" s="3"/>
      <c r="T186" s="3"/>
      <c r="U186" s="3"/>
      <c r="V186" s="3"/>
      <c r="W186" s="3"/>
      <c r="X186" s="3"/>
      <c r="Y186" s="3"/>
      <c r="Z186" s="3"/>
      <c r="AA186" s="3"/>
      <c r="AB186" s="3"/>
    </row>
    <row r="187" spans="1:28" x14ac:dyDescent="0.35">
      <c r="A187" s="3"/>
      <c r="B187" s="3"/>
      <c r="C187" s="3" t="s">
        <v>1628</v>
      </c>
      <c r="D187" s="3"/>
      <c r="E187" s="3"/>
      <c r="F187" s="3"/>
      <c r="G187" s="3" t="s">
        <v>1670</v>
      </c>
      <c r="H187" s="3"/>
      <c r="I187" s="3"/>
      <c r="J187" s="3"/>
      <c r="K187" s="3"/>
      <c r="L187" s="3"/>
      <c r="M187" s="3"/>
      <c r="N187" s="3"/>
      <c r="O187" s="3"/>
      <c r="P187" s="3"/>
      <c r="Q187" s="3"/>
      <c r="R187" s="3"/>
      <c r="S187" s="3"/>
      <c r="T187" s="3"/>
      <c r="U187" s="3"/>
      <c r="V187" s="3"/>
      <c r="W187" s="3"/>
      <c r="X187" s="3"/>
      <c r="Y187" s="3"/>
      <c r="Z187" s="3"/>
      <c r="AA187" s="3"/>
      <c r="AB187" s="3"/>
    </row>
    <row r="188" spans="1:28" x14ac:dyDescent="0.35">
      <c r="A188" s="3"/>
      <c r="B188" s="3"/>
      <c r="C188" s="3" t="s">
        <v>43</v>
      </c>
      <c r="D188" s="3"/>
      <c r="E188" s="3"/>
      <c r="F188" s="3"/>
      <c r="G188" s="3" t="s">
        <v>471</v>
      </c>
      <c r="H188" s="3"/>
      <c r="I188" s="3"/>
      <c r="J188" s="3"/>
      <c r="K188" s="3"/>
      <c r="L188" s="3"/>
      <c r="M188" s="3"/>
      <c r="N188" s="3"/>
      <c r="O188" s="3"/>
      <c r="P188" s="3"/>
      <c r="Q188" s="3"/>
      <c r="R188" s="3"/>
      <c r="S188" s="3"/>
      <c r="T188" s="3"/>
      <c r="U188" s="3"/>
      <c r="V188" s="3"/>
      <c r="W188" s="3"/>
      <c r="X188" s="3"/>
      <c r="Y188" s="3"/>
      <c r="Z188" s="3"/>
      <c r="AA188" s="3"/>
      <c r="AB188" s="3"/>
    </row>
    <row r="189" spans="1:28" x14ac:dyDescent="0.35">
      <c r="A189" s="3"/>
      <c r="B189" s="3" t="s">
        <v>60</v>
      </c>
      <c r="C189" s="3" t="s">
        <v>61</v>
      </c>
      <c r="D189" s="3"/>
      <c r="E189" s="3"/>
      <c r="F189" s="3"/>
      <c r="G189" s="3" t="s">
        <v>62</v>
      </c>
      <c r="H189" s="3"/>
      <c r="I189" s="3"/>
      <c r="J189" s="3"/>
      <c r="K189" s="3"/>
      <c r="L189" s="3"/>
      <c r="M189" s="3"/>
      <c r="N189" s="3"/>
      <c r="O189" s="3"/>
      <c r="P189" s="3"/>
      <c r="Q189" s="3"/>
      <c r="R189" s="3"/>
      <c r="S189" s="3"/>
      <c r="T189" s="3"/>
      <c r="U189" s="3"/>
      <c r="V189" s="3"/>
      <c r="W189" s="3"/>
      <c r="X189" s="3"/>
      <c r="Y189" s="3"/>
      <c r="Z189" s="3"/>
      <c r="AA189" s="3"/>
      <c r="AB189" s="3"/>
    </row>
    <row r="190" spans="1:28" x14ac:dyDescent="0.35">
      <c r="A190" s="3"/>
      <c r="B190" s="3"/>
      <c r="C190" s="3" t="s">
        <v>68</v>
      </c>
      <c r="D190" s="3"/>
      <c r="E190" s="3"/>
      <c r="F190" s="3"/>
      <c r="G190" s="3" t="s">
        <v>476</v>
      </c>
      <c r="H190" s="3"/>
      <c r="I190" s="3"/>
      <c r="J190" s="3"/>
      <c r="K190" s="3"/>
      <c r="L190" s="3"/>
      <c r="M190" s="3"/>
      <c r="N190" s="3"/>
      <c r="O190" s="3"/>
      <c r="P190" s="3"/>
      <c r="Q190" s="3"/>
      <c r="R190" s="3"/>
      <c r="S190" s="3"/>
      <c r="T190" s="3"/>
      <c r="U190" s="3"/>
      <c r="V190" s="3"/>
      <c r="W190" s="3"/>
      <c r="X190" s="3"/>
      <c r="Y190" s="3"/>
      <c r="Z190" s="3"/>
      <c r="AA190" s="3"/>
      <c r="AB190" s="3"/>
    </row>
    <row r="191" spans="1:28" x14ac:dyDescent="0.35">
      <c r="A191" s="3"/>
      <c r="B191" s="3"/>
      <c r="C191" s="3" t="s">
        <v>64</v>
      </c>
      <c r="D191" s="3"/>
      <c r="E191" s="3"/>
      <c r="F191" s="3"/>
      <c r="G191" s="3" t="s">
        <v>481</v>
      </c>
      <c r="H191" s="3"/>
      <c r="I191" s="3"/>
      <c r="J191" s="3"/>
      <c r="K191" s="3"/>
      <c r="L191" s="3"/>
      <c r="M191" s="3"/>
      <c r="N191" s="3"/>
      <c r="O191" s="3"/>
      <c r="P191" s="3"/>
      <c r="Q191" s="3"/>
      <c r="R191" s="3"/>
      <c r="S191" s="3"/>
      <c r="T191" s="3"/>
      <c r="U191" s="3"/>
      <c r="V191" s="3"/>
      <c r="W191" s="3"/>
      <c r="X191" s="3"/>
      <c r="Y191" s="3"/>
      <c r="Z191" s="3"/>
      <c r="AA191" s="3"/>
      <c r="AB191" s="3"/>
    </row>
    <row r="192" spans="1:28" x14ac:dyDescent="0.35">
      <c r="A192" s="3"/>
      <c r="B192" s="3" t="s">
        <v>74</v>
      </c>
      <c r="C192" s="3" t="s">
        <v>75</v>
      </c>
      <c r="D192" s="3" t="s">
        <v>76</v>
      </c>
      <c r="E192" s="3" t="s">
        <v>77</v>
      </c>
      <c r="F192" s="3"/>
      <c r="G192" s="3" t="s">
        <v>482</v>
      </c>
      <c r="H192" s="3"/>
      <c r="I192" s="3"/>
      <c r="J192" s="3"/>
      <c r="K192" s="3"/>
      <c r="L192" s="3"/>
      <c r="M192" s="3"/>
      <c r="N192" s="3"/>
      <c r="O192" s="3"/>
      <c r="P192" s="3"/>
      <c r="Q192" s="3"/>
      <c r="R192" s="3"/>
      <c r="S192" s="3"/>
      <c r="T192" s="3"/>
      <c r="U192" s="3"/>
      <c r="V192" s="3"/>
      <c r="W192" s="3"/>
      <c r="X192" s="3"/>
      <c r="Y192" s="3"/>
      <c r="Z192" s="3"/>
      <c r="AA192" s="3"/>
      <c r="AB192" s="3"/>
    </row>
    <row r="193" spans="1:28" x14ac:dyDescent="0.35">
      <c r="A193" s="3"/>
      <c r="B193" s="3"/>
      <c r="C193" s="3" t="s">
        <v>318</v>
      </c>
      <c r="D193" s="3"/>
      <c r="E193" s="3"/>
      <c r="F193" s="3"/>
      <c r="G193" s="3" t="s">
        <v>483</v>
      </c>
      <c r="H193" s="3"/>
      <c r="I193" s="3"/>
      <c r="J193" s="3"/>
      <c r="K193" s="3"/>
      <c r="L193" s="3"/>
      <c r="M193" s="3"/>
      <c r="N193" s="3"/>
      <c r="O193" s="3"/>
      <c r="P193" s="3"/>
      <c r="Q193" s="3"/>
      <c r="R193" s="3"/>
      <c r="S193" s="3"/>
      <c r="T193" s="3"/>
      <c r="U193" s="3"/>
      <c r="V193" s="3"/>
      <c r="W193" s="3"/>
      <c r="X193" s="3"/>
      <c r="Y193" s="3"/>
      <c r="Z193" s="3"/>
      <c r="AA193" s="3"/>
      <c r="AB193" s="3"/>
    </row>
    <row r="194" spans="1:28" x14ac:dyDescent="0.35">
      <c r="A194" s="3"/>
      <c r="B194" s="3"/>
      <c r="C194" s="3" t="s">
        <v>89</v>
      </c>
      <c r="D194" s="3"/>
      <c r="E194" s="3"/>
      <c r="F194" s="3"/>
      <c r="G194" s="3" t="s">
        <v>485</v>
      </c>
      <c r="H194" s="3"/>
      <c r="I194" s="3"/>
      <c r="J194" s="3"/>
      <c r="K194" s="3"/>
      <c r="L194" s="3"/>
      <c r="M194" s="3"/>
      <c r="N194" s="3"/>
      <c r="O194" s="3"/>
      <c r="P194" s="3"/>
      <c r="Q194" s="3"/>
      <c r="R194" s="3"/>
      <c r="S194" s="3"/>
      <c r="T194" s="3"/>
      <c r="U194" s="3"/>
      <c r="V194" s="3"/>
      <c r="W194" s="3"/>
      <c r="X194" s="3"/>
      <c r="Y194" s="3"/>
      <c r="Z194" s="3"/>
      <c r="AA194" s="3"/>
      <c r="AB194" s="3"/>
    </row>
    <row r="195" spans="1:28" x14ac:dyDescent="0.35">
      <c r="A195" s="3"/>
      <c r="B195" s="3"/>
      <c r="C195" s="3" t="s">
        <v>97</v>
      </c>
      <c r="D195" s="3"/>
      <c r="E195" s="3"/>
      <c r="F195" s="3"/>
      <c r="G195" s="3" t="s">
        <v>487</v>
      </c>
      <c r="H195" s="3"/>
      <c r="I195" s="3"/>
      <c r="J195" s="3"/>
      <c r="K195" s="3"/>
      <c r="L195" s="3"/>
      <c r="M195" s="3"/>
      <c r="N195" s="3"/>
      <c r="O195" s="3"/>
      <c r="P195" s="3"/>
      <c r="Q195" s="3"/>
      <c r="R195" s="3"/>
      <c r="S195" s="3"/>
      <c r="T195" s="3"/>
      <c r="U195" s="3"/>
      <c r="V195" s="3"/>
      <c r="W195" s="3"/>
      <c r="X195" s="3"/>
      <c r="Y195" s="3"/>
      <c r="Z195" s="3"/>
      <c r="AA195" s="3"/>
      <c r="AB195" s="3"/>
    </row>
    <row r="196" spans="1:28" x14ac:dyDescent="0.35">
      <c r="A196" s="3"/>
      <c r="B196" s="3" t="s">
        <v>103</v>
      </c>
      <c r="C196" s="3"/>
      <c r="D196" s="3" t="s">
        <v>34</v>
      </c>
      <c r="E196" s="3" t="s">
        <v>35</v>
      </c>
      <c r="F196" s="3"/>
      <c r="G196" s="3"/>
      <c r="H196" s="3"/>
      <c r="I196" s="3"/>
      <c r="J196" s="3"/>
      <c r="K196" s="3"/>
      <c r="L196" s="3"/>
      <c r="M196" s="3"/>
      <c r="N196" s="3"/>
      <c r="O196" s="3"/>
      <c r="P196" s="3"/>
      <c r="Q196" s="3"/>
      <c r="R196" s="3"/>
      <c r="S196" s="3"/>
      <c r="T196" s="3"/>
      <c r="U196" s="3"/>
      <c r="V196" s="3"/>
      <c r="W196" s="3"/>
      <c r="X196" s="3"/>
      <c r="Y196" s="3"/>
      <c r="Z196" s="3"/>
      <c r="AA196" s="3"/>
      <c r="AB196" s="3"/>
    </row>
    <row r="197" spans="1:28" x14ac:dyDescent="0.35">
      <c r="A197" s="3"/>
      <c r="B197" s="3" t="s">
        <v>104</v>
      </c>
      <c r="C197" s="3"/>
      <c r="D197" s="3" t="s">
        <v>34</v>
      </c>
      <c r="E197" s="3" t="s">
        <v>35</v>
      </c>
      <c r="F197" s="3"/>
      <c r="G197" s="3"/>
      <c r="H197" s="3"/>
      <c r="I197" s="3"/>
      <c r="J197" s="3"/>
      <c r="K197" s="3"/>
      <c r="L197" s="3"/>
      <c r="M197" s="3"/>
      <c r="N197" s="3"/>
      <c r="O197" s="3"/>
      <c r="P197" s="3"/>
      <c r="Q197" s="3"/>
      <c r="R197" s="3"/>
      <c r="S197" s="3"/>
      <c r="T197" s="3"/>
      <c r="U197" s="3"/>
      <c r="V197" s="3"/>
      <c r="W197" s="3"/>
      <c r="X197" s="3"/>
      <c r="Y197" s="3"/>
      <c r="Z197" s="3"/>
      <c r="AA197" s="3"/>
      <c r="AB197" s="3"/>
    </row>
    <row r="198" spans="1:28" x14ac:dyDescent="0.35">
      <c r="A198" s="3"/>
      <c r="B198" s="3"/>
      <c r="C198" s="3"/>
      <c r="D198" s="3" t="s">
        <v>76</v>
      </c>
      <c r="E198" s="3" t="s">
        <v>77</v>
      </c>
      <c r="F198" s="3"/>
      <c r="G198" s="3"/>
      <c r="H198" s="3"/>
      <c r="I198" s="3"/>
      <c r="J198" s="3"/>
      <c r="K198" s="3"/>
      <c r="L198" s="3"/>
      <c r="M198" s="3"/>
      <c r="N198" s="3"/>
      <c r="O198" s="3"/>
      <c r="P198" s="3"/>
      <c r="Q198" s="3"/>
      <c r="R198" s="3"/>
      <c r="S198" s="3"/>
      <c r="T198" s="3"/>
      <c r="U198" s="3"/>
      <c r="V198" s="3"/>
      <c r="W198" s="3"/>
      <c r="X198" s="3"/>
      <c r="Y198" s="3"/>
      <c r="Z198" s="3"/>
      <c r="AA198" s="3"/>
      <c r="AB198" s="3"/>
    </row>
    <row r="199" spans="1:28" x14ac:dyDescent="0.35">
      <c r="A199" s="3"/>
      <c r="B199" s="3" t="s">
        <v>230</v>
      </c>
      <c r="C199" s="3" t="s">
        <v>61</v>
      </c>
      <c r="D199" s="3"/>
      <c r="E199" s="3"/>
      <c r="F199" s="3"/>
      <c r="G199" s="3" t="s">
        <v>493</v>
      </c>
      <c r="H199" s="3"/>
      <c r="I199" s="3"/>
      <c r="J199" s="3"/>
      <c r="K199" s="3"/>
      <c r="L199" s="3"/>
      <c r="M199" s="3"/>
      <c r="N199" s="3"/>
      <c r="O199" s="3"/>
      <c r="P199" s="3"/>
      <c r="Q199" s="3"/>
      <c r="R199" s="3"/>
      <c r="S199" s="3"/>
      <c r="T199" s="3"/>
      <c r="U199" s="3"/>
      <c r="V199" s="3"/>
      <c r="W199" s="3"/>
      <c r="X199" s="3"/>
      <c r="Y199" s="3"/>
      <c r="Z199" s="3"/>
      <c r="AA199" s="3"/>
      <c r="AB199" s="3"/>
    </row>
    <row r="200" spans="1:28" x14ac:dyDescent="0.35">
      <c r="A200" s="3"/>
      <c r="B200" s="3"/>
      <c r="C200" s="3" t="s">
        <v>494</v>
      </c>
      <c r="D200" s="3"/>
      <c r="E200" s="3"/>
      <c r="F200" s="3"/>
      <c r="G200" s="3" t="s">
        <v>495</v>
      </c>
      <c r="H200" s="3"/>
      <c r="I200" s="3"/>
      <c r="J200" s="3"/>
      <c r="K200" s="3"/>
      <c r="L200" s="3"/>
      <c r="M200" s="3"/>
      <c r="N200" s="3"/>
      <c r="O200" s="3"/>
      <c r="P200" s="3"/>
      <c r="Q200" s="3"/>
      <c r="R200" s="3"/>
      <c r="S200" s="3"/>
      <c r="T200" s="3"/>
      <c r="U200" s="3"/>
      <c r="V200" s="3"/>
      <c r="W200" s="3"/>
      <c r="X200" s="3"/>
      <c r="Y200" s="3"/>
      <c r="Z200" s="3"/>
      <c r="AA200" s="3"/>
      <c r="AB200" s="3"/>
    </row>
    <row r="201" spans="1:28" x14ac:dyDescent="0.35">
      <c r="A201" s="3"/>
      <c r="B201" s="3" t="s">
        <v>232</v>
      </c>
      <c r="C201" s="3" t="s">
        <v>61</v>
      </c>
      <c r="D201" s="3"/>
      <c r="E201" s="3"/>
      <c r="F201" s="3"/>
      <c r="G201" s="3" t="s">
        <v>62</v>
      </c>
      <c r="H201" s="3"/>
      <c r="I201" s="3"/>
      <c r="J201" s="3"/>
      <c r="K201" s="3"/>
      <c r="L201" s="3"/>
      <c r="M201" s="3"/>
      <c r="N201" s="3"/>
      <c r="O201" s="3"/>
      <c r="P201" s="3"/>
      <c r="Q201" s="3"/>
      <c r="R201" s="3"/>
      <c r="S201" s="3"/>
      <c r="T201" s="3"/>
      <c r="U201" s="3"/>
      <c r="V201" s="3"/>
      <c r="W201" s="3"/>
      <c r="X201" s="3"/>
      <c r="Y201" s="3"/>
      <c r="Z201" s="3"/>
      <c r="AA201" s="3"/>
      <c r="AB201" s="3"/>
    </row>
    <row r="202" spans="1:28" x14ac:dyDescent="0.35">
      <c r="A202" s="3"/>
      <c r="B202" s="3"/>
      <c r="C202" s="3" t="s">
        <v>68</v>
      </c>
      <c r="D202" s="3"/>
      <c r="E202" s="3"/>
      <c r="F202" s="3"/>
      <c r="G202" s="3" t="s">
        <v>500</v>
      </c>
      <c r="H202" s="3"/>
      <c r="I202" s="3"/>
      <c r="J202" s="3"/>
      <c r="K202" s="3"/>
      <c r="L202" s="3"/>
      <c r="M202" s="3"/>
      <c r="N202" s="3"/>
      <c r="O202" s="3"/>
      <c r="P202" s="3"/>
      <c r="Q202" s="3"/>
      <c r="R202" s="3"/>
      <c r="S202" s="3"/>
      <c r="T202" s="3"/>
      <c r="U202" s="3"/>
      <c r="V202" s="3"/>
      <c r="W202" s="3"/>
      <c r="X202" s="3"/>
      <c r="Y202" s="3"/>
      <c r="Z202" s="3"/>
      <c r="AA202" s="3"/>
      <c r="AB202" s="3"/>
    </row>
    <row r="203" spans="1:28" x14ac:dyDescent="0.35">
      <c r="A203" s="3"/>
      <c r="B203" s="3" t="s">
        <v>105</v>
      </c>
      <c r="C203" s="3" t="s">
        <v>25</v>
      </c>
      <c r="D203" s="3"/>
      <c r="E203" s="3"/>
      <c r="F203" s="3"/>
      <c r="G203" s="3" t="s">
        <v>505</v>
      </c>
      <c r="H203" s="3"/>
      <c r="I203" s="3"/>
      <c r="J203" s="3"/>
      <c r="K203" s="3"/>
      <c r="L203" s="3"/>
      <c r="M203" s="3"/>
      <c r="N203" s="3"/>
      <c r="O203" s="3"/>
      <c r="P203" s="3"/>
      <c r="Q203" s="3"/>
      <c r="R203" s="3"/>
      <c r="S203" s="3"/>
      <c r="T203" s="3"/>
      <c r="U203" s="3"/>
      <c r="V203" s="3"/>
      <c r="W203" s="3"/>
      <c r="X203" s="3"/>
      <c r="Y203" s="3"/>
      <c r="Z203" s="3"/>
      <c r="AA203" s="3"/>
      <c r="AB203" s="3"/>
    </row>
    <row r="204" spans="1:28" x14ac:dyDescent="0.35">
      <c r="A204" s="3"/>
      <c r="B204" s="3"/>
      <c r="C204" s="3" t="s">
        <v>29</v>
      </c>
      <c r="D204" s="3"/>
      <c r="E204" s="3"/>
      <c r="F204" s="3"/>
      <c r="G204" s="3" t="s">
        <v>107</v>
      </c>
      <c r="H204" s="3"/>
      <c r="I204" s="3"/>
      <c r="J204" s="3"/>
      <c r="K204" s="3"/>
      <c r="L204" s="3"/>
      <c r="M204" s="3"/>
      <c r="N204" s="3"/>
      <c r="O204" s="3"/>
      <c r="P204" s="3"/>
      <c r="Q204" s="3"/>
      <c r="R204" s="3"/>
      <c r="S204" s="3"/>
      <c r="T204" s="3"/>
      <c r="U204" s="3"/>
      <c r="V204" s="3"/>
      <c r="W204" s="3"/>
      <c r="X204" s="3"/>
      <c r="Y204" s="3"/>
      <c r="Z204" s="3"/>
      <c r="AA204" s="3"/>
      <c r="AB204" s="3"/>
    </row>
    <row r="205" spans="1:28" x14ac:dyDescent="0.35">
      <c r="A205" s="3"/>
      <c r="B205" s="3" t="s">
        <v>108</v>
      </c>
      <c r="C205" s="3" t="s">
        <v>109</v>
      </c>
      <c r="D205" s="3"/>
      <c r="E205" s="3"/>
      <c r="F205" s="3"/>
      <c r="G205" s="3" t="s">
        <v>506</v>
      </c>
      <c r="H205" s="3"/>
      <c r="I205" s="3"/>
      <c r="J205" s="3"/>
      <c r="K205" s="3"/>
      <c r="L205" s="3"/>
      <c r="M205" s="3"/>
      <c r="N205" s="3"/>
      <c r="O205" s="3"/>
      <c r="P205" s="3"/>
      <c r="Q205" s="3"/>
      <c r="R205" s="3"/>
      <c r="S205" s="3"/>
      <c r="T205" s="3"/>
      <c r="U205" s="3"/>
      <c r="V205" s="3"/>
      <c r="W205" s="3"/>
      <c r="X205" s="3"/>
      <c r="Y205" s="3"/>
      <c r="Z205" s="3"/>
      <c r="AA205" s="3"/>
      <c r="AB205" s="3"/>
    </row>
    <row r="206" spans="1:28" x14ac:dyDescent="0.35">
      <c r="A206" s="3"/>
      <c r="B206" s="3"/>
      <c r="C206" s="3" t="s">
        <v>113</v>
      </c>
      <c r="D206" s="3"/>
      <c r="E206" s="3"/>
      <c r="F206" s="3"/>
      <c r="G206" s="3" t="s">
        <v>507</v>
      </c>
      <c r="H206" s="3"/>
      <c r="I206" s="3"/>
      <c r="J206" s="3"/>
      <c r="K206" s="3"/>
      <c r="L206" s="3"/>
      <c r="M206" s="3"/>
      <c r="N206" s="3"/>
      <c r="O206" s="3"/>
      <c r="P206" s="3"/>
      <c r="Q206" s="3"/>
      <c r="R206" s="3"/>
      <c r="S206" s="3"/>
      <c r="T206" s="3"/>
      <c r="U206" s="3"/>
      <c r="V206" s="3"/>
      <c r="W206" s="3"/>
      <c r="X206" s="3"/>
      <c r="Y206" s="3"/>
      <c r="Z206" s="3"/>
      <c r="AA206" s="3"/>
      <c r="AB206" s="3"/>
    </row>
    <row r="207" spans="1:28" x14ac:dyDescent="0.35">
      <c r="A207" s="3"/>
      <c r="B207" s="3"/>
      <c r="C207" s="3" t="s">
        <v>509</v>
      </c>
      <c r="D207" s="3"/>
      <c r="E207" s="3"/>
      <c r="F207" s="3"/>
      <c r="G207" s="3" t="s">
        <v>510</v>
      </c>
      <c r="H207" s="3"/>
      <c r="I207" s="3"/>
      <c r="J207" s="3"/>
      <c r="K207" s="3"/>
      <c r="L207" s="3"/>
      <c r="M207" s="3"/>
      <c r="N207" s="3"/>
      <c r="O207" s="3"/>
      <c r="P207" s="3"/>
      <c r="Q207" s="3"/>
      <c r="R207" s="3"/>
      <c r="S207" s="3"/>
      <c r="T207" s="3"/>
      <c r="U207" s="3"/>
      <c r="V207" s="3"/>
      <c r="W207" s="3"/>
      <c r="X207" s="3"/>
      <c r="Y207" s="3"/>
      <c r="Z207" s="3"/>
      <c r="AA207" s="3"/>
      <c r="AB207" s="3"/>
    </row>
    <row r="208" spans="1:28" x14ac:dyDescent="0.35">
      <c r="A208" s="3"/>
      <c r="B208" s="3"/>
      <c r="C208" s="3" t="s">
        <v>1671</v>
      </c>
      <c r="D208" s="3"/>
      <c r="E208" s="3"/>
      <c r="F208" s="3"/>
      <c r="G208" s="3" t="s">
        <v>515</v>
      </c>
      <c r="H208" s="3"/>
      <c r="I208" s="3"/>
      <c r="J208" s="3"/>
      <c r="K208" s="3"/>
      <c r="L208" s="3"/>
      <c r="M208" s="3"/>
      <c r="N208" s="3"/>
      <c r="O208" s="3"/>
      <c r="P208" s="3"/>
      <c r="Q208" s="3"/>
      <c r="R208" s="3"/>
      <c r="S208" s="3"/>
      <c r="T208" s="3"/>
      <c r="U208" s="3"/>
      <c r="V208" s="3"/>
      <c r="W208" s="3"/>
      <c r="X208" s="3"/>
      <c r="Y208" s="3"/>
      <c r="Z208" s="3"/>
      <c r="AA208" s="3"/>
      <c r="AB208" s="3"/>
    </row>
    <row r="209" spans="1:28" x14ac:dyDescent="0.35">
      <c r="A209" s="3"/>
      <c r="B209" s="3"/>
      <c r="C209" s="3" t="s">
        <v>131</v>
      </c>
      <c r="D209" s="3"/>
      <c r="E209" s="3"/>
      <c r="F209" s="3"/>
      <c r="G209" s="3" t="s">
        <v>521</v>
      </c>
      <c r="H209" s="3"/>
      <c r="I209" s="3"/>
      <c r="J209" s="3"/>
      <c r="K209" s="3"/>
      <c r="L209" s="3"/>
      <c r="M209" s="3"/>
      <c r="N209" s="3"/>
      <c r="O209" s="3"/>
      <c r="P209" s="3"/>
      <c r="Q209" s="3"/>
      <c r="R209" s="3"/>
      <c r="S209" s="3"/>
      <c r="T209" s="3"/>
      <c r="U209" s="3"/>
      <c r="V209" s="3"/>
      <c r="W209" s="3"/>
      <c r="X209" s="3"/>
      <c r="Y209" s="3"/>
      <c r="Z209" s="3"/>
      <c r="AA209" s="3"/>
      <c r="AB209" s="3"/>
    </row>
    <row r="210" spans="1:28" x14ac:dyDescent="0.35">
      <c r="A210" s="3"/>
      <c r="B210" s="5" t="s">
        <v>242</v>
      </c>
      <c r="C210" s="5" t="s">
        <v>131</v>
      </c>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x14ac:dyDescent="0.35">
      <c r="A211" s="3"/>
      <c r="B211" s="3" t="s">
        <v>243</v>
      </c>
      <c r="C211" s="3" t="s">
        <v>1672</v>
      </c>
      <c r="D211" s="3" t="s">
        <v>265</v>
      </c>
      <c r="E211" s="3" t="s">
        <v>266</v>
      </c>
      <c r="F211" s="3"/>
      <c r="G211" s="3" t="s">
        <v>1673</v>
      </c>
      <c r="H211" s="3"/>
      <c r="I211" s="3"/>
      <c r="J211" s="3"/>
      <c r="K211" s="3"/>
      <c r="L211" s="3"/>
      <c r="M211" s="3"/>
      <c r="N211" s="3"/>
      <c r="O211" s="3"/>
      <c r="P211" s="3"/>
      <c r="Q211" s="3"/>
      <c r="R211" s="3"/>
      <c r="S211" s="3"/>
      <c r="T211" s="3"/>
      <c r="U211" s="3"/>
      <c r="V211" s="3"/>
      <c r="W211" s="3"/>
      <c r="X211" s="3"/>
      <c r="Y211" s="3"/>
      <c r="Z211" s="3"/>
      <c r="AA211" s="3"/>
      <c r="AB211" s="3"/>
    </row>
    <row r="212" spans="1:28" x14ac:dyDescent="0.35">
      <c r="A212" s="3"/>
      <c r="B212" s="3" t="s">
        <v>134</v>
      </c>
      <c r="C212" s="3"/>
      <c r="D212" s="3" t="s">
        <v>174</v>
      </c>
      <c r="E212" s="3" t="s">
        <v>175</v>
      </c>
      <c r="F212" s="3"/>
      <c r="G212" s="3"/>
      <c r="H212" s="3"/>
      <c r="I212" s="3"/>
      <c r="J212" s="3"/>
      <c r="K212" s="3"/>
      <c r="L212" s="3"/>
      <c r="M212" s="3"/>
      <c r="N212" s="3"/>
      <c r="O212" s="3"/>
      <c r="P212" s="3"/>
      <c r="Q212" s="3"/>
      <c r="R212" s="3"/>
      <c r="S212" s="3"/>
      <c r="T212" s="3"/>
      <c r="U212" s="3"/>
      <c r="V212" s="3"/>
      <c r="W212" s="3"/>
      <c r="X212" s="3"/>
      <c r="Y212" s="3"/>
      <c r="Z212" s="3"/>
      <c r="AA212" s="3"/>
      <c r="AB212" s="3"/>
    </row>
    <row r="213" spans="1:28" x14ac:dyDescent="0.35">
      <c r="A213" s="3"/>
      <c r="B213" s="3" t="s">
        <v>244</v>
      </c>
      <c r="C213" s="3" t="s">
        <v>1672</v>
      </c>
      <c r="D213" s="3" t="s">
        <v>265</v>
      </c>
      <c r="E213" s="3" t="s">
        <v>266</v>
      </c>
      <c r="F213" s="3"/>
      <c r="G213" s="3" t="s">
        <v>1674</v>
      </c>
      <c r="H213" s="3"/>
      <c r="I213" s="3"/>
      <c r="J213" s="3"/>
      <c r="K213" s="3"/>
      <c r="L213" s="3"/>
      <c r="M213" s="3"/>
      <c r="N213" s="3"/>
      <c r="O213" s="3"/>
      <c r="P213" s="3"/>
      <c r="Q213" s="3"/>
      <c r="R213" s="3"/>
      <c r="S213" s="3"/>
      <c r="T213" s="3"/>
      <c r="U213" s="3"/>
      <c r="V213" s="3"/>
      <c r="W213" s="3"/>
      <c r="X213" s="3"/>
      <c r="Y213" s="3"/>
      <c r="Z213" s="3"/>
      <c r="AA213" s="3"/>
      <c r="AB213" s="3"/>
    </row>
    <row r="214" spans="1:28" x14ac:dyDescent="0.35">
      <c r="A214" s="3"/>
      <c r="B214" s="3" t="s">
        <v>245</v>
      </c>
      <c r="C214" s="3" t="s">
        <v>1675</v>
      </c>
      <c r="D214" s="3" t="s">
        <v>265</v>
      </c>
      <c r="E214" s="3" t="s">
        <v>266</v>
      </c>
      <c r="F214" s="3"/>
      <c r="G214" s="3" t="s">
        <v>1676</v>
      </c>
      <c r="H214" s="3"/>
      <c r="I214" s="3"/>
      <c r="J214" s="3"/>
      <c r="K214" s="3"/>
      <c r="L214" s="3"/>
      <c r="M214" s="3"/>
      <c r="N214" s="3"/>
      <c r="O214" s="3"/>
      <c r="P214" s="3"/>
      <c r="Q214" s="3"/>
      <c r="R214" s="3"/>
      <c r="S214" s="3"/>
      <c r="T214" s="3"/>
      <c r="U214" s="3"/>
      <c r="V214" s="3"/>
      <c r="W214" s="3"/>
      <c r="X214" s="3"/>
      <c r="Y214" s="3"/>
      <c r="Z214" s="3"/>
      <c r="AA214" s="3"/>
      <c r="AB214" s="3"/>
    </row>
    <row r="215" spans="1:28" x14ac:dyDescent="0.35">
      <c r="A215" s="3"/>
      <c r="B215" s="3" t="s">
        <v>135</v>
      </c>
      <c r="C215" s="3" t="s">
        <v>1629</v>
      </c>
      <c r="D215" s="3"/>
      <c r="E215" s="3"/>
      <c r="F215" s="3"/>
      <c r="G215" s="3" t="s">
        <v>1677</v>
      </c>
      <c r="H215" s="3"/>
      <c r="I215" s="3"/>
      <c r="J215" s="3"/>
      <c r="K215" s="3"/>
      <c r="L215" s="3"/>
      <c r="M215" s="3"/>
      <c r="N215" s="3"/>
      <c r="O215" s="3"/>
      <c r="P215" s="3"/>
      <c r="Q215" s="3"/>
      <c r="R215" s="3"/>
      <c r="S215" s="3"/>
      <c r="T215" s="3"/>
      <c r="U215" s="3"/>
      <c r="V215" s="3"/>
      <c r="W215" s="3"/>
      <c r="X215" s="3"/>
      <c r="Y215" s="3"/>
      <c r="Z215" s="3"/>
      <c r="AA215" s="3"/>
      <c r="AB215" s="3"/>
    </row>
    <row r="216" spans="1:28" x14ac:dyDescent="0.35">
      <c r="A216" s="3"/>
      <c r="B216" s="3"/>
      <c r="C216" s="3" t="s">
        <v>1631</v>
      </c>
      <c r="D216" s="3"/>
      <c r="E216" s="3"/>
      <c r="F216" s="3"/>
      <c r="G216" s="3" t="s">
        <v>1678</v>
      </c>
      <c r="H216" s="3"/>
      <c r="I216" s="3"/>
      <c r="J216" s="3"/>
      <c r="K216" s="3"/>
      <c r="L216" s="3"/>
      <c r="M216" s="3"/>
      <c r="N216" s="3"/>
      <c r="O216" s="3"/>
      <c r="P216" s="3"/>
      <c r="Q216" s="3"/>
      <c r="R216" s="3"/>
      <c r="S216" s="3"/>
      <c r="T216" s="3"/>
      <c r="U216" s="3"/>
      <c r="V216" s="3"/>
      <c r="W216" s="3"/>
      <c r="X216" s="3"/>
      <c r="Y216" s="3"/>
      <c r="Z216" s="3"/>
      <c r="AA216" s="3"/>
      <c r="AB216" s="3"/>
    </row>
    <row r="217" spans="1:28" x14ac:dyDescent="0.35">
      <c r="A217" s="3"/>
      <c r="B217" s="3"/>
      <c r="C217" s="3" t="s">
        <v>1633</v>
      </c>
      <c r="D217" s="3"/>
      <c r="E217" s="3"/>
      <c r="F217" s="3"/>
      <c r="G217" s="3" t="s">
        <v>1679</v>
      </c>
      <c r="H217" s="3"/>
      <c r="I217" s="3"/>
      <c r="J217" s="3"/>
      <c r="K217" s="3"/>
      <c r="L217" s="3"/>
      <c r="M217" s="3"/>
      <c r="N217" s="3"/>
      <c r="O217" s="3"/>
      <c r="P217" s="3"/>
      <c r="Q217" s="3"/>
      <c r="R217" s="3"/>
      <c r="S217" s="3"/>
      <c r="T217" s="3"/>
      <c r="U217" s="3"/>
      <c r="V217" s="3"/>
      <c r="W217" s="3"/>
      <c r="X217" s="3"/>
      <c r="Y217" s="3"/>
      <c r="Z217" s="3"/>
      <c r="AA217" s="3"/>
      <c r="AB217" s="3"/>
    </row>
    <row r="218" spans="1:28" x14ac:dyDescent="0.35">
      <c r="A218" s="3"/>
      <c r="B218" s="3" t="s">
        <v>138</v>
      </c>
      <c r="C218" s="3" t="s">
        <v>1629</v>
      </c>
      <c r="D218" s="3"/>
      <c r="E218" s="3"/>
      <c r="F218" s="3"/>
      <c r="G218" s="3" t="s">
        <v>1680</v>
      </c>
      <c r="H218" s="3"/>
      <c r="I218" s="3"/>
      <c r="J218" s="3"/>
      <c r="K218" s="3"/>
      <c r="L218" s="3"/>
      <c r="M218" s="3"/>
      <c r="N218" s="3"/>
      <c r="O218" s="3"/>
      <c r="P218" s="3"/>
      <c r="Q218" s="3"/>
      <c r="R218" s="3"/>
      <c r="S218" s="3"/>
      <c r="T218" s="3"/>
      <c r="U218" s="3"/>
      <c r="V218" s="3"/>
      <c r="W218" s="3"/>
      <c r="X218" s="3"/>
      <c r="Y218" s="3"/>
      <c r="Z218" s="3"/>
      <c r="AA218" s="3"/>
      <c r="AB218" s="3"/>
    </row>
    <row r="219" spans="1:28" x14ac:dyDescent="0.35">
      <c r="A219" s="3"/>
      <c r="B219" s="3"/>
      <c r="C219" s="3" t="s">
        <v>1631</v>
      </c>
      <c r="D219" s="3"/>
      <c r="E219" s="3"/>
      <c r="F219" s="3"/>
      <c r="G219" s="3" t="s">
        <v>1681</v>
      </c>
      <c r="H219" s="3"/>
      <c r="I219" s="3"/>
      <c r="J219" s="3"/>
      <c r="K219" s="3"/>
      <c r="L219" s="3"/>
      <c r="M219" s="3"/>
      <c r="N219" s="3"/>
      <c r="O219" s="3"/>
      <c r="P219" s="3"/>
      <c r="Q219" s="3"/>
      <c r="R219" s="3"/>
      <c r="S219" s="3"/>
      <c r="T219" s="3"/>
      <c r="U219" s="3"/>
      <c r="V219" s="3"/>
      <c r="W219" s="3"/>
      <c r="X219" s="3"/>
      <c r="Y219" s="3"/>
      <c r="Z219" s="3"/>
      <c r="AA219" s="3"/>
      <c r="AB219" s="3"/>
    </row>
    <row r="220" spans="1:28" x14ac:dyDescent="0.35">
      <c r="A220" s="3"/>
      <c r="B220" s="3"/>
      <c r="C220" s="3" t="s">
        <v>1638</v>
      </c>
      <c r="D220" s="3"/>
      <c r="E220" s="3"/>
      <c r="F220" s="3"/>
      <c r="G220" s="3" t="s">
        <v>1682</v>
      </c>
      <c r="H220" s="3"/>
      <c r="I220" s="3"/>
      <c r="J220" s="3"/>
      <c r="K220" s="3"/>
      <c r="L220" s="3"/>
      <c r="M220" s="3"/>
      <c r="N220" s="3"/>
      <c r="O220" s="3"/>
      <c r="P220" s="3"/>
      <c r="Q220" s="3"/>
      <c r="R220" s="3"/>
      <c r="S220" s="3"/>
      <c r="T220" s="3"/>
      <c r="U220" s="3"/>
      <c r="V220" s="3"/>
      <c r="W220" s="3"/>
      <c r="X220" s="3"/>
      <c r="Y220" s="3"/>
      <c r="Z220" s="3"/>
      <c r="AA220" s="3"/>
      <c r="AB220" s="3"/>
    </row>
    <row r="221" spans="1:28" x14ac:dyDescent="0.35">
      <c r="A221" s="3"/>
      <c r="B221" s="5" t="s">
        <v>140</v>
      </c>
      <c r="C221" s="5" t="s">
        <v>131</v>
      </c>
      <c r="D221" s="5" t="s">
        <v>76</v>
      </c>
      <c r="E221" s="5" t="s">
        <v>522</v>
      </c>
      <c r="F221" s="3"/>
      <c r="G221" s="3"/>
      <c r="H221" s="3"/>
      <c r="I221" s="3"/>
      <c r="J221" s="3"/>
      <c r="K221" s="3"/>
      <c r="L221" s="3"/>
      <c r="M221" s="3"/>
      <c r="N221" s="3"/>
      <c r="O221" s="3"/>
      <c r="P221" s="3"/>
      <c r="Q221" s="3"/>
      <c r="R221" s="3"/>
      <c r="S221" s="3"/>
      <c r="T221" s="3"/>
      <c r="U221" s="3"/>
      <c r="V221" s="3"/>
      <c r="W221" s="3"/>
      <c r="X221" s="3"/>
      <c r="Y221" s="3"/>
      <c r="Z221" s="3"/>
      <c r="AA221" s="3"/>
      <c r="AB221" s="3"/>
    </row>
    <row r="222" spans="1:28" x14ac:dyDescent="0.35">
      <c r="A222" s="3"/>
      <c r="B222" s="3" t="s">
        <v>246</v>
      </c>
      <c r="C222" s="3" t="s">
        <v>61</v>
      </c>
      <c r="D222" s="3"/>
      <c r="E222" s="3"/>
      <c r="F222" s="3"/>
      <c r="G222" s="3" t="s">
        <v>523</v>
      </c>
      <c r="H222" s="3"/>
      <c r="I222" s="3"/>
      <c r="J222" s="3"/>
      <c r="K222" s="3"/>
      <c r="L222" s="3"/>
      <c r="M222" s="3"/>
      <c r="N222" s="3"/>
      <c r="O222" s="3"/>
      <c r="P222" s="3"/>
      <c r="Q222" s="3"/>
      <c r="R222" s="3"/>
      <c r="S222" s="3"/>
      <c r="T222" s="3"/>
      <c r="U222" s="3"/>
      <c r="V222" s="3"/>
      <c r="W222" s="3"/>
      <c r="X222" s="3"/>
      <c r="Y222" s="3"/>
      <c r="Z222" s="3"/>
      <c r="AA222" s="3"/>
      <c r="AB222" s="3"/>
    </row>
    <row r="223" spans="1:28" x14ac:dyDescent="0.35">
      <c r="A223" s="3"/>
      <c r="B223" s="3"/>
      <c r="C223" s="3" t="s">
        <v>68</v>
      </c>
      <c r="D223" s="3"/>
      <c r="E223" s="3"/>
      <c r="F223" s="3"/>
      <c r="G223" s="3" t="s">
        <v>524</v>
      </c>
      <c r="H223" s="3"/>
      <c r="I223" s="3"/>
      <c r="J223" s="3"/>
      <c r="K223" s="3"/>
      <c r="L223" s="3"/>
      <c r="M223" s="3"/>
      <c r="N223" s="3"/>
      <c r="O223" s="3"/>
      <c r="P223" s="3"/>
      <c r="Q223" s="3"/>
      <c r="R223" s="3"/>
      <c r="S223" s="3"/>
      <c r="T223" s="3"/>
      <c r="U223" s="3"/>
      <c r="V223" s="3"/>
      <c r="W223" s="3"/>
      <c r="X223" s="3"/>
      <c r="Y223" s="3"/>
      <c r="Z223" s="3"/>
      <c r="AA223" s="3"/>
      <c r="AB223" s="3"/>
    </row>
    <row r="224" spans="1:28" x14ac:dyDescent="0.35">
      <c r="A224" s="3"/>
      <c r="B224" s="3"/>
      <c r="C224" s="3" t="s">
        <v>64</v>
      </c>
      <c r="D224" s="3"/>
      <c r="E224" s="3"/>
      <c r="F224" s="3"/>
      <c r="G224" s="3" t="s">
        <v>481</v>
      </c>
      <c r="H224" s="3"/>
      <c r="I224" s="3"/>
      <c r="J224" s="3"/>
      <c r="K224" s="3"/>
      <c r="L224" s="3"/>
      <c r="M224" s="3"/>
      <c r="N224" s="3"/>
      <c r="O224" s="3"/>
      <c r="P224" s="3"/>
      <c r="Q224" s="3"/>
      <c r="R224" s="3"/>
      <c r="S224" s="3"/>
      <c r="T224" s="3"/>
      <c r="U224" s="3"/>
      <c r="V224" s="3"/>
      <c r="W224" s="3"/>
      <c r="X224" s="3"/>
      <c r="Y224" s="3"/>
      <c r="Z224" s="3"/>
      <c r="AA224" s="3"/>
      <c r="AB224" s="3"/>
    </row>
    <row r="225" spans="1:28" x14ac:dyDescent="0.35">
      <c r="A225" s="3"/>
      <c r="B225" s="3" t="s">
        <v>249</v>
      </c>
      <c r="C225" s="3" t="s">
        <v>61</v>
      </c>
      <c r="D225" s="3"/>
      <c r="E225" s="3"/>
      <c r="F225" s="3"/>
      <c r="G225" s="3" t="s">
        <v>525</v>
      </c>
      <c r="H225" s="3"/>
      <c r="I225" s="3"/>
      <c r="J225" s="3"/>
      <c r="K225" s="3"/>
      <c r="L225" s="3"/>
      <c r="M225" s="3"/>
      <c r="N225" s="3"/>
      <c r="O225" s="3"/>
      <c r="P225" s="3"/>
      <c r="Q225" s="3"/>
      <c r="R225" s="3"/>
      <c r="S225" s="3"/>
      <c r="T225" s="3"/>
      <c r="U225" s="3"/>
      <c r="V225" s="3"/>
      <c r="W225" s="3"/>
      <c r="X225" s="3"/>
      <c r="Y225" s="3"/>
      <c r="Z225" s="3"/>
      <c r="AA225" s="3"/>
      <c r="AB225" s="3"/>
    </row>
    <row r="226" spans="1:28" x14ac:dyDescent="0.35">
      <c r="A226" s="3"/>
      <c r="B226" s="3"/>
      <c r="C226" s="3" t="s">
        <v>526</v>
      </c>
      <c r="D226" s="3"/>
      <c r="E226" s="3"/>
      <c r="F226" s="3"/>
      <c r="G226" s="3" t="s">
        <v>527</v>
      </c>
      <c r="H226" s="3"/>
      <c r="I226" s="3"/>
      <c r="J226" s="3"/>
      <c r="K226" s="3"/>
      <c r="L226" s="3"/>
      <c r="M226" s="3"/>
      <c r="N226" s="3"/>
      <c r="O226" s="3"/>
      <c r="P226" s="3"/>
      <c r="Q226" s="3"/>
      <c r="R226" s="3"/>
      <c r="S226" s="3"/>
      <c r="T226" s="3"/>
      <c r="U226" s="3"/>
      <c r="V226" s="3"/>
      <c r="W226" s="3"/>
      <c r="X226" s="3"/>
      <c r="Y226" s="3"/>
      <c r="Z226" s="3"/>
      <c r="AA226" s="3"/>
      <c r="AB226" s="3"/>
    </row>
    <row r="227" spans="1:28" x14ac:dyDescent="0.35">
      <c r="A227" s="3"/>
      <c r="B227" s="3"/>
      <c r="C227" s="3" t="s">
        <v>64</v>
      </c>
      <c r="D227" s="3"/>
      <c r="E227" s="3"/>
      <c r="F227" s="3"/>
      <c r="G227" s="3" t="s">
        <v>529</v>
      </c>
      <c r="H227" s="3"/>
      <c r="I227" s="3"/>
      <c r="J227" s="3"/>
      <c r="K227" s="3"/>
      <c r="L227" s="3"/>
      <c r="M227" s="3"/>
      <c r="N227" s="3"/>
      <c r="O227" s="3"/>
      <c r="P227" s="3"/>
      <c r="Q227" s="3"/>
      <c r="R227" s="3"/>
      <c r="S227" s="3"/>
      <c r="T227" s="3"/>
      <c r="U227" s="3"/>
      <c r="V227" s="3"/>
      <c r="W227" s="3"/>
      <c r="X227" s="3"/>
      <c r="Y227" s="3"/>
      <c r="Z227" s="3"/>
      <c r="AA227" s="3"/>
      <c r="AB227" s="3"/>
    </row>
    <row r="228" spans="1:28" x14ac:dyDescent="0.35">
      <c r="A228" s="3"/>
      <c r="B228" s="3" t="s">
        <v>253</v>
      </c>
      <c r="C228" s="3" t="s">
        <v>61</v>
      </c>
      <c r="D228" s="3"/>
      <c r="E228" s="3"/>
      <c r="F228" s="3"/>
      <c r="G228" s="3" t="s">
        <v>530</v>
      </c>
      <c r="H228" s="3"/>
      <c r="I228" s="3"/>
      <c r="J228" s="3"/>
      <c r="K228" s="3"/>
      <c r="L228" s="3"/>
      <c r="M228" s="3"/>
      <c r="N228" s="3"/>
      <c r="O228" s="3"/>
      <c r="P228" s="3"/>
      <c r="Q228" s="3"/>
      <c r="R228" s="3"/>
      <c r="S228" s="3"/>
      <c r="T228" s="3"/>
      <c r="U228" s="3"/>
      <c r="V228" s="3"/>
      <c r="W228" s="3"/>
      <c r="X228" s="3"/>
      <c r="Y228" s="3"/>
      <c r="Z228" s="3"/>
      <c r="AA228" s="3"/>
      <c r="AB228" s="3"/>
    </row>
    <row r="229" spans="1:28" x14ac:dyDescent="0.35">
      <c r="A229" s="3"/>
      <c r="B229" s="3"/>
      <c r="C229" s="3" t="s">
        <v>68</v>
      </c>
      <c r="D229" s="3"/>
      <c r="E229" s="3"/>
      <c r="F229" s="3"/>
      <c r="G229" s="3" t="s">
        <v>531</v>
      </c>
      <c r="H229" s="3"/>
      <c r="I229" s="3"/>
      <c r="J229" s="3"/>
      <c r="K229" s="3"/>
      <c r="L229" s="3"/>
      <c r="M229" s="3"/>
      <c r="N229" s="3"/>
      <c r="O229" s="3"/>
      <c r="P229" s="3"/>
      <c r="Q229" s="3"/>
      <c r="R229" s="3"/>
      <c r="S229" s="3"/>
      <c r="T229" s="3"/>
      <c r="U229" s="3"/>
      <c r="V229" s="3"/>
      <c r="W229" s="3"/>
      <c r="X229" s="3"/>
      <c r="Y229" s="3"/>
      <c r="Z229" s="3"/>
      <c r="AA229" s="3"/>
      <c r="AB229" s="3"/>
    </row>
    <row r="230" spans="1:28" x14ac:dyDescent="0.35">
      <c r="A230" s="3"/>
      <c r="B230" s="3"/>
      <c r="C230" s="3" t="s">
        <v>64</v>
      </c>
      <c r="D230" s="3"/>
      <c r="E230" s="3"/>
      <c r="F230" s="3"/>
      <c r="G230" s="3" t="s">
        <v>529</v>
      </c>
      <c r="H230" s="3"/>
      <c r="I230" s="3"/>
      <c r="J230" s="3"/>
      <c r="K230" s="3"/>
      <c r="L230" s="3"/>
      <c r="M230" s="3"/>
      <c r="N230" s="3"/>
      <c r="O230" s="3"/>
      <c r="P230" s="3"/>
      <c r="Q230" s="3"/>
      <c r="R230" s="3"/>
      <c r="S230" s="3"/>
      <c r="T230" s="3"/>
      <c r="U230" s="3"/>
      <c r="V230" s="3"/>
      <c r="W230" s="3"/>
      <c r="X230" s="3"/>
      <c r="Y230" s="3"/>
      <c r="Z230" s="3"/>
      <c r="AA230" s="3"/>
      <c r="AB230" s="3"/>
    </row>
    <row r="231" spans="1:28" x14ac:dyDescent="0.35">
      <c r="A231" s="3"/>
      <c r="B231" s="3" t="s">
        <v>254</v>
      </c>
      <c r="C231" s="3" t="s">
        <v>1672</v>
      </c>
      <c r="D231" s="3"/>
      <c r="E231" s="3"/>
      <c r="F231" s="3"/>
      <c r="G231" s="3" t="s">
        <v>1683</v>
      </c>
      <c r="H231" s="3"/>
      <c r="I231" s="3"/>
      <c r="J231" s="3"/>
      <c r="K231" s="3"/>
      <c r="L231" s="3"/>
      <c r="M231" s="3"/>
      <c r="N231" s="3"/>
      <c r="O231" s="3"/>
      <c r="P231" s="3"/>
      <c r="Q231" s="3"/>
      <c r="R231" s="3"/>
      <c r="S231" s="3"/>
      <c r="T231" s="3"/>
      <c r="U231" s="3"/>
      <c r="V231" s="3"/>
      <c r="W231" s="3"/>
      <c r="X231" s="3"/>
      <c r="Y231" s="3"/>
      <c r="Z231" s="3"/>
      <c r="AA231" s="3"/>
      <c r="AB231" s="3"/>
    </row>
    <row r="232" spans="1:28" x14ac:dyDescent="0.35">
      <c r="A232" s="3"/>
      <c r="B232" s="3"/>
      <c r="C232" s="3" t="s">
        <v>258</v>
      </c>
      <c r="D232" s="3"/>
      <c r="E232" s="3"/>
      <c r="F232" s="3"/>
      <c r="G232" s="3" t="s">
        <v>541</v>
      </c>
      <c r="H232" s="3"/>
      <c r="I232" s="3"/>
      <c r="J232" s="3"/>
      <c r="K232" s="3"/>
      <c r="L232" s="3"/>
      <c r="M232" s="3"/>
      <c r="N232" s="3"/>
      <c r="O232" s="3"/>
      <c r="P232" s="3"/>
      <c r="Q232" s="3"/>
      <c r="R232" s="3"/>
      <c r="S232" s="3"/>
      <c r="T232" s="3"/>
      <c r="U232" s="3"/>
      <c r="V232" s="3"/>
      <c r="W232" s="3"/>
      <c r="X232" s="3"/>
      <c r="Y232" s="3"/>
      <c r="Z232" s="3"/>
      <c r="AA232" s="3"/>
      <c r="AB232" s="3"/>
    </row>
    <row r="233" spans="1:28" x14ac:dyDescent="0.35">
      <c r="A233" s="3"/>
      <c r="B233" s="3" t="s">
        <v>255</v>
      </c>
      <c r="C233" s="3" t="s">
        <v>1672</v>
      </c>
      <c r="D233" s="3"/>
      <c r="E233" s="3"/>
      <c r="F233" s="3"/>
      <c r="G233" s="3" t="s">
        <v>1683</v>
      </c>
      <c r="H233" s="3"/>
      <c r="I233" s="3"/>
      <c r="J233" s="3"/>
      <c r="K233" s="3"/>
      <c r="L233" s="3"/>
      <c r="M233" s="3"/>
      <c r="N233" s="3"/>
      <c r="O233" s="3"/>
      <c r="P233" s="3"/>
      <c r="Q233" s="3"/>
      <c r="R233" s="3"/>
      <c r="S233" s="3"/>
      <c r="T233" s="3"/>
      <c r="U233" s="3"/>
      <c r="V233" s="3"/>
      <c r="W233" s="3"/>
      <c r="X233" s="3"/>
      <c r="Y233" s="3"/>
      <c r="Z233" s="3"/>
      <c r="AA233" s="3"/>
      <c r="AB233" s="3"/>
    </row>
    <row r="234" spans="1:28" x14ac:dyDescent="0.35">
      <c r="A234" s="3"/>
      <c r="B234" s="3"/>
      <c r="C234" s="3" t="s">
        <v>258</v>
      </c>
      <c r="D234" s="3"/>
      <c r="E234" s="3"/>
      <c r="F234" s="3"/>
      <c r="G234" s="3" t="s">
        <v>541</v>
      </c>
      <c r="H234" s="3"/>
      <c r="I234" s="3"/>
      <c r="J234" s="3"/>
      <c r="K234" s="3"/>
      <c r="L234" s="3"/>
      <c r="M234" s="3"/>
      <c r="N234" s="3"/>
      <c r="O234" s="3"/>
      <c r="P234" s="3"/>
      <c r="Q234" s="3"/>
      <c r="R234" s="3"/>
      <c r="S234" s="3"/>
      <c r="T234" s="3"/>
      <c r="U234" s="3"/>
      <c r="V234" s="3"/>
      <c r="W234" s="3"/>
      <c r="X234" s="3"/>
      <c r="Y234" s="3"/>
      <c r="Z234" s="3"/>
      <c r="AA234" s="3"/>
      <c r="AB234" s="3"/>
    </row>
    <row r="235" spans="1:28" x14ac:dyDescent="0.35">
      <c r="A235" s="3"/>
      <c r="B235" s="3" t="s">
        <v>256</v>
      </c>
      <c r="C235" s="3" t="s">
        <v>1675</v>
      </c>
      <c r="D235" s="3"/>
      <c r="E235" s="3"/>
      <c r="F235" s="3"/>
      <c r="G235" s="3" t="s">
        <v>1676</v>
      </c>
      <c r="H235" s="3"/>
      <c r="I235" s="3"/>
      <c r="J235" s="3"/>
      <c r="K235" s="3"/>
      <c r="L235" s="3"/>
      <c r="M235" s="3"/>
      <c r="N235" s="3"/>
      <c r="O235" s="3"/>
      <c r="P235" s="3"/>
      <c r="Q235" s="3"/>
      <c r="R235" s="3"/>
      <c r="S235" s="3"/>
      <c r="T235" s="3"/>
      <c r="U235" s="3"/>
      <c r="V235" s="3"/>
      <c r="W235" s="3"/>
      <c r="X235" s="3"/>
      <c r="Y235" s="3"/>
      <c r="Z235" s="3"/>
      <c r="AA235" s="3"/>
      <c r="AB235" s="3"/>
    </row>
    <row r="236" spans="1:28" x14ac:dyDescent="0.35">
      <c r="A236" s="3"/>
      <c r="B236" s="3"/>
      <c r="C236" s="3" t="s">
        <v>258</v>
      </c>
      <c r="D236" s="3"/>
      <c r="E236" s="3"/>
      <c r="F236" s="3"/>
      <c r="G236" s="3" t="s">
        <v>541</v>
      </c>
      <c r="H236" s="3"/>
      <c r="I236" s="3"/>
      <c r="J236" s="3"/>
      <c r="K236" s="3"/>
      <c r="L236" s="3"/>
      <c r="M236" s="3"/>
      <c r="N236" s="3"/>
      <c r="O236" s="3"/>
      <c r="P236" s="3"/>
      <c r="Q236" s="3"/>
      <c r="R236" s="3"/>
      <c r="S236" s="3"/>
      <c r="T236" s="3"/>
      <c r="U236" s="3"/>
      <c r="V236" s="3"/>
      <c r="W236" s="3"/>
      <c r="X236" s="3"/>
      <c r="Y236" s="3"/>
      <c r="Z236" s="3"/>
      <c r="AA236" s="3"/>
      <c r="AB236" s="3"/>
    </row>
    <row r="237" spans="1:28" x14ac:dyDescent="0.35">
      <c r="A237" s="3"/>
      <c r="B237" s="3" t="s">
        <v>257</v>
      </c>
      <c r="C237" s="3" t="s">
        <v>536</v>
      </c>
      <c r="D237" s="3"/>
      <c r="E237" s="3"/>
      <c r="F237" s="3"/>
      <c r="G237" s="3" t="s">
        <v>537</v>
      </c>
      <c r="H237" s="3"/>
      <c r="I237" s="3"/>
      <c r="J237" s="3"/>
      <c r="K237" s="3"/>
      <c r="L237" s="3"/>
      <c r="M237" s="3"/>
      <c r="N237" s="3"/>
      <c r="O237" s="3"/>
      <c r="P237" s="3"/>
      <c r="Q237" s="3"/>
      <c r="R237" s="3"/>
      <c r="S237" s="3"/>
      <c r="T237" s="3"/>
      <c r="U237" s="3"/>
      <c r="V237" s="3"/>
      <c r="W237" s="3"/>
      <c r="X237" s="3"/>
      <c r="Y237" s="3"/>
      <c r="Z237" s="3"/>
      <c r="AA237" s="3"/>
      <c r="AB237" s="3"/>
    </row>
    <row r="238" spans="1:28" x14ac:dyDescent="0.35">
      <c r="A238" s="3"/>
      <c r="B238" s="3"/>
      <c r="C238" s="3" t="s">
        <v>258</v>
      </c>
      <c r="D238" s="3"/>
      <c r="E238" s="3"/>
      <c r="F238" s="3"/>
      <c r="G238" s="3" t="s">
        <v>541</v>
      </c>
      <c r="H238" s="3"/>
      <c r="I238" s="3"/>
      <c r="J238" s="3"/>
      <c r="K238" s="3"/>
      <c r="L238" s="3"/>
      <c r="M238" s="3"/>
      <c r="N238" s="3"/>
      <c r="O238" s="3"/>
      <c r="P238" s="3"/>
      <c r="Q238" s="3"/>
      <c r="R238" s="3"/>
      <c r="S238" s="3"/>
      <c r="T238" s="3"/>
      <c r="U238" s="3"/>
      <c r="V238" s="3"/>
      <c r="W238" s="3"/>
      <c r="X238" s="3"/>
      <c r="Y238" s="3"/>
      <c r="Z238" s="3"/>
      <c r="AA238" s="3"/>
      <c r="AB238" s="3"/>
    </row>
    <row r="239" spans="1:28" x14ac:dyDescent="0.35">
      <c r="A239" s="3"/>
      <c r="B239" s="3" t="s">
        <v>261</v>
      </c>
      <c r="C239" s="3" t="s">
        <v>536</v>
      </c>
      <c r="D239" s="3"/>
      <c r="E239" s="3"/>
      <c r="F239" s="3"/>
      <c r="G239" s="3" t="s">
        <v>542</v>
      </c>
      <c r="H239" s="3"/>
      <c r="I239" s="3"/>
      <c r="J239" s="3"/>
      <c r="K239" s="3"/>
      <c r="L239" s="3"/>
      <c r="M239" s="3"/>
      <c r="N239" s="3"/>
      <c r="O239" s="3"/>
      <c r="P239" s="3"/>
      <c r="Q239" s="3"/>
      <c r="R239" s="3"/>
      <c r="S239" s="3"/>
      <c r="T239" s="3"/>
      <c r="U239" s="3"/>
      <c r="V239" s="3"/>
      <c r="W239" s="3"/>
      <c r="X239" s="3"/>
      <c r="Y239" s="3"/>
      <c r="Z239" s="3"/>
      <c r="AA239" s="3"/>
      <c r="AB239" s="3"/>
    </row>
    <row r="240" spans="1:28" x14ac:dyDescent="0.35">
      <c r="A240" s="3"/>
      <c r="B240" s="3"/>
      <c r="C240" s="3" t="s">
        <v>258</v>
      </c>
      <c r="D240" s="3"/>
      <c r="E240" s="3"/>
      <c r="F240" s="3"/>
      <c r="G240" s="3" t="s">
        <v>541</v>
      </c>
      <c r="H240" s="3"/>
      <c r="I240" s="3"/>
      <c r="J240" s="3"/>
      <c r="K240" s="3"/>
      <c r="L240" s="3"/>
      <c r="M240" s="3"/>
      <c r="N240" s="3"/>
      <c r="O240" s="3"/>
      <c r="P240" s="3"/>
      <c r="Q240" s="3"/>
      <c r="R240" s="3"/>
      <c r="S240" s="3"/>
      <c r="T240" s="3"/>
      <c r="U240" s="3"/>
      <c r="V240" s="3"/>
      <c r="W240" s="3"/>
      <c r="X240" s="3"/>
      <c r="Y240" s="3"/>
      <c r="Z240" s="3"/>
      <c r="AA240" s="3"/>
      <c r="AB240" s="3"/>
    </row>
    <row r="241" spans="1:28" x14ac:dyDescent="0.35">
      <c r="A241" s="3"/>
      <c r="B241" s="3" t="s">
        <v>263</v>
      </c>
      <c r="C241" s="3" t="s">
        <v>545</v>
      </c>
      <c r="D241" s="3"/>
      <c r="E241" s="3"/>
      <c r="F241" s="3"/>
      <c r="G241" s="3" t="s">
        <v>546</v>
      </c>
      <c r="H241" s="3"/>
      <c r="I241" s="3"/>
      <c r="J241" s="3"/>
      <c r="K241" s="3"/>
      <c r="L241" s="3"/>
      <c r="M241" s="3"/>
      <c r="N241" s="3"/>
      <c r="O241" s="3"/>
      <c r="P241" s="3"/>
      <c r="Q241" s="3"/>
      <c r="R241" s="3"/>
      <c r="S241" s="3"/>
      <c r="T241" s="3"/>
      <c r="U241" s="3"/>
      <c r="V241" s="3"/>
      <c r="W241" s="3"/>
      <c r="X241" s="3"/>
      <c r="Y241" s="3"/>
      <c r="Z241" s="3"/>
      <c r="AA241" s="3"/>
      <c r="AB241" s="3"/>
    </row>
    <row r="242" spans="1:28" x14ac:dyDescent="0.35">
      <c r="A242" s="3"/>
      <c r="B242" s="3"/>
      <c r="C242" s="3" t="s">
        <v>258</v>
      </c>
      <c r="D242" s="3"/>
      <c r="E242" s="3"/>
      <c r="F242" s="3"/>
      <c r="G242" s="3" t="s">
        <v>541</v>
      </c>
      <c r="H242" s="3"/>
      <c r="I242" s="3"/>
      <c r="J242" s="3"/>
      <c r="K242" s="3"/>
      <c r="L242" s="3"/>
      <c r="M242" s="3"/>
      <c r="N242" s="3"/>
      <c r="O242" s="3"/>
      <c r="P242" s="3"/>
      <c r="Q242" s="3"/>
      <c r="R242" s="3"/>
      <c r="S242" s="3"/>
      <c r="T242" s="3"/>
      <c r="U242" s="3"/>
      <c r="V242" s="3"/>
      <c r="W242" s="3"/>
      <c r="X242" s="3"/>
      <c r="Y242" s="3"/>
      <c r="Z242" s="3"/>
      <c r="AA242" s="3"/>
      <c r="AB242" s="3"/>
    </row>
    <row r="243" spans="1:28" x14ac:dyDescent="0.35">
      <c r="A243" s="3"/>
      <c r="B243" s="3" t="s">
        <v>264</v>
      </c>
      <c r="C243" s="3" t="s">
        <v>536</v>
      </c>
      <c r="D243" s="3" t="s">
        <v>265</v>
      </c>
      <c r="E243" s="3" t="s">
        <v>266</v>
      </c>
      <c r="F243" s="3"/>
      <c r="G243" s="3" t="s">
        <v>551</v>
      </c>
      <c r="H243" s="3"/>
      <c r="I243" s="3"/>
      <c r="J243" s="3"/>
      <c r="K243" s="3"/>
      <c r="L243" s="3"/>
      <c r="M243" s="3"/>
      <c r="N243" s="3"/>
      <c r="O243" s="3"/>
      <c r="P243" s="3"/>
      <c r="Q243" s="3"/>
      <c r="R243" s="3"/>
      <c r="S243" s="3"/>
      <c r="T243" s="3"/>
      <c r="U243" s="3"/>
      <c r="V243" s="3"/>
      <c r="W243" s="3"/>
      <c r="X243" s="3"/>
      <c r="Y243" s="3"/>
      <c r="Z243" s="3"/>
      <c r="AA243" s="3"/>
      <c r="AB243" s="3"/>
    </row>
    <row r="244" spans="1:28" x14ac:dyDescent="0.35">
      <c r="A244" s="3"/>
      <c r="B244" s="3" t="s">
        <v>267</v>
      </c>
      <c r="C244" s="3" t="s">
        <v>61</v>
      </c>
      <c r="D244" s="3"/>
      <c r="E244" s="3"/>
      <c r="F244" s="3"/>
      <c r="G244" s="3" t="s">
        <v>555</v>
      </c>
      <c r="H244" s="3"/>
      <c r="I244" s="3"/>
      <c r="J244" s="3"/>
      <c r="K244" s="3"/>
      <c r="L244" s="3"/>
      <c r="M244" s="3"/>
      <c r="N244" s="3"/>
      <c r="O244" s="3"/>
      <c r="P244" s="3"/>
      <c r="Q244" s="3"/>
      <c r="R244" s="3"/>
      <c r="S244" s="3"/>
      <c r="T244" s="3"/>
      <c r="U244" s="3"/>
      <c r="V244" s="3"/>
      <c r="W244" s="3"/>
      <c r="X244" s="3"/>
      <c r="Y244" s="3"/>
      <c r="Z244" s="3"/>
      <c r="AA244" s="3"/>
      <c r="AB244" s="3"/>
    </row>
    <row r="245" spans="1:28" x14ac:dyDescent="0.35">
      <c r="A245" s="3"/>
      <c r="B245" s="3"/>
      <c r="C245" s="3" t="s">
        <v>494</v>
      </c>
      <c r="D245" s="3"/>
      <c r="E245" s="3"/>
      <c r="F245" s="3"/>
      <c r="G245" s="3" t="s">
        <v>556</v>
      </c>
      <c r="H245" s="3"/>
      <c r="I245" s="3"/>
      <c r="J245" s="3"/>
      <c r="K245" s="3"/>
      <c r="L245" s="3"/>
      <c r="M245" s="3"/>
      <c r="N245" s="3"/>
      <c r="O245" s="3"/>
      <c r="P245" s="3"/>
      <c r="Q245" s="3"/>
      <c r="R245" s="3"/>
      <c r="S245" s="3"/>
      <c r="T245" s="3"/>
      <c r="U245" s="3"/>
      <c r="V245" s="3"/>
      <c r="W245" s="3"/>
      <c r="X245" s="3"/>
      <c r="Y245" s="3"/>
      <c r="Z245" s="3"/>
      <c r="AA245" s="3"/>
      <c r="AB245" s="3"/>
    </row>
    <row r="246" spans="1:28" x14ac:dyDescent="0.35">
      <c r="A246" s="3"/>
      <c r="B246" s="3" t="s">
        <v>268</v>
      </c>
      <c r="C246" s="3" t="s">
        <v>536</v>
      </c>
      <c r="D246" s="3" t="s">
        <v>265</v>
      </c>
      <c r="E246" s="3" t="s">
        <v>266</v>
      </c>
      <c r="F246" s="3"/>
      <c r="G246" s="3" t="s">
        <v>560</v>
      </c>
      <c r="H246" s="3"/>
      <c r="I246" s="3"/>
      <c r="J246" s="3"/>
      <c r="K246" s="3"/>
      <c r="L246" s="3"/>
      <c r="M246" s="3"/>
      <c r="N246" s="3"/>
      <c r="O246" s="3"/>
      <c r="P246" s="3"/>
      <c r="Q246" s="3"/>
      <c r="R246" s="3"/>
      <c r="S246" s="3"/>
      <c r="T246" s="3"/>
      <c r="U246" s="3"/>
      <c r="V246" s="3"/>
      <c r="W246" s="3"/>
      <c r="X246" s="3"/>
      <c r="Y246" s="3"/>
      <c r="Z246" s="3"/>
      <c r="AA246" s="3"/>
      <c r="AB246" s="3"/>
    </row>
    <row r="247" spans="1:28" x14ac:dyDescent="0.35">
      <c r="A247" s="3"/>
      <c r="B247" s="3" t="s">
        <v>141</v>
      </c>
      <c r="C247" s="3" t="s">
        <v>142</v>
      </c>
      <c r="D247" s="3" t="s">
        <v>380</v>
      </c>
      <c r="E247" s="3" t="s">
        <v>144</v>
      </c>
      <c r="F247" s="3"/>
      <c r="G247" s="3" t="s">
        <v>565</v>
      </c>
      <c r="H247" s="3"/>
      <c r="I247" s="3"/>
      <c r="J247" s="3"/>
      <c r="K247" s="3"/>
      <c r="L247" s="3"/>
      <c r="M247" s="3"/>
      <c r="N247" s="3"/>
      <c r="O247" s="3"/>
      <c r="P247" s="3"/>
      <c r="Q247" s="3"/>
      <c r="R247" s="3"/>
      <c r="S247" s="3"/>
      <c r="T247" s="3"/>
      <c r="U247" s="3"/>
      <c r="V247" s="3"/>
      <c r="W247" s="3"/>
      <c r="X247" s="3"/>
      <c r="Y247" s="3"/>
      <c r="Z247" s="3"/>
      <c r="AA247" s="3"/>
      <c r="AB247" s="3"/>
    </row>
    <row r="248" spans="1:28" x14ac:dyDescent="0.35">
      <c r="A248" s="3"/>
      <c r="B248" s="3"/>
      <c r="C248" s="3" t="s">
        <v>148</v>
      </c>
      <c r="D248" s="3"/>
      <c r="E248" s="3"/>
      <c r="F248" s="3"/>
      <c r="G248" s="3" t="s">
        <v>566</v>
      </c>
      <c r="H248" s="3"/>
      <c r="I248" s="3"/>
      <c r="J248" s="3"/>
      <c r="K248" s="3"/>
      <c r="L248" s="3"/>
      <c r="M248" s="3"/>
      <c r="N248" s="3"/>
      <c r="O248" s="3"/>
      <c r="P248" s="3"/>
      <c r="Q248" s="3"/>
      <c r="R248" s="3"/>
      <c r="S248" s="3"/>
      <c r="T248" s="3"/>
      <c r="U248" s="3"/>
      <c r="V248" s="3"/>
      <c r="W248" s="3"/>
      <c r="X248" s="3"/>
      <c r="Y248" s="3"/>
      <c r="Z248" s="3"/>
      <c r="AA248" s="3"/>
      <c r="AB248" s="3"/>
    </row>
    <row r="249" spans="1:28" x14ac:dyDescent="0.35">
      <c r="A249" s="3"/>
      <c r="B249" s="3"/>
      <c r="C249" s="3" t="s">
        <v>155</v>
      </c>
      <c r="D249" s="3"/>
      <c r="E249" s="3"/>
      <c r="F249" s="3"/>
      <c r="G249" s="3" t="s">
        <v>571</v>
      </c>
      <c r="H249" s="3"/>
      <c r="I249" s="3"/>
      <c r="J249" s="3"/>
      <c r="K249" s="3"/>
      <c r="L249" s="3"/>
      <c r="M249" s="3"/>
      <c r="N249" s="3"/>
      <c r="O249" s="3"/>
      <c r="P249" s="3"/>
      <c r="Q249" s="3"/>
      <c r="R249" s="3"/>
      <c r="S249" s="3"/>
      <c r="T249" s="3"/>
      <c r="U249" s="3"/>
      <c r="V249" s="3"/>
      <c r="W249" s="3"/>
      <c r="X249" s="3"/>
      <c r="Y249" s="3"/>
      <c r="Z249" s="3"/>
      <c r="AA249" s="3"/>
      <c r="AB249" s="3"/>
    </row>
    <row r="250" spans="1:28" x14ac:dyDescent="0.35">
      <c r="A250" s="3"/>
      <c r="B250" s="3" t="s">
        <v>162</v>
      </c>
      <c r="C250" s="3" t="s">
        <v>163</v>
      </c>
      <c r="D250" s="3"/>
      <c r="E250" s="3"/>
      <c r="F250" s="3"/>
      <c r="G250" s="3" t="s">
        <v>577</v>
      </c>
      <c r="H250" s="3"/>
      <c r="I250" s="3"/>
      <c r="J250" s="3"/>
      <c r="K250" s="3"/>
      <c r="L250" s="3"/>
      <c r="M250" s="3"/>
      <c r="N250" s="3"/>
      <c r="O250" s="3"/>
      <c r="P250" s="3"/>
      <c r="Q250" s="3"/>
      <c r="R250" s="3"/>
      <c r="S250" s="3"/>
      <c r="T250" s="3"/>
      <c r="U250" s="3"/>
      <c r="V250" s="3"/>
      <c r="W250" s="3"/>
      <c r="X250" s="3"/>
      <c r="Y250" s="3"/>
      <c r="Z250" s="3"/>
      <c r="AA250" s="3"/>
      <c r="AB250" s="3"/>
    </row>
    <row r="251" spans="1:28" x14ac:dyDescent="0.35">
      <c r="A251" s="3"/>
      <c r="B251" s="3" t="s">
        <v>270</v>
      </c>
      <c r="C251" s="3" t="s">
        <v>536</v>
      </c>
      <c r="D251" s="3" t="s">
        <v>265</v>
      </c>
      <c r="E251" s="3" t="s">
        <v>266</v>
      </c>
      <c r="F251" s="3"/>
      <c r="G251" s="3" t="s">
        <v>578</v>
      </c>
      <c r="H251" s="3"/>
      <c r="I251" s="3"/>
      <c r="J251" s="3"/>
      <c r="K251" s="3"/>
      <c r="L251" s="3"/>
      <c r="M251" s="3"/>
      <c r="N251" s="3"/>
      <c r="O251" s="3"/>
      <c r="P251" s="3"/>
      <c r="Q251" s="3"/>
      <c r="R251" s="3"/>
      <c r="S251" s="3"/>
      <c r="T251" s="3"/>
      <c r="U251" s="3"/>
      <c r="V251" s="3"/>
      <c r="W251" s="3"/>
      <c r="X251" s="3"/>
      <c r="Y251" s="3"/>
      <c r="Z251" s="3"/>
      <c r="AA251" s="3"/>
      <c r="AB251" s="3"/>
    </row>
    <row r="252" spans="1:28" x14ac:dyDescent="0.35">
      <c r="A252" s="3"/>
      <c r="B252" s="3"/>
      <c r="C252" s="3" t="s">
        <v>580</v>
      </c>
      <c r="D252" s="3"/>
      <c r="E252" s="3"/>
      <c r="F252" s="3"/>
      <c r="G252" s="3" t="s">
        <v>581</v>
      </c>
      <c r="H252" s="3"/>
      <c r="I252" s="3"/>
      <c r="J252" s="3"/>
      <c r="K252" s="3"/>
      <c r="L252" s="3"/>
      <c r="M252" s="3"/>
      <c r="N252" s="3"/>
      <c r="O252" s="3"/>
      <c r="P252" s="3"/>
      <c r="Q252" s="3"/>
      <c r="R252" s="3"/>
      <c r="S252" s="3"/>
      <c r="T252" s="3"/>
      <c r="U252" s="3"/>
      <c r="V252" s="3"/>
      <c r="W252" s="3"/>
      <c r="X252" s="3"/>
      <c r="Y252" s="3"/>
      <c r="Z252" s="3"/>
      <c r="AA252" s="3"/>
      <c r="AB252" s="3"/>
    </row>
    <row r="253" spans="1:28" x14ac:dyDescent="0.35">
      <c r="A253" s="3"/>
      <c r="B253" s="3"/>
      <c r="C253" s="3" t="s">
        <v>586</v>
      </c>
      <c r="D253" s="3"/>
      <c r="E253" s="3"/>
      <c r="F253" s="3"/>
      <c r="G253" s="3" t="s">
        <v>587</v>
      </c>
      <c r="H253" s="3"/>
      <c r="I253" s="3"/>
      <c r="J253" s="3"/>
      <c r="K253" s="3"/>
      <c r="L253" s="3"/>
      <c r="M253" s="3"/>
      <c r="N253" s="3"/>
      <c r="O253" s="3"/>
      <c r="P253" s="3"/>
      <c r="Q253" s="3"/>
      <c r="R253" s="3"/>
      <c r="S253" s="3"/>
      <c r="T253" s="3"/>
      <c r="U253" s="3"/>
      <c r="V253" s="3"/>
      <c r="W253" s="3"/>
      <c r="X253" s="3"/>
      <c r="Y253" s="3"/>
      <c r="Z253" s="3"/>
      <c r="AA253" s="3"/>
      <c r="AB253" s="3"/>
    </row>
    <row r="254" spans="1:28" x14ac:dyDescent="0.35">
      <c r="A254" s="3"/>
      <c r="B254" s="3" t="s">
        <v>271</v>
      </c>
      <c r="C254" s="3" t="s">
        <v>163</v>
      </c>
      <c r="D254" s="3"/>
      <c r="E254" s="3"/>
      <c r="F254" s="3"/>
      <c r="G254" s="3" t="s">
        <v>593</v>
      </c>
      <c r="H254" s="3"/>
      <c r="I254" s="3"/>
      <c r="J254" s="3"/>
      <c r="K254" s="3"/>
      <c r="L254" s="3"/>
      <c r="M254" s="3"/>
      <c r="N254" s="3"/>
      <c r="O254" s="3"/>
      <c r="P254" s="3"/>
      <c r="Q254" s="3"/>
      <c r="R254" s="3"/>
      <c r="S254" s="3"/>
      <c r="T254" s="3"/>
      <c r="U254" s="3"/>
      <c r="V254" s="3"/>
      <c r="W254" s="3"/>
      <c r="X254" s="3"/>
      <c r="Y254" s="3"/>
      <c r="Z254" s="3"/>
      <c r="AA254" s="3"/>
      <c r="AB254" s="3"/>
    </row>
    <row r="255" spans="1:28" x14ac:dyDescent="0.35">
      <c r="A255" s="3"/>
      <c r="B255" s="3" t="s">
        <v>275</v>
      </c>
      <c r="C255" s="3" t="s">
        <v>545</v>
      </c>
      <c r="D255" s="3" t="s">
        <v>265</v>
      </c>
      <c r="E255" s="3" t="s">
        <v>266</v>
      </c>
      <c r="F255" s="3"/>
      <c r="G255" s="3" t="s">
        <v>594</v>
      </c>
      <c r="H255" s="3"/>
      <c r="I255" s="3"/>
      <c r="J255" s="3"/>
      <c r="K255" s="3"/>
      <c r="L255" s="3"/>
      <c r="M255" s="3"/>
      <c r="N255" s="3"/>
      <c r="O255" s="3"/>
      <c r="P255" s="3"/>
      <c r="Q255" s="3"/>
      <c r="R255" s="3"/>
      <c r="S255" s="3"/>
      <c r="T255" s="3"/>
      <c r="U255" s="3"/>
      <c r="V255" s="3"/>
      <c r="W255" s="3"/>
      <c r="X255" s="3"/>
      <c r="Y255" s="3"/>
      <c r="Z255" s="3"/>
      <c r="AA255" s="3"/>
      <c r="AB255" s="3"/>
    </row>
    <row r="256" spans="1:28" x14ac:dyDescent="0.35">
      <c r="A256" s="3"/>
      <c r="B256" s="3"/>
      <c r="C256" s="3" t="s">
        <v>597</v>
      </c>
      <c r="D256" s="3"/>
      <c r="E256" s="3"/>
      <c r="F256" s="3"/>
      <c r="G256" s="3" t="s">
        <v>598</v>
      </c>
      <c r="H256" s="3"/>
      <c r="I256" s="3"/>
      <c r="J256" s="3"/>
      <c r="K256" s="3"/>
      <c r="L256" s="3"/>
      <c r="M256" s="3"/>
      <c r="N256" s="3"/>
      <c r="O256" s="3"/>
      <c r="P256" s="3"/>
      <c r="Q256" s="3"/>
      <c r="R256" s="3"/>
      <c r="S256" s="3"/>
      <c r="T256" s="3"/>
      <c r="U256" s="3"/>
      <c r="V256" s="3"/>
      <c r="W256" s="3"/>
      <c r="X256" s="3"/>
      <c r="Y256" s="3"/>
      <c r="Z256" s="3"/>
      <c r="AA256" s="3"/>
      <c r="AB256" s="3"/>
    </row>
    <row r="257" spans="1:28" x14ac:dyDescent="0.35">
      <c r="A257" s="3"/>
      <c r="B257" s="3"/>
      <c r="C257" s="3" t="s">
        <v>602</v>
      </c>
      <c r="D257" s="3"/>
      <c r="E257" s="3"/>
      <c r="F257" s="3"/>
      <c r="G257" s="3" t="s">
        <v>603</v>
      </c>
      <c r="H257" s="3"/>
      <c r="I257" s="3"/>
      <c r="J257" s="3"/>
      <c r="K257" s="3"/>
      <c r="L257" s="3"/>
      <c r="M257" s="3"/>
      <c r="N257" s="3"/>
      <c r="O257" s="3"/>
      <c r="P257" s="3"/>
      <c r="Q257" s="3"/>
      <c r="R257" s="3"/>
      <c r="S257" s="3"/>
      <c r="T257" s="3"/>
      <c r="U257" s="3"/>
      <c r="V257" s="3"/>
      <c r="W257" s="3"/>
      <c r="X257" s="3"/>
      <c r="Y257" s="3"/>
      <c r="Z257" s="3"/>
      <c r="AA257" s="3"/>
      <c r="AB257" s="3"/>
    </row>
    <row r="258" spans="1:28" x14ac:dyDescent="0.35">
      <c r="A258" s="3"/>
      <c r="B258" s="3" t="s">
        <v>276</v>
      </c>
      <c r="C258" s="3" t="s">
        <v>163</v>
      </c>
      <c r="D258" s="3"/>
      <c r="E258" s="3"/>
      <c r="F258" s="3"/>
      <c r="G258" s="3" t="s">
        <v>609</v>
      </c>
      <c r="H258" s="3"/>
      <c r="I258" s="3"/>
      <c r="J258" s="3"/>
      <c r="K258" s="3"/>
      <c r="L258" s="3"/>
      <c r="M258" s="3"/>
      <c r="N258" s="3"/>
      <c r="O258" s="3"/>
      <c r="P258" s="3"/>
      <c r="Q258" s="3"/>
      <c r="R258" s="3"/>
      <c r="S258" s="3"/>
      <c r="T258" s="3"/>
      <c r="U258" s="3"/>
      <c r="V258" s="3"/>
      <c r="W258" s="3"/>
      <c r="X258" s="3"/>
      <c r="Y258" s="3"/>
      <c r="Z258" s="3"/>
      <c r="AA258" s="3"/>
      <c r="AB258" s="3"/>
    </row>
    <row r="259" spans="1:28" x14ac:dyDescent="0.35">
      <c r="A259" s="3"/>
      <c r="B259" s="3" t="s">
        <v>173</v>
      </c>
      <c r="C259" s="3" t="s">
        <v>142</v>
      </c>
      <c r="D259" s="3" t="s">
        <v>423</v>
      </c>
      <c r="E259" s="3" t="s">
        <v>175</v>
      </c>
      <c r="F259" s="3"/>
      <c r="G259" s="3" t="s">
        <v>610</v>
      </c>
      <c r="H259" s="3"/>
      <c r="I259" s="3"/>
      <c r="J259" s="3"/>
      <c r="K259" s="3"/>
      <c r="L259" s="3"/>
      <c r="M259" s="3"/>
      <c r="N259" s="3"/>
      <c r="O259" s="3"/>
      <c r="P259" s="3"/>
      <c r="Q259" s="3"/>
      <c r="R259" s="3"/>
      <c r="S259" s="3"/>
      <c r="T259" s="3"/>
      <c r="U259" s="3"/>
      <c r="V259" s="3"/>
      <c r="W259" s="3"/>
      <c r="X259" s="3"/>
      <c r="Y259" s="3"/>
      <c r="Z259" s="3"/>
      <c r="AA259" s="3"/>
      <c r="AB259" s="3"/>
    </row>
    <row r="260" spans="1:28" x14ac:dyDescent="0.35">
      <c r="A260" s="3"/>
      <c r="B260" s="3"/>
      <c r="C260" s="3" t="s">
        <v>148</v>
      </c>
      <c r="D260" s="3"/>
      <c r="E260" s="3"/>
      <c r="F260" s="3"/>
      <c r="G260" s="3" t="s">
        <v>612</v>
      </c>
      <c r="H260" s="3"/>
      <c r="I260" s="3"/>
      <c r="J260" s="3"/>
      <c r="K260" s="3"/>
      <c r="L260" s="3"/>
      <c r="M260" s="3"/>
      <c r="N260" s="3"/>
      <c r="O260" s="3"/>
      <c r="P260" s="3"/>
      <c r="Q260" s="3"/>
      <c r="R260" s="3"/>
      <c r="S260" s="3"/>
      <c r="T260" s="3"/>
      <c r="U260" s="3"/>
      <c r="V260" s="3"/>
      <c r="W260" s="3"/>
      <c r="X260" s="3"/>
      <c r="Y260" s="3"/>
      <c r="Z260" s="3"/>
      <c r="AA260" s="3"/>
      <c r="AB260" s="3"/>
    </row>
    <row r="261" spans="1:28" x14ac:dyDescent="0.35">
      <c r="A261" s="3"/>
      <c r="B261" s="3"/>
      <c r="C261" s="3" t="s">
        <v>182</v>
      </c>
      <c r="D261" s="3"/>
      <c r="E261" s="3"/>
      <c r="F261" s="3"/>
      <c r="G261" s="3" t="s">
        <v>616</v>
      </c>
      <c r="H261" s="3"/>
      <c r="I261" s="3"/>
      <c r="J261" s="3"/>
      <c r="K261" s="3"/>
      <c r="L261" s="3"/>
      <c r="M261" s="3"/>
      <c r="N261" s="3"/>
      <c r="O261" s="3"/>
      <c r="P261" s="3"/>
      <c r="Q261" s="3"/>
      <c r="R261" s="3"/>
      <c r="S261" s="3"/>
      <c r="T261" s="3"/>
      <c r="U261" s="3"/>
      <c r="V261" s="3"/>
      <c r="W261" s="3"/>
      <c r="X261" s="3"/>
      <c r="Y261" s="3"/>
      <c r="Z261" s="3"/>
      <c r="AA261" s="3"/>
      <c r="AB261" s="3"/>
    </row>
    <row r="262" spans="1:28" x14ac:dyDescent="0.35">
      <c r="A262" s="3"/>
      <c r="B262" s="3" t="s">
        <v>188</v>
      </c>
      <c r="C262" s="3" t="s">
        <v>1105</v>
      </c>
      <c r="D262" s="3"/>
      <c r="E262" s="3"/>
      <c r="F262" s="3"/>
      <c r="G262" s="3" t="s">
        <v>1640</v>
      </c>
      <c r="H262" s="3"/>
      <c r="I262" s="3"/>
      <c r="J262" s="3"/>
      <c r="K262" s="3"/>
      <c r="L262" s="3"/>
      <c r="M262" s="3"/>
      <c r="N262" s="3"/>
      <c r="O262" s="3"/>
      <c r="P262" s="3"/>
      <c r="Q262" s="3"/>
      <c r="R262" s="3"/>
      <c r="S262" s="3"/>
      <c r="T262" s="3"/>
      <c r="U262" s="3"/>
      <c r="V262" s="3"/>
      <c r="W262" s="3"/>
      <c r="X262" s="3"/>
      <c r="Y262" s="3"/>
      <c r="Z262" s="3"/>
      <c r="AA262" s="3"/>
      <c r="AB262" s="3"/>
    </row>
    <row r="263" spans="1:28" x14ac:dyDescent="0.35">
      <c r="A263" s="3"/>
      <c r="B263" s="5" t="s">
        <v>189</v>
      </c>
      <c r="C263" s="5" t="s">
        <v>131</v>
      </c>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x14ac:dyDescent="0.35">
      <c r="A264" s="3"/>
      <c r="B264" s="3" t="s">
        <v>195</v>
      </c>
      <c r="C264" s="3" t="s">
        <v>131</v>
      </c>
      <c r="D264" s="3"/>
      <c r="E264" s="3"/>
      <c r="F264" s="3"/>
      <c r="G264" s="3" t="s">
        <v>196</v>
      </c>
      <c r="H264" s="3"/>
      <c r="I264" s="3"/>
      <c r="J264" s="3"/>
      <c r="K264" s="3"/>
      <c r="L264" s="3"/>
      <c r="M264" s="3"/>
      <c r="N264" s="3"/>
      <c r="O264" s="3"/>
      <c r="P264" s="3"/>
      <c r="Q264" s="3"/>
      <c r="R264" s="3"/>
      <c r="S264" s="3"/>
      <c r="T264" s="3"/>
      <c r="U264" s="3"/>
      <c r="V264" s="3"/>
      <c r="W264" s="3"/>
      <c r="X264" s="3"/>
      <c r="Y264" s="3"/>
      <c r="Z264" s="3"/>
      <c r="AA264" s="3"/>
      <c r="AB264" s="3"/>
    </row>
    <row r="265" spans="1:28" x14ac:dyDescent="0.35">
      <c r="A265" s="3"/>
      <c r="B265" s="3"/>
      <c r="C265" s="3" t="s">
        <v>197</v>
      </c>
      <c r="D265" s="3"/>
      <c r="E265" s="3"/>
      <c r="F265" s="3"/>
      <c r="G265" s="3" t="s">
        <v>621</v>
      </c>
      <c r="H265" s="3"/>
      <c r="I265" s="3"/>
      <c r="J265" s="3"/>
      <c r="K265" s="3"/>
      <c r="L265" s="3"/>
      <c r="M265" s="3"/>
      <c r="N265" s="3"/>
      <c r="O265" s="3"/>
      <c r="P265" s="3"/>
      <c r="Q265" s="3"/>
      <c r="R265" s="3"/>
      <c r="S265" s="3"/>
      <c r="T265" s="3"/>
      <c r="U265" s="3"/>
      <c r="V265" s="3"/>
      <c r="W265" s="3"/>
      <c r="X265" s="3"/>
      <c r="Y265" s="3"/>
      <c r="Z265" s="3"/>
      <c r="AA265" s="3"/>
      <c r="AB265" s="3"/>
    </row>
    <row r="266" spans="1:28" x14ac:dyDescent="0.35">
      <c r="A266" s="3"/>
      <c r="B266" s="3"/>
      <c r="C266" s="3" t="s">
        <v>200</v>
      </c>
      <c r="D266" s="3"/>
      <c r="E266" s="3"/>
      <c r="F266" s="3"/>
      <c r="G266" s="3" t="s">
        <v>624</v>
      </c>
      <c r="H266" s="3"/>
      <c r="I266" s="3"/>
      <c r="J266" s="3"/>
      <c r="K266" s="3"/>
      <c r="L266" s="3"/>
      <c r="M266" s="3"/>
      <c r="N266" s="3"/>
      <c r="O266" s="3"/>
      <c r="P266" s="3"/>
      <c r="Q266" s="3"/>
      <c r="R266" s="3"/>
      <c r="S266" s="3"/>
      <c r="T266" s="3"/>
      <c r="U266" s="3"/>
      <c r="V266" s="3"/>
      <c r="W266" s="3"/>
      <c r="X266" s="3"/>
      <c r="Y266" s="3"/>
      <c r="Z266" s="3"/>
      <c r="AA266" s="3"/>
      <c r="AB266" s="3"/>
    </row>
    <row r="267" spans="1:28" x14ac:dyDescent="0.35">
      <c r="A267" s="3"/>
      <c r="B267" s="3" t="s">
        <v>206</v>
      </c>
      <c r="C267" s="3" t="s">
        <v>1641</v>
      </c>
      <c r="D267" s="3" t="s">
        <v>208</v>
      </c>
      <c r="E267" s="3" t="s">
        <v>209</v>
      </c>
      <c r="F267" s="3"/>
      <c r="G267" s="3" t="s">
        <v>1684</v>
      </c>
      <c r="H267" s="3"/>
      <c r="I267" s="3"/>
      <c r="J267" s="3"/>
      <c r="K267" s="3"/>
      <c r="L267" s="3"/>
      <c r="M267" s="3"/>
      <c r="N267" s="3"/>
      <c r="O267" s="3"/>
      <c r="P267" s="3"/>
      <c r="Q267" s="3"/>
      <c r="R267" s="3"/>
      <c r="S267" s="3"/>
      <c r="T267" s="3"/>
      <c r="U267" s="3"/>
      <c r="V267" s="3"/>
      <c r="W267" s="3"/>
      <c r="X267" s="3"/>
      <c r="Y267" s="3"/>
      <c r="Z267" s="3"/>
      <c r="AA267" s="3"/>
      <c r="AB267" s="3"/>
    </row>
    <row r="268" spans="1:28"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x14ac:dyDescent="0.35">
      <c r="A269" s="3" t="s">
        <v>629</v>
      </c>
      <c r="B269" s="3" t="s">
        <v>630</v>
      </c>
      <c r="C269" s="3" t="s">
        <v>631</v>
      </c>
      <c r="D269" s="3"/>
      <c r="E269" s="3"/>
      <c r="F269" s="3"/>
      <c r="G269" s="3" t="s">
        <v>632</v>
      </c>
      <c r="H269" s="3"/>
      <c r="I269" s="3"/>
      <c r="J269" s="3"/>
      <c r="K269" s="3"/>
      <c r="L269" s="3"/>
      <c r="M269" s="3"/>
      <c r="N269" s="3"/>
      <c r="O269" s="3"/>
      <c r="P269" s="3"/>
      <c r="Q269" s="3"/>
      <c r="R269" s="3"/>
      <c r="S269" s="3"/>
      <c r="T269" s="3"/>
      <c r="U269" s="3"/>
      <c r="V269" s="3"/>
      <c r="W269" s="3"/>
      <c r="X269" s="3"/>
      <c r="Y269" s="3"/>
      <c r="Z269" s="3"/>
      <c r="AA269" s="3"/>
      <c r="AB269" s="3"/>
    </row>
    <row r="270" spans="1:28" x14ac:dyDescent="0.35">
      <c r="A270" s="3"/>
      <c r="B270" s="3"/>
      <c r="C270" s="3" t="s">
        <v>29</v>
      </c>
      <c r="D270" s="3"/>
      <c r="E270" s="3"/>
      <c r="F270" s="3"/>
      <c r="G270" s="3" t="s">
        <v>634</v>
      </c>
      <c r="H270" s="3"/>
      <c r="I270" s="3"/>
      <c r="J270" s="3"/>
      <c r="K270" s="3"/>
      <c r="L270" s="3"/>
      <c r="M270" s="3"/>
      <c r="N270" s="3"/>
      <c r="O270" s="3"/>
      <c r="P270" s="3"/>
      <c r="Q270" s="3"/>
      <c r="R270" s="3"/>
      <c r="S270" s="3"/>
      <c r="T270" s="3"/>
      <c r="U270" s="3"/>
      <c r="V270" s="3"/>
      <c r="W270" s="3"/>
      <c r="X270" s="3"/>
      <c r="Y270" s="3"/>
      <c r="Z270" s="3"/>
      <c r="AA270" s="3"/>
      <c r="AB270" s="3"/>
    </row>
    <row r="271" spans="1:28" x14ac:dyDescent="0.35">
      <c r="A271" s="3"/>
      <c r="B271" s="3" t="s">
        <v>636</v>
      </c>
      <c r="C271" s="3" t="s">
        <v>1635</v>
      </c>
      <c r="D271" s="3"/>
      <c r="E271" s="3"/>
      <c r="F271" s="3"/>
      <c r="G271" s="3" t="s">
        <v>1685</v>
      </c>
      <c r="H271" s="3"/>
      <c r="I271" s="3"/>
      <c r="J271" s="3"/>
      <c r="K271" s="3"/>
      <c r="L271" s="3"/>
      <c r="M271" s="3"/>
      <c r="N271" s="3"/>
      <c r="O271" s="3"/>
      <c r="P271" s="3"/>
      <c r="Q271" s="3"/>
      <c r="R271" s="3"/>
      <c r="S271" s="3"/>
      <c r="T271" s="3"/>
      <c r="U271" s="3"/>
      <c r="V271" s="3"/>
      <c r="W271" s="3"/>
      <c r="X271" s="3"/>
      <c r="Y271" s="3"/>
      <c r="Z271" s="3"/>
      <c r="AA271" s="3"/>
      <c r="AB271" s="3"/>
    </row>
    <row r="272" spans="1:28" x14ac:dyDescent="0.35">
      <c r="A272" s="3"/>
      <c r="B272" s="3" t="s">
        <v>254</v>
      </c>
      <c r="C272" s="3" t="s">
        <v>1686</v>
      </c>
      <c r="D272" s="3" t="s">
        <v>1687</v>
      </c>
      <c r="E272" s="3" t="s">
        <v>639</v>
      </c>
      <c r="F272" s="3"/>
      <c r="G272" s="3" t="s">
        <v>1688</v>
      </c>
      <c r="H272" s="3"/>
      <c r="I272" s="3"/>
      <c r="J272" s="3"/>
      <c r="K272" s="3"/>
      <c r="L272" s="3"/>
      <c r="M272" s="3"/>
      <c r="N272" s="3"/>
      <c r="O272" s="3"/>
      <c r="P272" s="3"/>
      <c r="Q272" s="3"/>
      <c r="R272" s="3"/>
      <c r="S272" s="3"/>
      <c r="T272" s="3"/>
      <c r="U272" s="3"/>
      <c r="V272" s="3"/>
      <c r="W272" s="3"/>
      <c r="X272" s="3"/>
      <c r="Y272" s="3"/>
      <c r="Z272" s="3"/>
      <c r="AA272" s="3"/>
      <c r="AB272" s="3"/>
    </row>
    <row r="273" spans="1:28" x14ac:dyDescent="0.35">
      <c r="A273" s="3"/>
      <c r="B273" s="3" t="s">
        <v>264</v>
      </c>
      <c r="C273" s="3" t="s">
        <v>1686</v>
      </c>
      <c r="D273" s="3" t="s">
        <v>638</v>
      </c>
      <c r="E273" s="3" t="s">
        <v>639</v>
      </c>
      <c r="F273" s="3"/>
      <c r="G273" s="3" t="s">
        <v>1688</v>
      </c>
      <c r="H273" s="3"/>
      <c r="I273" s="3"/>
      <c r="J273" s="3"/>
      <c r="K273" s="3"/>
      <c r="L273" s="3"/>
      <c r="M273" s="3"/>
      <c r="N273" s="3"/>
      <c r="O273" s="3"/>
      <c r="P273" s="3"/>
      <c r="Q273" s="3"/>
      <c r="R273" s="3"/>
      <c r="S273" s="3"/>
      <c r="T273" s="3"/>
      <c r="U273" s="3"/>
      <c r="V273" s="3"/>
      <c r="W273" s="3"/>
      <c r="X273" s="3"/>
      <c r="Y273" s="3"/>
      <c r="Z273" s="3"/>
      <c r="AA273" s="3"/>
      <c r="AB273" s="3"/>
    </row>
    <row r="274" spans="1:28" x14ac:dyDescent="0.35">
      <c r="A274" s="3"/>
      <c r="B274" s="3" t="s">
        <v>644</v>
      </c>
      <c r="C274" s="3" t="s">
        <v>61</v>
      </c>
      <c r="D274" s="3"/>
      <c r="E274" s="3"/>
      <c r="F274" s="3"/>
      <c r="G274" s="3" t="s">
        <v>646</v>
      </c>
      <c r="H274" s="3"/>
      <c r="I274" s="3"/>
      <c r="J274" s="3"/>
      <c r="K274" s="3"/>
      <c r="L274" s="3"/>
      <c r="M274" s="3"/>
      <c r="N274" s="3"/>
      <c r="O274" s="3"/>
      <c r="P274" s="3"/>
      <c r="Q274" s="3"/>
      <c r="R274" s="3"/>
      <c r="S274" s="3"/>
      <c r="T274" s="3"/>
      <c r="U274" s="3"/>
      <c r="V274" s="3"/>
      <c r="W274" s="3"/>
      <c r="X274" s="3"/>
      <c r="Y274" s="3"/>
      <c r="Z274" s="3"/>
      <c r="AA274" s="3"/>
      <c r="AB274" s="3"/>
    </row>
    <row r="275" spans="1:28" x14ac:dyDescent="0.35">
      <c r="A275" s="3"/>
      <c r="B275" s="3"/>
      <c r="C275" s="3" t="s">
        <v>648</v>
      </c>
      <c r="D275" s="3"/>
      <c r="E275" s="3"/>
      <c r="F275" s="3"/>
      <c r="G275" s="3" t="s">
        <v>649</v>
      </c>
      <c r="H275" s="3"/>
      <c r="I275" s="3"/>
      <c r="J275" s="3"/>
      <c r="K275" s="3"/>
      <c r="L275" s="3"/>
      <c r="M275" s="3"/>
      <c r="N275" s="3"/>
      <c r="O275" s="3"/>
      <c r="P275" s="3"/>
      <c r="Q275" s="3"/>
      <c r="R275" s="3"/>
      <c r="S275" s="3"/>
      <c r="T275" s="3"/>
      <c r="U275" s="3"/>
      <c r="V275" s="3"/>
      <c r="W275" s="3"/>
      <c r="X275" s="3"/>
      <c r="Y275" s="3"/>
      <c r="Z275" s="3"/>
      <c r="AA275" s="3"/>
      <c r="AB275" s="3"/>
    </row>
    <row r="276" spans="1:28"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x14ac:dyDescent="0.35">
      <c r="A277" s="3" t="s">
        <v>655</v>
      </c>
      <c r="B277" s="3" t="s">
        <v>656</v>
      </c>
      <c r="C277" s="3" t="s">
        <v>25</v>
      </c>
      <c r="D277" s="3"/>
      <c r="E277" s="3"/>
      <c r="F277" s="3"/>
      <c r="G277" s="3" t="s">
        <v>657</v>
      </c>
      <c r="H277" s="3"/>
      <c r="I277" s="3"/>
      <c r="J277" s="3"/>
      <c r="K277" s="3"/>
      <c r="L277" s="3"/>
      <c r="M277" s="3"/>
      <c r="N277" s="3"/>
      <c r="O277" s="3"/>
      <c r="P277" s="3"/>
      <c r="Q277" s="3"/>
      <c r="R277" s="3"/>
      <c r="S277" s="3"/>
      <c r="T277" s="3"/>
      <c r="U277" s="3"/>
      <c r="V277" s="3"/>
      <c r="W277" s="3"/>
      <c r="X277" s="3"/>
      <c r="Y277" s="3"/>
      <c r="Z277" s="3"/>
      <c r="AA277" s="3"/>
      <c r="AB277" s="3"/>
    </row>
    <row r="278" spans="1:28" x14ac:dyDescent="0.35">
      <c r="A278" s="3"/>
      <c r="B278" s="3"/>
      <c r="C278" s="3" t="s">
        <v>29</v>
      </c>
      <c r="D278" s="3"/>
      <c r="E278" s="3"/>
      <c r="F278" s="3"/>
      <c r="G278" s="3" t="s">
        <v>658</v>
      </c>
      <c r="H278" s="3"/>
      <c r="I278" s="3"/>
      <c r="J278" s="3"/>
      <c r="K278" s="3"/>
      <c r="L278" s="3"/>
      <c r="M278" s="3"/>
      <c r="N278" s="3"/>
      <c r="O278" s="3"/>
      <c r="P278" s="3"/>
      <c r="Q278" s="3"/>
      <c r="R278" s="3"/>
      <c r="S278" s="3"/>
      <c r="T278" s="3"/>
      <c r="U278" s="3"/>
      <c r="V278" s="3"/>
      <c r="W278" s="3"/>
      <c r="X278" s="3"/>
      <c r="Y278" s="3"/>
      <c r="Z278" s="3"/>
      <c r="AA278" s="3"/>
      <c r="AB278" s="3"/>
    </row>
    <row r="279" spans="1:28" x14ac:dyDescent="0.35">
      <c r="A279" s="3"/>
      <c r="B279" s="3" t="s">
        <v>659</v>
      </c>
      <c r="C279" s="3" t="s">
        <v>33</v>
      </c>
      <c r="D279" s="3" t="s">
        <v>34</v>
      </c>
      <c r="E279" s="3" t="s">
        <v>35</v>
      </c>
      <c r="F279" s="3"/>
      <c r="G279" s="3" t="s">
        <v>660</v>
      </c>
      <c r="H279" s="3"/>
      <c r="I279" s="3"/>
      <c r="J279" s="3"/>
      <c r="K279" s="3"/>
      <c r="L279" s="3"/>
      <c r="M279" s="3"/>
      <c r="N279" s="3"/>
      <c r="O279" s="3"/>
      <c r="P279" s="3"/>
      <c r="Q279" s="3"/>
      <c r="R279" s="3"/>
      <c r="S279" s="3"/>
      <c r="T279" s="3"/>
      <c r="U279" s="3"/>
      <c r="V279" s="3"/>
      <c r="W279" s="3"/>
      <c r="X279" s="3"/>
      <c r="Y279" s="3"/>
      <c r="Z279" s="3"/>
      <c r="AA279" s="3"/>
      <c r="AB279" s="3"/>
    </row>
    <row r="280" spans="1:28" x14ac:dyDescent="0.35">
      <c r="A280" s="3"/>
      <c r="B280" s="3" t="s">
        <v>661</v>
      </c>
      <c r="C280" s="3" t="s">
        <v>50</v>
      </c>
      <c r="D280" s="3" t="s">
        <v>51</v>
      </c>
      <c r="E280" s="3" t="s">
        <v>52</v>
      </c>
      <c r="F280" s="3"/>
      <c r="G280" s="3" t="s">
        <v>662</v>
      </c>
      <c r="H280" s="3"/>
      <c r="I280" s="3"/>
      <c r="J280" s="3"/>
      <c r="K280" s="3"/>
      <c r="L280" s="3"/>
      <c r="M280" s="3"/>
      <c r="N280" s="3"/>
      <c r="O280" s="3"/>
      <c r="P280" s="3"/>
      <c r="Q280" s="3"/>
      <c r="R280" s="3"/>
      <c r="S280" s="3"/>
      <c r="T280" s="3"/>
      <c r="U280" s="3"/>
      <c r="V280" s="3"/>
      <c r="W280" s="3"/>
      <c r="X280" s="3"/>
      <c r="Y280" s="3"/>
      <c r="Z280" s="3"/>
      <c r="AA280" s="3"/>
      <c r="AB280" s="3"/>
    </row>
    <row r="281" spans="1:28" x14ac:dyDescent="0.35">
      <c r="A281" s="3"/>
      <c r="B281" s="3"/>
      <c r="C281" s="3" t="s">
        <v>57</v>
      </c>
      <c r="D281" s="3"/>
      <c r="E281" s="3"/>
      <c r="F281" s="3"/>
      <c r="G281" s="3" t="s">
        <v>663</v>
      </c>
      <c r="H281" s="3"/>
      <c r="I281" s="3"/>
      <c r="J281" s="3"/>
      <c r="K281" s="3"/>
      <c r="L281" s="3"/>
      <c r="M281" s="3"/>
      <c r="N281" s="3"/>
      <c r="O281" s="3"/>
      <c r="P281" s="3"/>
      <c r="Q281" s="3"/>
      <c r="R281" s="3"/>
      <c r="S281" s="3"/>
      <c r="T281" s="3"/>
      <c r="U281" s="3"/>
      <c r="V281" s="3"/>
      <c r="W281" s="3"/>
      <c r="X281" s="3"/>
      <c r="Y281" s="3"/>
      <c r="Z281" s="3"/>
      <c r="AA281" s="3"/>
      <c r="AB281" s="3"/>
    </row>
    <row r="282" spans="1:28" x14ac:dyDescent="0.35">
      <c r="A282" s="3"/>
      <c r="B282" s="3" t="s">
        <v>664</v>
      </c>
      <c r="C282" s="3" t="s">
        <v>665</v>
      </c>
      <c r="D282" s="3" t="s">
        <v>51</v>
      </c>
      <c r="E282" s="3" t="s">
        <v>52</v>
      </c>
      <c r="F282" s="3"/>
      <c r="G282" s="3" t="s">
        <v>666</v>
      </c>
      <c r="H282" s="3"/>
      <c r="I282" s="3"/>
      <c r="J282" s="3"/>
      <c r="K282" s="3"/>
      <c r="L282" s="3"/>
      <c r="M282" s="3"/>
      <c r="N282" s="3"/>
      <c r="O282" s="3"/>
      <c r="P282" s="3"/>
      <c r="Q282" s="3"/>
      <c r="R282" s="3"/>
      <c r="S282" s="3"/>
      <c r="T282" s="3"/>
      <c r="U282" s="3"/>
      <c r="V282" s="3"/>
      <c r="W282" s="3"/>
      <c r="X282" s="3"/>
      <c r="Y282" s="3"/>
      <c r="Z282" s="3"/>
      <c r="AA282" s="3"/>
      <c r="AB282" s="3"/>
    </row>
    <row r="283" spans="1:28" x14ac:dyDescent="0.35">
      <c r="A283" s="3"/>
      <c r="B283" s="3"/>
      <c r="C283" s="3" t="s">
        <v>669</v>
      </c>
      <c r="D283" s="3" t="s">
        <v>670</v>
      </c>
      <c r="E283" s="3" t="s">
        <v>671</v>
      </c>
      <c r="F283" s="3"/>
      <c r="G283" s="3" t="s">
        <v>672</v>
      </c>
      <c r="H283" s="3"/>
      <c r="I283" s="3"/>
      <c r="J283" s="3"/>
      <c r="K283" s="3"/>
      <c r="L283" s="3"/>
      <c r="M283" s="3"/>
      <c r="N283" s="3"/>
      <c r="O283" s="3"/>
      <c r="P283" s="3"/>
      <c r="Q283" s="3"/>
      <c r="R283" s="3"/>
      <c r="S283" s="3"/>
      <c r="T283" s="3"/>
      <c r="U283" s="3"/>
      <c r="V283" s="3"/>
      <c r="W283" s="3"/>
      <c r="X283" s="3"/>
      <c r="Y283" s="3"/>
      <c r="Z283" s="3"/>
      <c r="AA283" s="3"/>
      <c r="AB283" s="3"/>
    </row>
    <row r="284" spans="1:28" x14ac:dyDescent="0.35">
      <c r="A284" s="3"/>
      <c r="B284" s="3" t="s">
        <v>60</v>
      </c>
      <c r="C284" s="3" t="s">
        <v>61</v>
      </c>
      <c r="D284" s="3"/>
      <c r="E284" s="3"/>
      <c r="F284" s="3"/>
      <c r="G284" s="3" t="s">
        <v>675</v>
      </c>
      <c r="H284" s="3"/>
      <c r="I284" s="3"/>
      <c r="J284" s="3"/>
      <c r="K284" s="3"/>
      <c r="L284" s="3"/>
      <c r="M284" s="3"/>
      <c r="N284" s="3"/>
      <c r="O284" s="3"/>
      <c r="P284" s="3"/>
      <c r="Q284" s="3"/>
      <c r="R284" s="3"/>
      <c r="S284" s="3"/>
      <c r="T284" s="3"/>
      <c r="U284" s="3"/>
      <c r="V284" s="3"/>
      <c r="W284" s="3"/>
      <c r="X284" s="3"/>
      <c r="Y284" s="3"/>
      <c r="Z284" s="3"/>
      <c r="AA284" s="3"/>
      <c r="AB284" s="3"/>
    </row>
    <row r="285" spans="1:28" x14ac:dyDescent="0.35">
      <c r="A285" s="3"/>
      <c r="B285" s="3" t="s">
        <v>105</v>
      </c>
      <c r="C285" s="3" t="s">
        <v>25</v>
      </c>
      <c r="D285" s="3"/>
      <c r="E285" s="3"/>
      <c r="F285" s="3"/>
      <c r="G285" s="3" t="s">
        <v>676</v>
      </c>
      <c r="H285" s="3"/>
      <c r="I285" s="3"/>
      <c r="J285" s="3"/>
      <c r="K285" s="3"/>
      <c r="L285" s="3"/>
      <c r="M285" s="3"/>
      <c r="N285" s="3"/>
      <c r="O285" s="3"/>
      <c r="P285" s="3"/>
      <c r="Q285" s="3"/>
      <c r="R285" s="3"/>
      <c r="S285" s="3"/>
      <c r="T285" s="3"/>
      <c r="U285" s="3"/>
      <c r="V285" s="3"/>
      <c r="W285" s="3"/>
      <c r="X285" s="3"/>
      <c r="Y285" s="3"/>
      <c r="Z285" s="3"/>
      <c r="AA285" s="3"/>
      <c r="AB285" s="3"/>
    </row>
    <row r="286" spans="1:28" x14ac:dyDescent="0.35">
      <c r="A286" s="3"/>
      <c r="B286" s="3"/>
      <c r="C286" s="3" t="s">
        <v>29</v>
      </c>
      <c r="D286" s="3"/>
      <c r="E286" s="3"/>
      <c r="F286" s="3"/>
      <c r="G286" s="3" t="s">
        <v>677</v>
      </c>
      <c r="H286" s="3"/>
      <c r="I286" s="3"/>
      <c r="J286" s="3"/>
      <c r="K286" s="3"/>
      <c r="L286" s="3"/>
      <c r="M286" s="3"/>
      <c r="N286" s="3"/>
      <c r="O286" s="3"/>
      <c r="P286" s="3"/>
      <c r="Q286" s="3"/>
      <c r="R286" s="3"/>
      <c r="S286" s="3"/>
      <c r="T286" s="3"/>
      <c r="U286" s="3"/>
      <c r="V286" s="3"/>
      <c r="W286" s="3"/>
      <c r="X286" s="3"/>
      <c r="Y286" s="3"/>
      <c r="Z286" s="3"/>
      <c r="AA286" s="3"/>
      <c r="AB286" s="3"/>
    </row>
    <row r="287" spans="1:28" x14ac:dyDescent="0.35">
      <c r="A287" s="3"/>
      <c r="B287" s="3" t="s">
        <v>108</v>
      </c>
      <c r="C287" s="3" t="s">
        <v>109</v>
      </c>
      <c r="D287" s="3"/>
      <c r="E287" s="3"/>
      <c r="F287" s="3"/>
      <c r="G287" s="3" t="s">
        <v>678</v>
      </c>
      <c r="H287" s="3"/>
      <c r="I287" s="3"/>
      <c r="J287" s="3"/>
      <c r="K287" s="3"/>
      <c r="L287" s="3"/>
      <c r="M287" s="3"/>
      <c r="N287" s="3"/>
      <c r="O287" s="3"/>
      <c r="P287" s="3"/>
      <c r="Q287" s="3"/>
      <c r="R287" s="3"/>
      <c r="S287" s="3"/>
      <c r="T287" s="3"/>
      <c r="U287" s="3"/>
      <c r="V287" s="3"/>
      <c r="W287" s="3"/>
      <c r="X287" s="3"/>
      <c r="Y287" s="3"/>
      <c r="Z287" s="3"/>
      <c r="AA287" s="3"/>
      <c r="AB287" s="3"/>
    </row>
    <row r="288" spans="1:28" x14ac:dyDescent="0.35">
      <c r="A288" s="3"/>
      <c r="B288" s="3"/>
      <c r="C288" s="3" t="s">
        <v>113</v>
      </c>
      <c r="D288" s="3"/>
      <c r="E288" s="3"/>
      <c r="F288" s="3"/>
      <c r="G288" s="3" t="s">
        <v>679</v>
      </c>
      <c r="H288" s="3"/>
      <c r="I288" s="3"/>
      <c r="J288" s="3"/>
      <c r="K288" s="3"/>
      <c r="L288" s="3"/>
      <c r="M288" s="3"/>
      <c r="N288" s="3"/>
      <c r="O288" s="3"/>
      <c r="P288" s="3"/>
      <c r="Q288" s="3"/>
      <c r="R288" s="3"/>
      <c r="S288" s="3"/>
      <c r="T288" s="3"/>
      <c r="U288" s="3"/>
      <c r="V288" s="3"/>
      <c r="W288" s="3"/>
      <c r="X288" s="3"/>
      <c r="Y288" s="3"/>
      <c r="Z288" s="3"/>
      <c r="AA288" s="3"/>
      <c r="AB288" s="3"/>
    </row>
    <row r="289" spans="1:28" x14ac:dyDescent="0.35">
      <c r="A289" s="3"/>
      <c r="B289" s="3"/>
      <c r="C289" s="3" t="s">
        <v>682</v>
      </c>
      <c r="D289" s="3"/>
      <c r="E289" s="3"/>
      <c r="F289" s="3"/>
      <c r="G289" s="3" t="s">
        <v>683</v>
      </c>
      <c r="H289" s="3"/>
      <c r="I289" s="3"/>
      <c r="J289" s="3"/>
      <c r="K289" s="3"/>
      <c r="L289" s="3"/>
      <c r="M289" s="3"/>
      <c r="N289" s="3"/>
      <c r="O289" s="3"/>
      <c r="P289" s="3"/>
      <c r="Q289" s="3"/>
      <c r="R289" s="3"/>
      <c r="S289" s="3"/>
      <c r="T289" s="3"/>
      <c r="U289" s="3"/>
      <c r="V289" s="3"/>
      <c r="W289" s="3"/>
      <c r="X289" s="3"/>
      <c r="Y289" s="3"/>
      <c r="Z289" s="3"/>
      <c r="AA289" s="3"/>
      <c r="AB289" s="3"/>
    </row>
    <row r="290" spans="1:28" x14ac:dyDescent="0.35">
      <c r="A290" s="3"/>
      <c r="B290" s="3"/>
      <c r="C290" s="3" t="s">
        <v>131</v>
      </c>
      <c r="D290" s="3"/>
      <c r="E290" s="3"/>
      <c r="F290" s="3"/>
      <c r="G290" s="3" t="s">
        <v>685</v>
      </c>
      <c r="H290" s="3"/>
      <c r="I290" s="3"/>
      <c r="J290" s="3"/>
      <c r="K290" s="3"/>
      <c r="L290" s="3"/>
      <c r="M290" s="3"/>
      <c r="N290" s="3"/>
      <c r="O290" s="3"/>
      <c r="P290" s="3"/>
      <c r="Q290" s="3"/>
      <c r="R290" s="3"/>
      <c r="S290" s="3"/>
      <c r="T290" s="3"/>
      <c r="U290" s="3"/>
      <c r="V290" s="3"/>
      <c r="W290" s="3"/>
      <c r="X290" s="3"/>
      <c r="Y290" s="3"/>
      <c r="Z290" s="3"/>
      <c r="AA290" s="3"/>
      <c r="AB290" s="3"/>
    </row>
    <row r="291" spans="1:28" x14ac:dyDescent="0.35">
      <c r="A291" s="3"/>
      <c r="B291" s="3" t="s">
        <v>136</v>
      </c>
      <c r="C291" s="3" t="s">
        <v>1635</v>
      </c>
      <c r="D291" s="3"/>
      <c r="E291" s="3"/>
      <c r="F291" s="3"/>
      <c r="G291" s="3" t="s">
        <v>1689</v>
      </c>
      <c r="H291" s="3"/>
      <c r="I291" s="3"/>
      <c r="J291" s="3"/>
      <c r="K291" s="3"/>
      <c r="L291" s="3"/>
      <c r="M291" s="3"/>
      <c r="N291" s="3"/>
      <c r="O291" s="3"/>
      <c r="P291" s="3"/>
      <c r="Q291" s="3"/>
      <c r="R291" s="3"/>
      <c r="S291" s="3"/>
      <c r="T291" s="3"/>
      <c r="U291" s="3"/>
      <c r="V291" s="3"/>
      <c r="W291" s="3"/>
      <c r="X291" s="3"/>
      <c r="Y291" s="3"/>
      <c r="Z291" s="3"/>
      <c r="AA291" s="3"/>
      <c r="AB291" s="3"/>
    </row>
    <row r="292" spans="1:28" x14ac:dyDescent="0.35">
      <c r="A292" s="3"/>
      <c r="B292" s="5" t="s">
        <v>137</v>
      </c>
      <c r="C292" s="5" t="s">
        <v>131</v>
      </c>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x14ac:dyDescent="0.35">
      <c r="A293" s="3"/>
      <c r="B293" s="3" t="s">
        <v>162</v>
      </c>
      <c r="C293" s="3" t="s">
        <v>163</v>
      </c>
      <c r="D293" s="3"/>
      <c r="E293" s="3"/>
      <c r="F293" s="3"/>
      <c r="G293" s="3" t="s">
        <v>686</v>
      </c>
      <c r="H293" s="3"/>
      <c r="I293" s="3"/>
      <c r="J293" s="3"/>
      <c r="K293" s="3"/>
      <c r="L293" s="3"/>
      <c r="M293" s="3"/>
      <c r="N293" s="3"/>
      <c r="O293" s="3"/>
      <c r="P293" s="3"/>
      <c r="Q293" s="3"/>
      <c r="R293" s="3"/>
      <c r="S293" s="3"/>
      <c r="T293" s="3"/>
      <c r="U293" s="3"/>
      <c r="V293" s="3"/>
      <c r="W293" s="3"/>
      <c r="X293" s="3"/>
      <c r="Y293" s="3"/>
      <c r="Z293" s="3"/>
      <c r="AA293" s="3"/>
      <c r="AB293" s="3"/>
    </row>
    <row r="294" spans="1:28" x14ac:dyDescent="0.35">
      <c r="A294" s="3"/>
      <c r="B294" s="3"/>
      <c r="C294" s="3" t="s">
        <v>687</v>
      </c>
      <c r="D294" s="3"/>
      <c r="E294" s="3"/>
      <c r="F294" s="3"/>
      <c r="G294" s="3" t="s">
        <v>688</v>
      </c>
      <c r="H294" s="3"/>
      <c r="I294" s="3"/>
      <c r="J294" s="3"/>
      <c r="K294" s="3"/>
      <c r="L294" s="3"/>
      <c r="M294" s="3"/>
      <c r="N294" s="3"/>
      <c r="O294" s="3"/>
      <c r="P294" s="3"/>
      <c r="Q294" s="3"/>
      <c r="R294" s="3"/>
      <c r="S294" s="3"/>
      <c r="T294" s="3"/>
      <c r="U294" s="3"/>
      <c r="V294" s="3"/>
      <c r="W294" s="3"/>
      <c r="X294" s="3"/>
      <c r="Y294" s="3"/>
      <c r="Z294" s="3"/>
      <c r="AA294" s="3"/>
      <c r="AB294" s="3"/>
    </row>
    <row r="295" spans="1:28" x14ac:dyDescent="0.35">
      <c r="A295" s="3"/>
      <c r="B295" s="3" t="s">
        <v>188</v>
      </c>
      <c r="C295" s="3" t="s">
        <v>1105</v>
      </c>
      <c r="D295" s="3"/>
      <c r="E295" s="3"/>
      <c r="F295" s="3"/>
      <c r="G295" s="3" t="s">
        <v>1690</v>
      </c>
      <c r="H295" s="3"/>
      <c r="I295" s="3"/>
      <c r="J295" s="3"/>
      <c r="K295" s="3"/>
      <c r="L295" s="3"/>
      <c r="M295" s="3"/>
      <c r="N295" s="3"/>
      <c r="O295" s="3"/>
      <c r="P295" s="3"/>
      <c r="Q295" s="3"/>
      <c r="R295" s="3"/>
      <c r="S295" s="3"/>
      <c r="T295" s="3"/>
      <c r="U295" s="3"/>
      <c r="V295" s="3"/>
      <c r="W295" s="3"/>
      <c r="X295" s="3"/>
      <c r="Y295" s="3"/>
      <c r="Z295" s="3"/>
      <c r="AA295" s="3"/>
      <c r="AB295" s="3"/>
    </row>
    <row r="296" spans="1:28" x14ac:dyDescent="0.35">
      <c r="A296" s="3"/>
      <c r="B296" s="5" t="s">
        <v>189</v>
      </c>
      <c r="C296" s="5" t="s">
        <v>131</v>
      </c>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x14ac:dyDescent="0.35">
      <c r="A298" s="5" t="s">
        <v>690</v>
      </c>
      <c r="B298" s="5" t="s">
        <v>691</v>
      </c>
      <c r="C298" s="5" t="s">
        <v>25</v>
      </c>
      <c r="D298" s="5"/>
      <c r="E298" s="5"/>
      <c r="F298" s="3"/>
      <c r="G298" s="3"/>
      <c r="H298" s="3"/>
      <c r="I298" s="3"/>
      <c r="J298" s="3"/>
      <c r="K298" s="3"/>
      <c r="L298" s="3"/>
      <c r="M298" s="3"/>
      <c r="N298" s="3"/>
      <c r="O298" s="3"/>
      <c r="P298" s="3"/>
      <c r="Q298" s="3"/>
      <c r="R298" s="3"/>
      <c r="S298" s="3"/>
      <c r="T298" s="3"/>
      <c r="U298" s="3"/>
      <c r="V298" s="3"/>
      <c r="W298" s="3"/>
      <c r="X298" s="3"/>
      <c r="Y298" s="3"/>
      <c r="Z298" s="3"/>
      <c r="AA298" s="3"/>
      <c r="AB298" s="3"/>
    </row>
    <row r="299" spans="1:28" x14ac:dyDescent="0.35">
      <c r="A299" s="5"/>
      <c r="B299" s="5"/>
      <c r="C299" s="5" t="s">
        <v>29</v>
      </c>
      <c r="D299" s="5"/>
      <c r="E299" s="5"/>
      <c r="F299" s="3"/>
      <c r="G299" s="3"/>
      <c r="H299" s="3"/>
      <c r="I299" s="3"/>
      <c r="J299" s="3"/>
      <c r="K299" s="3"/>
      <c r="L299" s="3"/>
      <c r="M299" s="3"/>
      <c r="N299" s="3"/>
      <c r="O299" s="3"/>
      <c r="P299" s="3"/>
      <c r="Q299" s="3"/>
      <c r="R299" s="3"/>
      <c r="S299" s="3"/>
      <c r="T299" s="3"/>
      <c r="U299" s="3"/>
      <c r="V299" s="3"/>
      <c r="W299" s="3"/>
      <c r="X299" s="3"/>
      <c r="Y299" s="3"/>
      <c r="Z299" s="3"/>
      <c r="AA299" s="3"/>
      <c r="AB299" s="3"/>
    </row>
    <row r="300" spans="1:28" x14ac:dyDescent="0.35">
      <c r="A300" s="5"/>
      <c r="B300" s="5" t="s">
        <v>692</v>
      </c>
      <c r="C300" s="5" t="s">
        <v>33</v>
      </c>
      <c r="D300" s="5" t="s">
        <v>34</v>
      </c>
      <c r="E300" s="5" t="s">
        <v>35</v>
      </c>
      <c r="F300" s="3"/>
      <c r="G300" s="3"/>
      <c r="H300" s="3"/>
      <c r="I300" s="3"/>
      <c r="J300" s="3"/>
      <c r="K300" s="3"/>
      <c r="L300" s="3"/>
      <c r="M300" s="3"/>
      <c r="N300" s="3"/>
      <c r="O300" s="3"/>
      <c r="P300" s="3"/>
      <c r="Q300" s="3"/>
      <c r="R300" s="3"/>
      <c r="S300" s="3"/>
      <c r="T300" s="3"/>
      <c r="U300" s="3"/>
      <c r="V300" s="3"/>
      <c r="W300" s="3"/>
      <c r="X300" s="3"/>
      <c r="Y300" s="3"/>
      <c r="Z300" s="3"/>
      <c r="AA300" s="3"/>
      <c r="AB300" s="3"/>
    </row>
    <row r="301" spans="1:28" x14ac:dyDescent="0.35">
      <c r="A301" s="5"/>
      <c r="B301" s="5" t="s">
        <v>693</v>
      </c>
      <c r="C301" s="5" t="s">
        <v>50</v>
      </c>
      <c r="D301" s="5" t="s">
        <v>51</v>
      </c>
      <c r="E301" s="5" t="s">
        <v>52</v>
      </c>
      <c r="F301" s="3"/>
      <c r="G301" s="3"/>
      <c r="H301" s="3"/>
      <c r="I301" s="3"/>
      <c r="J301" s="3"/>
      <c r="K301" s="3"/>
      <c r="L301" s="3"/>
      <c r="M301" s="3"/>
      <c r="N301" s="3"/>
      <c r="O301" s="3"/>
      <c r="P301" s="3"/>
      <c r="Q301" s="3"/>
      <c r="R301" s="3"/>
      <c r="S301" s="3"/>
      <c r="T301" s="3"/>
      <c r="U301" s="3"/>
      <c r="V301" s="3"/>
      <c r="W301" s="3"/>
      <c r="X301" s="3"/>
      <c r="Y301" s="3"/>
      <c r="Z301" s="3"/>
      <c r="AA301" s="3"/>
      <c r="AB301" s="3"/>
    </row>
    <row r="302" spans="1:28" x14ac:dyDescent="0.35">
      <c r="A302" s="5"/>
      <c r="B302" s="5"/>
      <c r="C302" s="5" t="s">
        <v>57</v>
      </c>
      <c r="D302" s="5"/>
      <c r="E302" s="5"/>
      <c r="F302" s="3"/>
      <c r="G302" s="3"/>
      <c r="H302" s="3"/>
      <c r="I302" s="3"/>
      <c r="J302" s="3"/>
      <c r="K302" s="3"/>
      <c r="L302" s="3"/>
      <c r="M302" s="3"/>
      <c r="N302" s="3"/>
      <c r="O302" s="3"/>
      <c r="P302" s="3"/>
      <c r="Q302" s="3"/>
      <c r="R302" s="3"/>
      <c r="S302" s="3"/>
      <c r="T302" s="3"/>
      <c r="U302" s="3"/>
      <c r="V302" s="3"/>
      <c r="W302" s="3"/>
      <c r="X302" s="3"/>
      <c r="Y302" s="3"/>
      <c r="Z302" s="3"/>
      <c r="AA302" s="3"/>
      <c r="AB302" s="3"/>
    </row>
    <row r="303" spans="1:28" x14ac:dyDescent="0.35">
      <c r="A303" s="5"/>
      <c r="B303" s="5" t="s">
        <v>694</v>
      </c>
      <c r="C303" s="5" t="s">
        <v>665</v>
      </c>
      <c r="D303" s="5" t="s">
        <v>51</v>
      </c>
      <c r="E303" s="5" t="s">
        <v>52</v>
      </c>
      <c r="F303" s="3"/>
      <c r="G303" s="3"/>
      <c r="H303" s="3"/>
      <c r="I303" s="3"/>
      <c r="J303" s="3"/>
      <c r="K303" s="3"/>
      <c r="L303" s="3"/>
      <c r="M303" s="3"/>
      <c r="N303" s="3"/>
      <c r="O303" s="3"/>
      <c r="P303" s="3"/>
      <c r="Q303" s="3"/>
      <c r="R303" s="3"/>
      <c r="S303" s="3"/>
      <c r="T303" s="3"/>
      <c r="U303" s="3"/>
      <c r="V303" s="3"/>
      <c r="W303" s="3"/>
      <c r="X303" s="3"/>
      <c r="Y303" s="3"/>
      <c r="Z303" s="3"/>
      <c r="AA303" s="3"/>
      <c r="AB303" s="3"/>
    </row>
    <row r="304" spans="1:28" x14ac:dyDescent="0.35">
      <c r="A304" s="5"/>
      <c r="B304" s="5"/>
      <c r="C304" s="5" t="s">
        <v>669</v>
      </c>
      <c r="D304" s="5" t="s">
        <v>670</v>
      </c>
      <c r="E304" s="5" t="s">
        <v>671</v>
      </c>
      <c r="F304" s="3"/>
      <c r="G304" s="3"/>
      <c r="H304" s="3"/>
      <c r="I304" s="3"/>
      <c r="J304" s="3"/>
      <c r="K304" s="3"/>
      <c r="L304" s="3"/>
      <c r="M304" s="3"/>
      <c r="N304" s="3"/>
      <c r="O304" s="3"/>
      <c r="P304" s="3"/>
      <c r="Q304" s="3"/>
      <c r="R304" s="3"/>
      <c r="S304" s="3"/>
      <c r="T304" s="3"/>
      <c r="U304" s="3"/>
      <c r="V304" s="3"/>
      <c r="W304" s="3"/>
      <c r="X304" s="3"/>
      <c r="Y304" s="3"/>
      <c r="Z304" s="3"/>
      <c r="AA304" s="3"/>
      <c r="AB304" s="3"/>
    </row>
    <row r="305" spans="1:28" x14ac:dyDescent="0.35">
      <c r="A305" s="3"/>
      <c r="B305" s="5" t="s">
        <v>189</v>
      </c>
      <c r="C305" s="5" t="s">
        <v>131</v>
      </c>
      <c r="D305" s="5"/>
      <c r="E305" s="5"/>
      <c r="F305" s="3"/>
      <c r="G305" s="3"/>
      <c r="H305" s="3"/>
      <c r="I305" s="3"/>
      <c r="J305" s="3"/>
      <c r="K305" s="3"/>
      <c r="L305" s="3"/>
      <c r="M305" s="3"/>
      <c r="N305" s="3"/>
      <c r="O305" s="3"/>
      <c r="P305" s="3"/>
      <c r="Q305" s="3"/>
      <c r="R305" s="3"/>
      <c r="S305" s="3"/>
      <c r="T305" s="3"/>
      <c r="U305" s="3"/>
      <c r="V305" s="3"/>
      <c r="W305" s="3"/>
      <c r="X305" s="3"/>
      <c r="Y305" s="3"/>
      <c r="Z305" s="3"/>
      <c r="AA305" s="3"/>
      <c r="AB305" s="3"/>
    </row>
    <row r="306" spans="1:28"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x14ac:dyDescent="0.35">
      <c r="A307" s="3" t="s">
        <v>695</v>
      </c>
      <c r="B307" s="3" t="s">
        <v>696</v>
      </c>
      <c r="C307" s="3" t="s">
        <v>25</v>
      </c>
      <c r="D307" s="3"/>
      <c r="E307" s="3"/>
      <c r="F307" s="3"/>
      <c r="G307" s="3" t="s">
        <v>697</v>
      </c>
      <c r="H307" s="3"/>
      <c r="I307" s="3"/>
      <c r="J307" s="3"/>
      <c r="K307" s="3"/>
      <c r="L307" s="3"/>
      <c r="M307" s="3"/>
      <c r="N307" s="3"/>
      <c r="O307" s="3"/>
      <c r="P307" s="3"/>
      <c r="Q307" s="3"/>
      <c r="R307" s="3"/>
      <c r="S307" s="3"/>
      <c r="T307" s="3"/>
      <c r="U307" s="3"/>
      <c r="V307" s="3"/>
      <c r="W307" s="3"/>
      <c r="X307" s="3"/>
      <c r="Y307" s="3"/>
      <c r="Z307" s="3"/>
      <c r="AA307" s="3"/>
      <c r="AB307" s="3"/>
    </row>
    <row r="308" spans="1:28" x14ac:dyDescent="0.35">
      <c r="A308" s="3"/>
      <c r="B308" s="3"/>
      <c r="C308" s="3" t="s">
        <v>29</v>
      </c>
      <c r="D308" s="3"/>
      <c r="E308" s="3"/>
      <c r="F308" s="3"/>
      <c r="G308" s="3" t="s">
        <v>698</v>
      </c>
      <c r="H308" s="3"/>
      <c r="I308" s="3"/>
      <c r="J308" s="3"/>
      <c r="K308" s="3"/>
      <c r="L308" s="3"/>
      <c r="M308" s="3"/>
      <c r="N308" s="3"/>
      <c r="O308" s="3"/>
      <c r="P308" s="3"/>
      <c r="Q308" s="3"/>
      <c r="R308" s="3"/>
      <c r="S308" s="3"/>
      <c r="T308" s="3"/>
      <c r="U308" s="3"/>
      <c r="V308" s="3"/>
      <c r="W308" s="3"/>
      <c r="X308" s="3"/>
      <c r="Y308" s="3"/>
      <c r="Z308" s="3"/>
      <c r="AA308" s="3"/>
      <c r="AB308" s="3"/>
    </row>
    <row r="309" spans="1:28" x14ac:dyDescent="0.35">
      <c r="A309" s="3"/>
      <c r="B309" s="3" t="s">
        <v>699</v>
      </c>
      <c r="C309" s="3" t="s">
        <v>700</v>
      </c>
      <c r="D309" s="3" t="s">
        <v>701</v>
      </c>
      <c r="E309" s="3" t="s">
        <v>702</v>
      </c>
      <c r="F309" s="3"/>
      <c r="G309" s="3" t="s">
        <v>703</v>
      </c>
      <c r="H309" s="3"/>
      <c r="I309" s="3"/>
      <c r="J309" s="3"/>
      <c r="K309" s="3"/>
      <c r="L309" s="3"/>
      <c r="M309" s="3"/>
      <c r="N309" s="3"/>
      <c r="O309" s="3"/>
      <c r="P309" s="3"/>
      <c r="Q309" s="3"/>
      <c r="R309" s="3"/>
      <c r="S309" s="3"/>
      <c r="T309" s="3"/>
      <c r="U309" s="3"/>
      <c r="V309" s="3"/>
      <c r="W309" s="3"/>
      <c r="X309" s="3"/>
      <c r="Y309" s="3"/>
      <c r="Z309" s="3"/>
      <c r="AA309" s="3"/>
      <c r="AB309" s="3"/>
    </row>
    <row r="310" spans="1:28" x14ac:dyDescent="0.35">
      <c r="A310" s="3"/>
      <c r="B310" s="3"/>
      <c r="C310" s="3" t="s">
        <v>706</v>
      </c>
      <c r="D310" s="3"/>
      <c r="E310" s="3"/>
      <c r="F310" s="3"/>
      <c r="G310" s="3" t="s">
        <v>707</v>
      </c>
      <c r="H310" s="3"/>
      <c r="I310" s="3"/>
      <c r="J310" s="3"/>
      <c r="K310" s="3"/>
      <c r="L310" s="3"/>
      <c r="M310" s="3"/>
      <c r="N310" s="3"/>
      <c r="O310" s="3"/>
      <c r="P310" s="3"/>
      <c r="Q310" s="3"/>
      <c r="R310" s="3"/>
      <c r="S310" s="3"/>
      <c r="T310" s="3"/>
      <c r="U310" s="3"/>
      <c r="V310" s="3"/>
      <c r="W310" s="3"/>
      <c r="X310" s="3"/>
      <c r="Y310" s="3"/>
      <c r="Z310" s="3"/>
      <c r="AA310" s="3"/>
      <c r="AB310" s="3"/>
    </row>
    <row r="311" spans="1:28" x14ac:dyDescent="0.35">
      <c r="A311" s="3"/>
      <c r="B311" s="3"/>
      <c r="C311" s="3" t="s">
        <v>711</v>
      </c>
      <c r="D311" s="3"/>
      <c r="E311" s="3"/>
      <c r="F311" s="3"/>
      <c r="G311" s="3" t="s">
        <v>712</v>
      </c>
      <c r="H311" s="3"/>
      <c r="I311" s="3"/>
      <c r="J311" s="3"/>
      <c r="K311" s="3"/>
      <c r="L311" s="3"/>
      <c r="M311" s="3"/>
      <c r="N311" s="3"/>
      <c r="O311" s="3"/>
      <c r="P311" s="3"/>
      <c r="Q311" s="3"/>
      <c r="R311" s="3"/>
      <c r="S311" s="3"/>
      <c r="T311" s="3"/>
      <c r="U311" s="3"/>
      <c r="V311" s="3"/>
      <c r="W311" s="3"/>
      <c r="X311" s="3"/>
      <c r="Y311" s="3"/>
      <c r="Z311" s="3"/>
      <c r="AA311" s="3"/>
      <c r="AB311" s="3"/>
    </row>
    <row r="312" spans="1:28" x14ac:dyDescent="0.35">
      <c r="A312" s="3"/>
      <c r="B312" s="3" t="s">
        <v>718</v>
      </c>
      <c r="C312" s="3" t="s">
        <v>50</v>
      </c>
      <c r="D312" s="3" t="s">
        <v>51</v>
      </c>
      <c r="E312" s="3" t="s">
        <v>52</v>
      </c>
      <c r="F312" s="3"/>
      <c r="G312" s="3" t="s">
        <v>53</v>
      </c>
      <c r="H312" s="3"/>
      <c r="I312" s="3"/>
      <c r="J312" s="3"/>
      <c r="K312" s="3"/>
      <c r="L312" s="3"/>
      <c r="M312" s="3"/>
      <c r="N312" s="3"/>
      <c r="O312" s="3"/>
      <c r="P312" s="3"/>
      <c r="Q312" s="3"/>
      <c r="R312" s="3"/>
      <c r="S312" s="3"/>
      <c r="T312" s="3"/>
      <c r="U312" s="3"/>
      <c r="V312" s="3"/>
      <c r="W312" s="3"/>
      <c r="X312" s="3"/>
      <c r="Y312" s="3"/>
      <c r="Z312" s="3"/>
      <c r="AA312" s="3"/>
      <c r="AB312" s="3"/>
    </row>
    <row r="313" spans="1:28" x14ac:dyDescent="0.35">
      <c r="A313" s="3"/>
      <c r="B313" s="3"/>
      <c r="C313" s="3" t="s">
        <v>57</v>
      </c>
      <c r="D313" s="3"/>
      <c r="E313" s="3"/>
      <c r="F313" s="3"/>
      <c r="G313" s="3" t="s">
        <v>58</v>
      </c>
      <c r="H313" s="3"/>
      <c r="I313" s="3"/>
      <c r="J313" s="3"/>
      <c r="K313" s="3"/>
      <c r="L313" s="3"/>
      <c r="M313" s="3"/>
      <c r="N313" s="3"/>
      <c r="O313" s="3"/>
      <c r="P313" s="3"/>
      <c r="Q313" s="3"/>
      <c r="R313" s="3"/>
      <c r="S313" s="3"/>
      <c r="T313" s="3"/>
      <c r="U313" s="3"/>
      <c r="V313" s="3"/>
      <c r="W313" s="3"/>
      <c r="X313" s="3"/>
      <c r="Y313" s="3"/>
      <c r="Z313" s="3"/>
      <c r="AA313" s="3"/>
      <c r="AB313" s="3"/>
    </row>
    <row r="314" spans="1:28" x14ac:dyDescent="0.35">
      <c r="A314" s="3"/>
      <c r="B314" s="5" t="s">
        <v>719</v>
      </c>
      <c r="C314" s="5" t="s">
        <v>700</v>
      </c>
      <c r="D314" s="5" t="s">
        <v>701</v>
      </c>
      <c r="E314" s="5" t="s">
        <v>702</v>
      </c>
      <c r="F314" s="3"/>
      <c r="G314" s="3"/>
      <c r="H314" s="3"/>
      <c r="I314" s="3"/>
      <c r="J314" s="3"/>
      <c r="K314" s="3"/>
      <c r="L314" s="3"/>
      <c r="M314" s="3"/>
      <c r="N314" s="3"/>
      <c r="O314" s="3"/>
      <c r="P314" s="3"/>
      <c r="Q314" s="3"/>
      <c r="R314" s="3"/>
      <c r="S314" s="3"/>
      <c r="T314" s="3"/>
      <c r="U314" s="3"/>
      <c r="V314" s="3"/>
      <c r="W314" s="3"/>
      <c r="X314" s="3"/>
      <c r="Y314" s="3"/>
      <c r="Z314" s="3"/>
      <c r="AA314" s="3"/>
      <c r="AB314" s="3"/>
    </row>
    <row r="315" spans="1:28" x14ac:dyDescent="0.35">
      <c r="A315" s="3"/>
      <c r="B315" s="3"/>
      <c r="C315" s="5" t="s">
        <v>706</v>
      </c>
      <c r="D315" s="5"/>
      <c r="E315" s="5"/>
      <c r="F315" s="3"/>
      <c r="G315" s="3"/>
      <c r="H315" s="3"/>
      <c r="I315" s="3"/>
      <c r="J315" s="3"/>
      <c r="K315" s="3"/>
      <c r="L315" s="3"/>
      <c r="M315" s="3"/>
      <c r="N315" s="3"/>
      <c r="O315" s="3"/>
      <c r="P315" s="3"/>
      <c r="Q315" s="3"/>
      <c r="R315" s="3"/>
      <c r="S315" s="3"/>
      <c r="T315" s="3"/>
      <c r="U315" s="3"/>
      <c r="V315" s="3"/>
      <c r="W315" s="3"/>
      <c r="X315" s="3"/>
      <c r="Y315" s="3"/>
      <c r="Z315" s="3"/>
      <c r="AA315" s="3"/>
      <c r="AB315" s="3"/>
    </row>
    <row r="316" spans="1:28" x14ac:dyDescent="0.35">
      <c r="A316" s="3"/>
      <c r="B316" s="3"/>
      <c r="C316" s="5" t="s">
        <v>711</v>
      </c>
      <c r="D316" s="5"/>
      <c r="E316" s="5"/>
      <c r="F316" s="3"/>
      <c r="G316" s="3"/>
      <c r="H316" s="3"/>
      <c r="I316" s="3"/>
      <c r="J316" s="3"/>
      <c r="K316" s="3"/>
      <c r="L316" s="3"/>
      <c r="M316" s="3"/>
      <c r="N316" s="3"/>
      <c r="O316" s="3"/>
      <c r="P316" s="3"/>
      <c r="Q316" s="3"/>
      <c r="R316" s="3"/>
      <c r="S316" s="3"/>
      <c r="T316" s="3"/>
      <c r="U316" s="3"/>
      <c r="V316" s="3"/>
      <c r="W316" s="3"/>
      <c r="X316" s="3"/>
      <c r="Y316" s="3"/>
      <c r="Z316" s="3"/>
      <c r="AA316" s="3"/>
      <c r="AB316" s="3"/>
    </row>
    <row r="317" spans="1:28" x14ac:dyDescent="0.35">
      <c r="A317" s="3"/>
      <c r="B317" s="3" t="s">
        <v>720</v>
      </c>
      <c r="C317" s="3" t="s">
        <v>721</v>
      </c>
      <c r="D317" s="3"/>
      <c r="E317" s="3"/>
      <c r="F317" s="3"/>
      <c r="G317" s="3" t="s">
        <v>722</v>
      </c>
      <c r="H317" s="3"/>
      <c r="I317" s="3"/>
      <c r="J317" s="3"/>
      <c r="K317" s="3"/>
      <c r="L317" s="3"/>
      <c r="M317" s="3"/>
      <c r="N317" s="3"/>
      <c r="O317" s="3"/>
      <c r="P317" s="3"/>
      <c r="Q317" s="3"/>
      <c r="R317" s="3"/>
      <c r="S317" s="3"/>
      <c r="T317" s="3"/>
      <c r="U317" s="3"/>
      <c r="V317" s="3"/>
      <c r="W317" s="3"/>
      <c r="X317" s="3"/>
      <c r="Y317" s="3"/>
      <c r="Z317" s="3"/>
      <c r="AA317" s="3"/>
      <c r="AB317" s="3"/>
    </row>
    <row r="318" spans="1:28" x14ac:dyDescent="0.35">
      <c r="A318" s="3"/>
      <c r="B318" s="3"/>
      <c r="C318" s="3" t="s">
        <v>724</v>
      </c>
      <c r="D318" s="3"/>
      <c r="E318" s="3"/>
      <c r="F318" s="3"/>
      <c r="G318" s="3" t="s">
        <v>725</v>
      </c>
      <c r="H318" s="3"/>
      <c r="I318" s="3"/>
      <c r="J318" s="3"/>
      <c r="K318" s="3"/>
      <c r="L318" s="3"/>
      <c r="M318" s="3"/>
      <c r="N318" s="3"/>
      <c r="O318" s="3"/>
      <c r="P318" s="3"/>
      <c r="Q318" s="3"/>
      <c r="R318" s="3"/>
      <c r="S318" s="3"/>
      <c r="T318" s="3"/>
      <c r="U318" s="3"/>
      <c r="V318" s="3"/>
      <c r="W318" s="3"/>
      <c r="X318" s="3"/>
      <c r="Y318" s="3"/>
      <c r="Z318" s="3"/>
      <c r="AA318" s="3"/>
      <c r="AB318" s="3"/>
    </row>
    <row r="319" spans="1:28" x14ac:dyDescent="0.35">
      <c r="A319" s="3"/>
      <c r="B319" s="3" t="s">
        <v>730</v>
      </c>
      <c r="C319" s="3" t="s">
        <v>731</v>
      </c>
      <c r="D319" s="3" t="s">
        <v>732</v>
      </c>
      <c r="E319" s="3" t="s">
        <v>77</v>
      </c>
      <c r="F319" s="3"/>
      <c r="G319" s="3" t="s">
        <v>733</v>
      </c>
      <c r="H319" s="3"/>
      <c r="I319" s="3"/>
      <c r="J319" s="3"/>
      <c r="K319" s="3"/>
      <c r="L319" s="3"/>
      <c r="M319" s="3"/>
      <c r="N319" s="3"/>
      <c r="O319" s="3"/>
      <c r="P319" s="3"/>
      <c r="Q319" s="3"/>
      <c r="R319" s="3"/>
      <c r="S319" s="3"/>
      <c r="T319" s="3"/>
      <c r="U319" s="3"/>
      <c r="V319" s="3"/>
      <c r="W319" s="3"/>
      <c r="X319" s="3"/>
      <c r="Y319" s="3"/>
      <c r="Z319" s="3"/>
      <c r="AA319" s="3"/>
      <c r="AB319" s="3"/>
    </row>
    <row r="320" spans="1:28" x14ac:dyDescent="0.35">
      <c r="A320" s="3"/>
      <c r="B320" s="3"/>
      <c r="C320" s="3" t="s">
        <v>737</v>
      </c>
      <c r="D320" s="3"/>
      <c r="E320" s="3"/>
      <c r="F320" s="3"/>
      <c r="G320" s="3" t="s">
        <v>738</v>
      </c>
      <c r="H320" s="3"/>
      <c r="I320" s="3"/>
      <c r="J320" s="3"/>
      <c r="K320" s="3"/>
      <c r="L320" s="3"/>
      <c r="M320" s="3"/>
      <c r="N320" s="3"/>
      <c r="O320" s="3"/>
      <c r="P320" s="3"/>
      <c r="Q320" s="3"/>
      <c r="R320" s="3"/>
      <c r="S320" s="3"/>
      <c r="T320" s="3"/>
      <c r="U320" s="3"/>
      <c r="V320" s="3"/>
      <c r="W320" s="3"/>
      <c r="X320" s="3"/>
      <c r="Y320" s="3"/>
      <c r="Z320" s="3"/>
      <c r="AA320" s="3"/>
      <c r="AB320" s="3"/>
    </row>
    <row r="321" spans="1:28" x14ac:dyDescent="0.35">
      <c r="A321" s="3"/>
      <c r="B321" s="3"/>
      <c r="C321" s="3" t="s">
        <v>89</v>
      </c>
      <c r="D321" s="3"/>
      <c r="E321" s="3"/>
      <c r="F321" s="3"/>
      <c r="G321" s="3" t="s">
        <v>745</v>
      </c>
      <c r="H321" s="3"/>
      <c r="I321" s="3"/>
      <c r="J321" s="3"/>
      <c r="K321" s="3"/>
      <c r="L321" s="3"/>
      <c r="M321" s="3"/>
      <c r="N321" s="3"/>
      <c r="O321" s="3"/>
      <c r="P321" s="3"/>
      <c r="Q321" s="3"/>
      <c r="R321" s="3"/>
      <c r="S321" s="3"/>
      <c r="T321" s="3"/>
      <c r="U321" s="3"/>
      <c r="V321" s="3"/>
      <c r="W321" s="3"/>
      <c r="X321" s="3"/>
      <c r="Y321" s="3"/>
      <c r="Z321" s="3"/>
      <c r="AA321" s="3"/>
      <c r="AB321" s="3"/>
    </row>
    <row r="322" spans="1:28" x14ac:dyDescent="0.35">
      <c r="A322" s="3"/>
      <c r="B322" s="3"/>
      <c r="C322" s="3" t="s">
        <v>97</v>
      </c>
      <c r="D322" s="3"/>
      <c r="E322" s="3"/>
      <c r="F322" s="3"/>
      <c r="G322" s="3" t="s">
        <v>750</v>
      </c>
      <c r="H322" s="3"/>
      <c r="I322" s="3"/>
      <c r="J322" s="3"/>
      <c r="K322" s="3"/>
      <c r="L322" s="3"/>
      <c r="M322" s="3"/>
      <c r="N322" s="3"/>
      <c r="O322" s="3"/>
      <c r="P322" s="3"/>
      <c r="Q322" s="3"/>
      <c r="R322" s="3"/>
      <c r="S322" s="3"/>
      <c r="T322" s="3"/>
      <c r="U322" s="3"/>
      <c r="V322" s="3"/>
      <c r="W322" s="3"/>
      <c r="X322" s="3"/>
      <c r="Y322" s="3"/>
      <c r="Z322" s="3"/>
      <c r="AA322" s="3"/>
      <c r="AB322" s="3"/>
    </row>
    <row r="323" spans="1:28" x14ac:dyDescent="0.35">
      <c r="A323" s="3"/>
      <c r="B323" s="5" t="s">
        <v>753</v>
      </c>
      <c r="C323" s="5" t="s">
        <v>754</v>
      </c>
      <c r="D323" s="5" t="s">
        <v>732</v>
      </c>
      <c r="E323" s="5" t="s">
        <v>77</v>
      </c>
      <c r="F323" s="3"/>
      <c r="G323" s="3"/>
      <c r="H323" s="3"/>
      <c r="I323" s="3"/>
      <c r="J323" s="3"/>
      <c r="K323" s="3"/>
      <c r="L323" s="3"/>
      <c r="M323" s="3"/>
      <c r="N323" s="3"/>
      <c r="O323" s="3"/>
      <c r="P323" s="3"/>
      <c r="Q323" s="3"/>
      <c r="R323" s="3"/>
      <c r="S323" s="3"/>
      <c r="T323" s="3"/>
      <c r="U323" s="3"/>
      <c r="V323" s="3"/>
      <c r="W323" s="3"/>
      <c r="X323" s="3"/>
      <c r="Y323" s="3"/>
      <c r="Z323" s="3"/>
      <c r="AA323" s="3"/>
      <c r="AB323" s="3"/>
    </row>
    <row r="324" spans="1:28" x14ac:dyDescent="0.35">
      <c r="A324" s="3"/>
      <c r="B324" s="3"/>
      <c r="C324" s="5" t="s">
        <v>755</v>
      </c>
      <c r="D324" s="5"/>
      <c r="E324" s="5"/>
      <c r="F324" s="3"/>
      <c r="G324" s="3"/>
      <c r="H324" s="3"/>
      <c r="I324" s="3"/>
      <c r="J324" s="3"/>
      <c r="K324" s="3"/>
      <c r="L324" s="3"/>
      <c r="M324" s="3"/>
      <c r="N324" s="3"/>
      <c r="O324" s="3"/>
      <c r="P324" s="3"/>
      <c r="Q324" s="3"/>
      <c r="R324" s="3"/>
      <c r="S324" s="3"/>
      <c r="T324" s="3"/>
      <c r="U324" s="3"/>
      <c r="V324" s="3"/>
      <c r="W324" s="3"/>
      <c r="X324" s="3"/>
      <c r="Y324" s="3"/>
      <c r="Z324" s="3"/>
      <c r="AA324" s="3"/>
      <c r="AB324" s="3"/>
    </row>
    <row r="325" spans="1:28" x14ac:dyDescent="0.35">
      <c r="A325" s="3"/>
      <c r="B325" s="3"/>
      <c r="C325" s="5" t="s">
        <v>756</v>
      </c>
      <c r="D325" s="5"/>
      <c r="E325" s="5"/>
      <c r="F325" s="3"/>
      <c r="G325" s="3"/>
      <c r="H325" s="3"/>
      <c r="I325" s="3"/>
      <c r="J325" s="3"/>
      <c r="K325" s="3"/>
      <c r="L325" s="3"/>
      <c r="M325" s="3"/>
      <c r="N325" s="3"/>
      <c r="O325" s="3"/>
      <c r="P325" s="3"/>
      <c r="Q325" s="3"/>
      <c r="R325" s="3"/>
      <c r="S325" s="3"/>
      <c r="T325" s="3"/>
      <c r="U325" s="3"/>
      <c r="V325" s="3"/>
      <c r="W325" s="3"/>
      <c r="X325" s="3"/>
      <c r="Y325" s="3"/>
      <c r="Z325" s="3"/>
      <c r="AA325" s="3"/>
      <c r="AB325" s="3"/>
    </row>
    <row r="326" spans="1:28" x14ac:dyDescent="0.35">
      <c r="A326" s="3"/>
      <c r="B326" s="3"/>
      <c r="C326" s="5" t="s">
        <v>757</v>
      </c>
      <c r="D326" s="5"/>
      <c r="E326" s="5"/>
      <c r="F326" s="3"/>
      <c r="G326" s="3"/>
      <c r="H326" s="3"/>
      <c r="I326" s="3"/>
      <c r="J326" s="3"/>
      <c r="K326" s="3"/>
      <c r="L326" s="3"/>
      <c r="M326" s="3"/>
      <c r="N326" s="3"/>
      <c r="O326" s="3"/>
      <c r="P326" s="3"/>
      <c r="Q326" s="3"/>
      <c r="R326" s="3"/>
      <c r="S326" s="3"/>
      <c r="T326" s="3"/>
      <c r="U326" s="3"/>
      <c r="V326" s="3"/>
      <c r="W326" s="3"/>
      <c r="X326" s="3"/>
      <c r="Y326" s="3"/>
      <c r="Z326" s="3"/>
      <c r="AA326" s="3"/>
      <c r="AB326" s="3"/>
    </row>
    <row r="327" spans="1:28" x14ac:dyDescent="0.35">
      <c r="A327" s="3"/>
      <c r="B327" s="5" t="s">
        <v>758</v>
      </c>
      <c r="C327" s="5" t="s">
        <v>759</v>
      </c>
      <c r="D327" s="5"/>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x14ac:dyDescent="0.35">
      <c r="A328" s="3"/>
      <c r="B328" s="3"/>
      <c r="C328" s="5" t="s">
        <v>760</v>
      </c>
      <c r="D328" s="5"/>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x14ac:dyDescent="0.35">
      <c r="A329" s="3"/>
      <c r="B329" s="3"/>
      <c r="C329" s="5" t="s">
        <v>64</v>
      </c>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x14ac:dyDescent="0.35">
      <c r="A330" s="3"/>
      <c r="B330" s="5" t="s">
        <v>761</v>
      </c>
      <c r="C330" s="5" t="s">
        <v>131</v>
      </c>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x14ac:dyDescent="0.35">
      <c r="A331" s="3"/>
      <c r="B331" s="3" t="s">
        <v>762</v>
      </c>
      <c r="C331" s="3" t="s">
        <v>142</v>
      </c>
      <c r="D331" s="3" t="s">
        <v>764</v>
      </c>
      <c r="E331" s="3" t="s">
        <v>175</v>
      </c>
      <c r="F331" s="3"/>
      <c r="G331" s="3" t="s">
        <v>1691</v>
      </c>
      <c r="H331" s="3"/>
      <c r="I331" s="3"/>
      <c r="J331" s="3"/>
      <c r="K331" s="3"/>
      <c r="L331" s="3"/>
      <c r="M331" s="3"/>
      <c r="N331" s="3"/>
      <c r="O331" s="3"/>
      <c r="P331" s="3"/>
      <c r="Q331" s="3"/>
      <c r="R331" s="3"/>
      <c r="S331" s="3"/>
      <c r="T331" s="3"/>
      <c r="U331" s="3"/>
      <c r="V331" s="3"/>
      <c r="W331" s="3"/>
      <c r="X331" s="3"/>
      <c r="Y331" s="3"/>
      <c r="Z331" s="3"/>
      <c r="AA331" s="3"/>
      <c r="AB331" s="3"/>
    </row>
    <row r="332" spans="1:28" x14ac:dyDescent="0.35">
      <c r="A332" s="3"/>
      <c r="B332" s="3"/>
      <c r="C332" s="3" t="s">
        <v>148</v>
      </c>
      <c r="D332" s="3"/>
      <c r="E332" s="3"/>
      <c r="F332" s="3"/>
      <c r="G332" s="3" t="s">
        <v>767</v>
      </c>
      <c r="H332" s="3"/>
      <c r="I332" s="3"/>
      <c r="J332" s="3"/>
      <c r="K332" s="3"/>
      <c r="L332" s="3"/>
      <c r="M332" s="3"/>
      <c r="N332" s="3"/>
      <c r="O332" s="3"/>
      <c r="P332" s="3"/>
      <c r="Q332" s="3"/>
      <c r="R332" s="3"/>
      <c r="S332" s="3"/>
      <c r="T332" s="3"/>
      <c r="U332" s="3"/>
      <c r="V332" s="3"/>
      <c r="W332" s="3"/>
      <c r="X332" s="3"/>
      <c r="Y332" s="3"/>
      <c r="Z332" s="3"/>
      <c r="AA332" s="3"/>
      <c r="AB332" s="3"/>
    </row>
    <row r="333" spans="1:28" x14ac:dyDescent="0.35">
      <c r="A333" s="3"/>
      <c r="B333" s="3"/>
      <c r="C333" s="3" t="s">
        <v>182</v>
      </c>
      <c r="D333" s="3"/>
      <c r="E333" s="3"/>
      <c r="F333" s="3"/>
      <c r="G333" s="3" t="s">
        <v>770</v>
      </c>
      <c r="H333" s="3"/>
      <c r="I333" s="3"/>
      <c r="J333" s="3"/>
      <c r="K333" s="3"/>
      <c r="L333" s="3"/>
      <c r="M333" s="3"/>
      <c r="N333" s="3"/>
      <c r="O333" s="3"/>
      <c r="P333" s="3"/>
      <c r="Q333" s="3"/>
      <c r="R333" s="3"/>
      <c r="S333" s="3"/>
      <c r="T333" s="3"/>
      <c r="U333" s="3"/>
      <c r="V333" s="3"/>
      <c r="W333" s="3"/>
      <c r="X333" s="3"/>
      <c r="Y333" s="3"/>
      <c r="Z333" s="3"/>
      <c r="AA333" s="3"/>
      <c r="AB333" s="3"/>
    </row>
    <row r="334" spans="1:28" x14ac:dyDescent="0.35">
      <c r="A334" s="3"/>
      <c r="B334" s="5" t="s">
        <v>776</v>
      </c>
      <c r="C334" s="5" t="s">
        <v>777</v>
      </c>
      <c r="D334" s="5" t="s">
        <v>778</v>
      </c>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x14ac:dyDescent="0.35">
      <c r="A335" s="3"/>
      <c r="B335" s="3"/>
      <c r="C335" s="5" t="s">
        <v>779</v>
      </c>
      <c r="D335" s="5"/>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x14ac:dyDescent="0.35">
      <c r="A336" s="3"/>
      <c r="B336" s="3"/>
      <c r="C336" s="5" t="s">
        <v>780</v>
      </c>
      <c r="D336" s="5"/>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x14ac:dyDescent="0.35">
      <c r="A338" s="3" t="s">
        <v>781</v>
      </c>
      <c r="B338" s="3" t="s">
        <v>782</v>
      </c>
      <c r="C338" s="3" t="s">
        <v>25</v>
      </c>
      <c r="D338" s="3"/>
      <c r="E338" s="3"/>
      <c r="F338" s="3"/>
      <c r="G338" s="3" t="s">
        <v>783</v>
      </c>
      <c r="H338" s="3"/>
      <c r="I338" s="3"/>
      <c r="J338" s="3"/>
      <c r="K338" s="3"/>
      <c r="L338" s="3"/>
      <c r="M338" s="3"/>
      <c r="N338" s="3"/>
      <c r="O338" s="3"/>
      <c r="P338" s="3"/>
      <c r="Q338" s="3"/>
      <c r="R338" s="3"/>
      <c r="S338" s="3"/>
      <c r="T338" s="3"/>
      <c r="U338" s="3"/>
      <c r="V338" s="3"/>
      <c r="W338" s="3"/>
      <c r="X338" s="3"/>
      <c r="Y338" s="3"/>
      <c r="Z338" s="3"/>
      <c r="AA338" s="3"/>
      <c r="AB338" s="3"/>
    </row>
    <row r="339" spans="1:28" x14ac:dyDescent="0.35">
      <c r="A339" s="3"/>
      <c r="B339" s="3"/>
      <c r="C339" s="3" t="s">
        <v>29</v>
      </c>
      <c r="D339" s="3"/>
      <c r="E339" s="3"/>
      <c r="F339" s="3"/>
      <c r="G339" s="3" t="s">
        <v>784</v>
      </c>
      <c r="H339" s="3"/>
      <c r="I339" s="3"/>
      <c r="J339" s="3"/>
      <c r="K339" s="3"/>
      <c r="L339" s="3"/>
      <c r="M339" s="3"/>
      <c r="N339" s="3"/>
      <c r="O339" s="3"/>
      <c r="P339" s="3"/>
      <c r="Q339" s="3"/>
      <c r="R339" s="3"/>
      <c r="S339" s="3"/>
      <c r="T339" s="3"/>
      <c r="U339" s="3"/>
      <c r="V339" s="3"/>
      <c r="W339" s="3"/>
      <c r="X339" s="3"/>
      <c r="Y339" s="3"/>
      <c r="Z339" s="3"/>
      <c r="AA339" s="3"/>
      <c r="AB339" s="3"/>
    </row>
    <row r="340" spans="1:28" x14ac:dyDescent="0.35">
      <c r="A340" s="3"/>
      <c r="B340" s="3" t="s">
        <v>785</v>
      </c>
      <c r="C340" s="3" t="s">
        <v>50</v>
      </c>
      <c r="D340" s="3" t="s">
        <v>51</v>
      </c>
      <c r="E340" s="3" t="s">
        <v>52</v>
      </c>
      <c r="F340" s="3"/>
      <c r="G340" s="3" t="s">
        <v>786</v>
      </c>
      <c r="H340" s="3"/>
      <c r="I340" s="3"/>
      <c r="J340" s="3"/>
      <c r="K340" s="3"/>
      <c r="L340" s="3"/>
      <c r="M340" s="3"/>
      <c r="N340" s="3"/>
      <c r="O340" s="3"/>
      <c r="P340" s="3"/>
      <c r="Q340" s="3"/>
      <c r="R340" s="3"/>
      <c r="S340" s="3"/>
      <c r="T340" s="3"/>
      <c r="U340" s="3"/>
      <c r="V340" s="3"/>
      <c r="W340" s="3"/>
      <c r="X340" s="3"/>
      <c r="Y340" s="3"/>
      <c r="Z340" s="3"/>
      <c r="AA340" s="3"/>
      <c r="AB340" s="3"/>
    </row>
    <row r="341" spans="1:28" x14ac:dyDescent="0.35">
      <c r="A341" s="3"/>
      <c r="B341" s="3"/>
      <c r="C341" s="3" t="s">
        <v>57</v>
      </c>
      <c r="D341" s="3"/>
      <c r="E341" s="3"/>
      <c r="F341" s="3"/>
      <c r="G341" s="3" t="s">
        <v>58</v>
      </c>
      <c r="H341" s="3"/>
      <c r="I341" s="3"/>
      <c r="J341" s="3"/>
      <c r="K341" s="3"/>
      <c r="L341" s="3"/>
      <c r="M341" s="3"/>
      <c r="N341" s="3"/>
      <c r="O341" s="3"/>
      <c r="P341" s="3"/>
      <c r="Q341" s="3"/>
      <c r="R341" s="3"/>
      <c r="S341" s="3"/>
      <c r="T341" s="3"/>
      <c r="U341" s="3"/>
      <c r="V341" s="3"/>
      <c r="W341" s="3"/>
      <c r="X341" s="3"/>
      <c r="Y341" s="3"/>
      <c r="Z341" s="3"/>
      <c r="AA341" s="3"/>
      <c r="AB341" s="3"/>
    </row>
    <row r="342" spans="1:28" x14ac:dyDescent="0.35">
      <c r="A342" s="3"/>
      <c r="B342" s="3" t="s">
        <v>787</v>
      </c>
      <c r="C342" s="3" t="s">
        <v>700</v>
      </c>
      <c r="D342" s="3" t="s">
        <v>701</v>
      </c>
      <c r="E342" s="3" t="s">
        <v>702</v>
      </c>
      <c r="F342" s="3"/>
      <c r="G342" s="3" t="s">
        <v>788</v>
      </c>
      <c r="H342" s="3"/>
      <c r="I342" s="3"/>
      <c r="J342" s="3"/>
      <c r="K342" s="3"/>
      <c r="L342" s="3"/>
      <c r="M342" s="3"/>
      <c r="N342" s="3"/>
      <c r="O342" s="3"/>
      <c r="P342" s="3"/>
      <c r="Q342" s="3"/>
      <c r="R342" s="3"/>
      <c r="S342" s="3"/>
      <c r="T342" s="3"/>
      <c r="U342" s="3"/>
      <c r="V342" s="3"/>
      <c r="W342" s="3"/>
      <c r="X342" s="3"/>
      <c r="Y342" s="3"/>
      <c r="Z342" s="3"/>
      <c r="AA342" s="3"/>
      <c r="AB342" s="3"/>
    </row>
    <row r="343" spans="1:28" x14ac:dyDescent="0.35">
      <c r="A343" s="3"/>
      <c r="B343" s="3"/>
      <c r="C343" s="3" t="s">
        <v>706</v>
      </c>
      <c r="D343" s="3"/>
      <c r="E343" s="3"/>
      <c r="F343" s="3"/>
      <c r="G343" s="3" t="s">
        <v>790</v>
      </c>
      <c r="H343" s="3"/>
      <c r="I343" s="3"/>
      <c r="J343" s="3"/>
      <c r="K343" s="3"/>
      <c r="L343" s="3"/>
      <c r="M343" s="3"/>
      <c r="N343" s="3"/>
      <c r="O343" s="3"/>
      <c r="P343" s="3"/>
      <c r="Q343" s="3"/>
      <c r="R343" s="3"/>
      <c r="S343" s="3"/>
      <c r="T343" s="3"/>
      <c r="U343" s="3"/>
      <c r="V343" s="3"/>
      <c r="W343" s="3"/>
      <c r="X343" s="3"/>
      <c r="Y343" s="3"/>
      <c r="Z343" s="3"/>
      <c r="AA343" s="3"/>
      <c r="AB343" s="3"/>
    </row>
    <row r="344" spans="1:28" x14ac:dyDescent="0.35">
      <c r="A344" s="3"/>
      <c r="B344" s="3"/>
      <c r="C344" s="3" t="s">
        <v>711</v>
      </c>
      <c r="D344" s="3"/>
      <c r="E344" s="3"/>
      <c r="F344" s="3"/>
      <c r="G344" s="3" t="s">
        <v>793</v>
      </c>
      <c r="H344" s="3"/>
      <c r="I344" s="3"/>
      <c r="J344" s="3"/>
      <c r="K344" s="3"/>
      <c r="L344" s="3"/>
      <c r="M344" s="3"/>
      <c r="N344" s="3"/>
      <c r="O344" s="3"/>
      <c r="P344" s="3"/>
      <c r="Q344" s="3"/>
      <c r="R344" s="3"/>
      <c r="S344" s="3"/>
      <c r="T344" s="3"/>
      <c r="U344" s="3"/>
      <c r="V344" s="3"/>
      <c r="W344" s="3"/>
      <c r="X344" s="3"/>
      <c r="Y344" s="3"/>
      <c r="Z344" s="3"/>
      <c r="AA344" s="3"/>
      <c r="AB344" s="3"/>
    </row>
    <row r="345" spans="1:28" x14ac:dyDescent="0.35">
      <c r="A345" s="3"/>
      <c r="B345" s="3" t="s">
        <v>753</v>
      </c>
      <c r="C345" s="3" t="s">
        <v>75</v>
      </c>
      <c r="D345" s="3" t="s">
        <v>76</v>
      </c>
      <c r="E345" s="3" t="s">
        <v>77</v>
      </c>
      <c r="F345" s="3"/>
      <c r="G345" s="3" t="s">
        <v>798</v>
      </c>
      <c r="H345" s="3"/>
      <c r="I345" s="3"/>
      <c r="J345" s="3"/>
      <c r="K345" s="3"/>
      <c r="L345" s="3"/>
      <c r="M345" s="3"/>
      <c r="N345" s="3"/>
      <c r="O345" s="3"/>
      <c r="P345" s="3"/>
      <c r="Q345" s="3"/>
      <c r="R345" s="3"/>
      <c r="S345" s="3"/>
      <c r="T345" s="3"/>
      <c r="U345" s="3"/>
      <c r="V345" s="3"/>
      <c r="W345" s="3"/>
      <c r="X345" s="3"/>
      <c r="Y345" s="3"/>
      <c r="Z345" s="3"/>
      <c r="AA345" s="3"/>
      <c r="AB345" s="3"/>
    </row>
    <row r="346" spans="1:28" x14ac:dyDescent="0.35">
      <c r="A346" s="3"/>
      <c r="B346" s="3"/>
      <c r="C346" s="3" t="s">
        <v>318</v>
      </c>
      <c r="D346" s="3"/>
      <c r="E346" s="3"/>
      <c r="F346" s="3"/>
      <c r="G346" s="3" t="s">
        <v>802</v>
      </c>
      <c r="H346" s="3"/>
      <c r="I346" s="3"/>
      <c r="J346" s="3"/>
      <c r="K346" s="3"/>
      <c r="L346" s="3"/>
      <c r="M346" s="3"/>
      <c r="N346" s="3"/>
      <c r="O346" s="3"/>
      <c r="P346" s="3"/>
      <c r="Q346" s="3"/>
      <c r="R346" s="3"/>
      <c r="S346" s="3"/>
      <c r="T346" s="3"/>
      <c r="U346" s="3"/>
      <c r="V346" s="3"/>
      <c r="W346" s="3"/>
      <c r="X346" s="3"/>
      <c r="Y346" s="3"/>
      <c r="Z346" s="3"/>
      <c r="AA346" s="3"/>
      <c r="AB346" s="3"/>
    </row>
    <row r="347" spans="1:28" x14ac:dyDescent="0.35">
      <c r="A347" s="3"/>
      <c r="B347" s="3"/>
      <c r="C347" s="3" t="s">
        <v>89</v>
      </c>
      <c r="D347" s="3"/>
      <c r="E347" s="3"/>
      <c r="F347" s="3"/>
      <c r="G347" s="3" t="s">
        <v>803</v>
      </c>
      <c r="H347" s="3"/>
      <c r="I347" s="3"/>
      <c r="J347" s="3"/>
      <c r="K347" s="3"/>
      <c r="L347" s="3"/>
      <c r="M347" s="3"/>
      <c r="N347" s="3"/>
      <c r="O347" s="3"/>
      <c r="P347" s="3"/>
      <c r="Q347" s="3"/>
      <c r="R347" s="3"/>
      <c r="S347" s="3"/>
      <c r="T347" s="3"/>
      <c r="U347" s="3"/>
      <c r="V347" s="3"/>
      <c r="W347" s="3"/>
      <c r="X347" s="3"/>
      <c r="Y347" s="3"/>
      <c r="Z347" s="3"/>
      <c r="AA347" s="3"/>
      <c r="AB347" s="3"/>
    </row>
    <row r="348" spans="1:28" x14ac:dyDescent="0.35">
      <c r="A348" s="3"/>
      <c r="B348" s="3"/>
      <c r="C348" s="3" t="s">
        <v>97</v>
      </c>
      <c r="D348" s="3"/>
      <c r="E348" s="3"/>
      <c r="F348" s="3"/>
      <c r="G348" s="3" t="s">
        <v>805</v>
      </c>
      <c r="H348" s="3"/>
      <c r="I348" s="3"/>
      <c r="J348" s="3"/>
      <c r="K348" s="3"/>
      <c r="L348" s="3"/>
      <c r="M348" s="3"/>
      <c r="N348" s="3"/>
      <c r="O348" s="3"/>
      <c r="P348" s="3"/>
      <c r="Q348" s="3"/>
      <c r="R348" s="3"/>
      <c r="S348" s="3"/>
      <c r="T348" s="3"/>
      <c r="U348" s="3"/>
      <c r="V348" s="3"/>
      <c r="W348" s="3"/>
      <c r="X348" s="3"/>
      <c r="Y348" s="3"/>
      <c r="Z348" s="3"/>
      <c r="AA348" s="3"/>
      <c r="AB348" s="3"/>
    </row>
    <row r="349" spans="1:28" x14ac:dyDescent="0.35">
      <c r="A349" s="3"/>
      <c r="B349" s="3" t="s">
        <v>812</v>
      </c>
      <c r="C349" s="3" t="s">
        <v>813</v>
      </c>
      <c r="D349" s="3" t="s">
        <v>814</v>
      </c>
      <c r="E349" s="3" t="s">
        <v>815</v>
      </c>
      <c r="F349" s="3"/>
      <c r="G349" s="3" t="s">
        <v>816</v>
      </c>
      <c r="H349" s="3"/>
      <c r="I349" s="3"/>
      <c r="J349" s="3"/>
      <c r="K349" s="3"/>
      <c r="L349" s="3"/>
      <c r="M349" s="3"/>
      <c r="N349" s="3"/>
      <c r="O349" s="3"/>
      <c r="P349" s="3"/>
      <c r="Q349" s="3"/>
      <c r="R349" s="3"/>
      <c r="S349" s="3"/>
      <c r="T349" s="3"/>
      <c r="U349" s="3"/>
      <c r="V349" s="3"/>
      <c r="W349" s="3"/>
      <c r="X349" s="3"/>
      <c r="Y349" s="3"/>
      <c r="Z349" s="3"/>
      <c r="AA349" s="3"/>
      <c r="AB349" s="3"/>
    </row>
    <row r="350" spans="1:28" x14ac:dyDescent="0.35">
      <c r="A350" s="3"/>
      <c r="B350" s="3"/>
      <c r="C350" s="3" t="s">
        <v>819</v>
      </c>
      <c r="D350" s="3" t="s">
        <v>76</v>
      </c>
      <c r="E350" s="3" t="s">
        <v>77</v>
      </c>
      <c r="F350" s="3"/>
      <c r="G350" s="3" t="s">
        <v>820</v>
      </c>
      <c r="H350" s="3"/>
      <c r="I350" s="3"/>
      <c r="J350" s="3"/>
      <c r="K350" s="3"/>
      <c r="L350" s="3"/>
      <c r="M350" s="3"/>
      <c r="N350" s="3"/>
      <c r="O350" s="3"/>
      <c r="P350" s="3"/>
      <c r="Q350" s="3"/>
      <c r="R350" s="3"/>
      <c r="S350" s="3"/>
      <c r="T350" s="3"/>
      <c r="U350" s="3"/>
      <c r="V350" s="3"/>
      <c r="W350" s="3"/>
      <c r="X350" s="3"/>
      <c r="Y350" s="3"/>
      <c r="Z350" s="3"/>
      <c r="AA350" s="3"/>
      <c r="AB350" s="3"/>
    </row>
    <row r="351" spans="1:28" x14ac:dyDescent="0.35">
      <c r="A351" s="3"/>
      <c r="B351" s="3"/>
      <c r="C351" s="3" t="s">
        <v>824</v>
      </c>
      <c r="D351" s="3"/>
      <c r="E351" s="3"/>
      <c r="F351" s="3"/>
      <c r="G351" s="3" t="s">
        <v>825</v>
      </c>
      <c r="H351" s="3"/>
      <c r="I351" s="3"/>
      <c r="J351" s="3"/>
      <c r="K351" s="3"/>
      <c r="L351" s="3"/>
      <c r="M351" s="3"/>
      <c r="N351" s="3"/>
      <c r="O351" s="3"/>
      <c r="P351" s="3"/>
      <c r="Q351" s="3"/>
      <c r="R351" s="3"/>
      <c r="S351" s="3"/>
      <c r="T351" s="3"/>
      <c r="U351" s="3"/>
      <c r="V351" s="3"/>
      <c r="W351" s="3"/>
      <c r="X351" s="3"/>
      <c r="Y351" s="3"/>
      <c r="Z351" s="3"/>
      <c r="AA351" s="3"/>
      <c r="AB351" s="3"/>
    </row>
    <row r="352" spans="1:28" x14ac:dyDescent="0.35">
      <c r="A352" s="3"/>
      <c r="B352" s="3"/>
      <c r="C352" s="3" t="s">
        <v>830</v>
      </c>
      <c r="D352" s="3"/>
      <c r="E352" s="3"/>
      <c r="F352" s="3"/>
      <c r="G352" s="3" t="s">
        <v>831</v>
      </c>
      <c r="H352" s="3"/>
      <c r="I352" s="3"/>
      <c r="J352" s="3"/>
      <c r="K352" s="3"/>
      <c r="L352" s="3"/>
      <c r="M352" s="3"/>
      <c r="N352" s="3"/>
      <c r="O352" s="3"/>
      <c r="P352" s="3"/>
      <c r="Q352" s="3"/>
      <c r="R352" s="3"/>
      <c r="S352" s="3"/>
      <c r="T352" s="3"/>
      <c r="U352" s="3"/>
      <c r="V352" s="3"/>
      <c r="W352" s="3"/>
      <c r="X352" s="3"/>
      <c r="Y352" s="3"/>
      <c r="Z352" s="3"/>
      <c r="AA352" s="3"/>
      <c r="AB352" s="3"/>
    </row>
    <row r="353" spans="1:28" x14ac:dyDescent="0.35">
      <c r="A353" s="3"/>
      <c r="B353" s="3" t="s">
        <v>837</v>
      </c>
      <c r="C353" s="3" t="s">
        <v>838</v>
      </c>
      <c r="D353" s="5"/>
      <c r="E353" s="3"/>
      <c r="F353" s="3"/>
      <c r="G353" s="3" t="s">
        <v>839</v>
      </c>
      <c r="H353" s="3"/>
      <c r="I353" s="3"/>
      <c r="J353" s="3"/>
      <c r="K353" s="3"/>
      <c r="L353" s="3"/>
      <c r="M353" s="3"/>
      <c r="N353" s="3"/>
      <c r="O353" s="3"/>
      <c r="P353" s="3"/>
      <c r="Q353" s="3"/>
      <c r="R353" s="3"/>
      <c r="S353" s="3"/>
      <c r="T353" s="3"/>
      <c r="U353" s="3"/>
      <c r="V353" s="3"/>
      <c r="W353" s="3"/>
      <c r="X353" s="3"/>
      <c r="Y353" s="3"/>
      <c r="Z353" s="3"/>
      <c r="AA353" s="3"/>
      <c r="AB353" s="3"/>
    </row>
    <row r="354" spans="1:28" x14ac:dyDescent="0.35">
      <c r="A354" s="3"/>
      <c r="B354" s="3"/>
      <c r="C354" s="3" t="s">
        <v>843</v>
      </c>
      <c r="D354" s="5"/>
      <c r="E354" s="3"/>
      <c r="F354" s="3"/>
      <c r="G354" s="3" t="s">
        <v>844</v>
      </c>
      <c r="H354" s="3"/>
      <c r="I354" s="3"/>
      <c r="J354" s="3"/>
      <c r="K354" s="3"/>
      <c r="L354" s="3"/>
      <c r="M354" s="3"/>
      <c r="N354" s="3"/>
      <c r="O354" s="3"/>
      <c r="P354" s="3"/>
      <c r="Q354" s="3"/>
      <c r="R354" s="3"/>
      <c r="S354" s="3"/>
      <c r="T354" s="3"/>
      <c r="U354" s="3"/>
      <c r="V354" s="3"/>
      <c r="W354" s="3"/>
      <c r="X354" s="3"/>
      <c r="Y354" s="3"/>
      <c r="Z354" s="3"/>
      <c r="AA354" s="3"/>
      <c r="AB354" s="3"/>
    </row>
    <row r="355" spans="1:28" x14ac:dyDescent="0.35">
      <c r="A355" s="3"/>
      <c r="B355" s="3"/>
      <c r="C355" s="3" t="s">
        <v>64</v>
      </c>
      <c r="D355" s="3"/>
      <c r="E355" s="3"/>
      <c r="F355" s="3"/>
      <c r="G355" s="3" t="s">
        <v>849</v>
      </c>
      <c r="H355" s="3"/>
      <c r="I355" s="3"/>
      <c r="J355" s="3"/>
      <c r="K355" s="3"/>
      <c r="L355" s="3"/>
      <c r="M355" s="3"/>
      <c r="N355" s="3"/>
      <c r="O355" s="3"/>
      <c r="P355" s="3"/>
      <c r="Q355" s="3"/>
      <c r="R355" s="3"/>
      <c r="S355" s="3"/>
      <c r="T355" s="3"/>
      <c r="U355" s="3"/>
      <c r="V355" s="3"/>
      <c r="W355" s="3"/>
      <c r="X355" s="3"/>
      <c r="Y355" s="3"/>
      <c r="Z355" s="3"/>
      <c r="AA355" s="3"/>
      <c r="AB355" s="3"/>
    </row>
    <row r="356" spans="1:28" x14ac:dyDescent="0.35">
      <c r="A356" s="3"/>
      <c r="B356" s="3" t="s">
        <v>850</v>
      </c>
      <c r="C356" s="3" t="s">
        <v>851</v>
      </c>
      <c r="D356" s="3" t="s">
        <v>814</v>
      </c>
      <c r="E356" s="3" t="s">
        <v>815</v>
      </c>
      <c r="F356" s="3"/>
      <c r="G356" s="3" t="s">
        <v>852</v>
      </c>
      <c r="H356" s="3"/>
      <c r="I356" s="3"/>
      <c r="J356" s="3"/>
      <c r="K356" s="3"/>
      <c r="L356" s="3"/>
      <c r="M356" s="3"/>
      <c r="N356" s="3"/>
      <c r="O356" s="3"/>
      <c r="P356" s="3"/>
      <c r="Q356" s="3"/>
      <c r="R356" s="3"/>
      <c r="S356" s="3"/>
      <c r="T356" s="3"/>
      <c r="U356" s="3"/>
      <c r="V356" s="3"/>
      <c r="W356" s="3"/>
      <c r="X356" s="3"/>
      <c r="Y356" s="3"/>
      <c r="Z356" s="3"/>
      <c r="AA356" s="3"/>
      <c r="AB356" s="3"/>
    </row>
    <row r="357" spans="1:28" x14ac:dyDescent="0.35">
      <c r="A357" s="3"/>
      <c r="B357" s="3"/>
      <c r="C357" s="3" t="s">
        <v>855</v>
      </c>
      <c r="D357" s="3"/>
      <c r="E357" s="3"/>
      <c r="F357" s="3"/>
      <c r="G357" s="3" t="s">
        <v>856</v>
      </c>
      <c r="H357" s="3"/>
      <c r="I357" s="3"/>
      <c r="J357" s="3"/>
      <c r="K357" s="3"/>
      <c r="L357" s="3"/>
      <c r="M357" s="3"/>
      <c r="N357" s="3"/>
      <c r="O357" s="3"/>
      <c r="P357" s="3"/>
      <c r="Q357" s="3"/>
      <c r="R357" s="3"/>
      <c r="S357" s="3"/>
      <c r="T357" s="3"/>
      <c r="U357" s="3"/>
      <c r="V357" s="3"/>
      <c r="W357" s="3"/>
      <c r="X357" s="3"/>
      <c r="Y357" s="3"/>
      <c r="Z357" s="3"/>
      <c r="AA357" s="3"/>
      <c r="AB357" s="3"/>
    </row>
    <row r="358" spans="1:28" x14ac:dyDescent="0.35">
      <c r="A358" s="3"/>
      <c r="B358" s="3" t="s">
        <v>859</v>
      </c>
      <c r="C358" s="3"/>
      <c r="D358" s="3" t="s">
        <v>76</v>
      </c>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x14ac:dyDescent="0.35">
      <c r="A359" s="3"/>
      <c r="B359" s="5" t="s">
        <v>761</v>
      </c>
      <c r="C359" s="5" t="s">
        <v>131</v>
      </c>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x14ac:dyDescent="0.35">
      <c r="A360" s="3"/>
      <c r="B360" s="3" t="s">
        <v>776</v>
      </c>
      <c r="C360" s="3" t="s">
        <v>142</v>
      </c>
      <c r="D360" s="3" t="s">
        <v>174</v>
      </c>
      <c r="E360" s="3" t="s">
        <v>175</v>
      </c>
      <c r="F360" s="3"/>
      <c r="G360" s="3" t="s">
        <v>860</v>
      </c>
      <c r="H360" s="3"/>
      <c r="I360" s="3"/>
      <c r="J360" s="3"/>
      <c r="K360" s="3"/>
      <c r="L360" s="3"/>
      <c r="M360" s="3"/>
      <c r="N360" s="3"/>
      <c r="O360" s="3"/>
      <c r="P360" s="3"/>
      <c r="Q360" s="3"/>
      <c r="R360" s="3"/>
      <c r="S360" s="3"/>
      <c r="T360" s="3"/>
      <c r="U360" s="3"/>
      <c r="V360" s="3"/>
      <c r="W360" s="3"/>
      <c r="X360" s="3"/>
      <c r="Y360" s="3"/>
      <c r="Z360" s="3"/>
      <c r="AA360" s="3"/>
      <c r="AB360" s="3"/>
    </row>
    <row r="361" spans="1:28" x14ac:dyDescent="0.35">
      <c r="A361" s="3"/>
      <c r="B361" s="3"/>
      <c r="C361" s="3" t="s">
        <v>148</v>
      </c>
      <c r="D361" s="3"/>
      <c r="E361" s="5"/>
      <c r="F361" s="3"/>
      <c r="G361" s="3" t="s">
        <v>862</v>
      </c>
      <c r="H361" s="3"/>
      <c r="I361" s="3"/>
      <c r="J361" s="3"/>
      <c r="K361" s="3"/>
      <c r="L361" s="3"/>
      <c r="M361" s="3"/>
      <c r="N361" s="3"/>
      <c r="O361" s="3"/>
      <c r="P361" s="3"/>
      <c r="Q361" s="3"/>
      <c r="R361" s="3"/>
      <c r="S361" s="3"/>
      <c r="T361" s="3"/>
      <c r="U361" s="3"/>
      <c r="V361" s="3"/>
      <c r="W361" s="3"/>
      <c r="X361" s="3"/>
      <c r="Y361" s="3"/>
      <c r="Z361" s="3"/>
      <c r="AA361" s="3"/>
      <c r="AB361" s="3"/>
    </row>
    <row r="362" spans="1:28" x14ac:dyDescent="0.35">
      <c r="A362" s="3"/>
      <c r="B362" s="3"/>
      <c r="C362" s="3" t="s">
        <v>182</v>
      </c>
      <c r="D362" s="3"/>
      <c r="E362" s="5"/>
      <c r="F362" s="3"/>
      <c r="G362" s="3" t="s">
        <v>866</v>
      </c>
      <c r="H362" s="3"/>
      <c r="I362" s="3"/>
      <c r="J362" s="3"/>
      <c r="K362" s="3"/>
      <c r="L362" s="3"/>
      <c r="M362" s="3"/>
      <c r="N362" s="3"/>
      <c r="O362" s="3"/>
      <c r="P362" s="3"/>
      <c r="Q362" s="3"/>
      <c r="R362" s="3"/>
      <c r="S362" s="3"/>
      <c r="T362" s="3"/>
      <c r="U362" s="3"/>
      <c r="V362" s="3"/>
      <c r="W362" s="3"/>
      <c r="X362" s="3"/>
      <c r="Y362" s="3"/>
      <c r="Z362" s="3"/>
      <c r="AA362" s="3"/>
      <c r="AB362" s="3"/>
    </row>
    <row r="363" spans="1:28" x14ac:dyDescent="0.35">
      <c r="A363" s="3"/>
      <c r="B363" s="3" t="s">
        <v>870</v>
      </c>
      <c r="C363" s="3" t="s">
        <v>1692</v>
      </c>
      <c r="D363" s="3" t="s">
        <v>814</v>
      </c>
      <c r="E363" s="3" t="s">
        <v>815</v>
      </c>
      <c r="F363" s="3"/>
      <c r="G363" s="3" t="s">
        <v>1693</v>
      </c>
      <c r="H363" s="3"/>
      <c r="I363" s="3"/>
      <c r="J363" s="3"/>
      <c r="K363" s="3"/>
      <c r="L363" s="3"/>
      <c r="M363" s="3"/>
      <c r="N363" s="3"/>
      <c r="O363" s="3"/>
      <c r="P363" s="3"/>
      <c r="Q363" s="3"/>
      <c r="R363" s="3"/>
      <c r="S363" s="3"/>
      <c r="T363" s="3"/>
      <c r="U363" s="3"/>
      <c r="V363" s="3"/>
      <c r="W363" s="3"/>
      <c r="X363" s="3"/>
      <c r="Y363" s="3"/>
      <c r="Z363" s="3"/>
      <c r="AA363" s="3"/>
      <c r="AB363" s="3"/>
    </row>
    <row r="364" spans="1:28" x14ac:dyDescent="0.35">
      <c r="A364" s="3"/>
      <c r="B364" s="3"/>
      <c r="C364" s="3" t="s">
        <v>876</v>
      </c>
      <c r="D364" s="3" t="s">
        <v>76</v>
      </c>
      <c r="E364" s="3" t="s">
        <v>175</v>
      </c>
      <c r="F364" s="3"/>
      <c r="G364" s="3" t="s">
        <v>877</v>
      </c>
      <c r="H364" s="3"/>
      <c r="I364" s="3"/>
      <c r="J364" s="3"/>
      <c r="K364" s="3"/>
      <c r="L364" s="3"/>
      <c r="M364" s="3"/>
      <c r="N364" s="3"/>
      <c r="O364" s="3"/>
      <c r="P364" s="3"/>
      <c r="Q364" s="3"/>
      <c r="R364" s="3"/>
      <c r="S364" s="3"/>
      <c r="T364" s="3"/>
      <c r="U364" s="3"/>
      <c r="V364" s="3"/>
      <c r="W364" s="3"/>
      <c r="X364" s="3"/>
      <c r="Y364" s="3"/>
      <c r="Z364" s="3"/>
      <c r="AA364" s="3"/>
      <c r="AB364" s="3"/>
    </row>
    <row r="365" spans="1:28" x14ac:dyDescent="0.35">
      <c r="A365" s="3"/>
      <c r="B365" s="3"/>
      <c r="C365" s="3" t="s">
        <v>883</v>
      </c>
      <c r="D365" s="3"/>
      <c r="E365" s="3"/>
      <c r="F365" s="3"/>
      <c r="G365" s="3" t="s">
        <v>884</v>
      </c>
      <c r="H365" s="3"/>
      <c r="I365" s="3"/>
      <c r="J365" s="3"/>
      <c r="K365" s="3"/>
      <c r="L365" s="3"/>
      <c r="M365" s="3"/>
      <c r="N365" s="3"/>
      <c r="O365" s="3"/>
      <c r="P365" s="3"/>
      <c r="Q365" s="3"/>
      <c r="R365" s="3"/>
      <c r="S365" s="3"/>
      <c r="T365" s="3"/>
      <c r="U365" s="3"/>
      <c r="V365" s="3"/>
      <c r="W365" s="3"/>
      <c r="X365" s="3"/>
      <c r="Y365" s="3"/>
      <c r="Z365" s="3"/>
      <c r="AA365" s="3"/>
      <c r="AB365" s="3"/>
    </row>
    <row r="366" spans="1:28"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x14ac:dyDescent="0.35">
      <c r="A367" s="3" t="s">
        <v>889</v>
      </c>
      <c r="B367" s="3" t="s">
        <v>890</v>
      </c>
      <c r="C367" s="3" t="s">
        <v>25</v>
      </c>
      <c r="D367" s="3"/>
      <c r="E367" s="3"/>
      <c r="F367" s="3"/>
      <c r="G367" s="3" t="s">
        <v>891</v>
      </c>
      <c r="H367" s="3"/>
      <c r="I367" s="3"/>
      <c r="J367" s="3"/>
      <c r="K367" s="3"/>
      <c r="L367" s="3"/>
      <c r="M367" s="3"/>
      <c r="N367" s="3"/>
      <c r="O367" s="3"/>
      <c r="P367" s="3"/>
      <c r="Q367" s="3"/>
      <c r="R367" s="3"/>
      <c r="S367" s="3"/>
      <c r="T367" s="3"/>
      <c r="U367" s="3"/>
      <c r="V367" s="3"/>
      <c r="W367" s="3"/>
      <c r="X367" s="3"/>
      <c r="Y367" s="3"/>
      <c r="Z367" s="3"/>
      <c r="AA367" s="3"/>
      <c r="AB367" s="3"/>
    </row>
    <row r="368" spans="1:28" x14ac:dyDescent="0.35">
      <c r="A368" s="3"/>
      <c r="B368" s="3"/>
      <c r="C368" s="3" t="s">
        <v>29</v>
      </c>
      <c r="D368" s="3"/>
      <c r="E368" s="3"/>
      <c r="F368" s="3"/>
      <c r="G368" s="3" t="s">
        <v>892</v>
      </c>
      <c r="H368" s="3"/>
      <c r="I368" s="3"/>
      <c r="J368" s="3"/>
      <c r="K368" s="3"/>
      <c r="L368" s="3"/>
      <c r="M368" s="3"/>
      <c r="N368" s="3"/>
      <c r="O368" s="3"/>
      <c r="P368" s="3"/>
      <c r="Q368" s="3"/>
      <c r="R368" s="3"/>
      <c r="S368" s="3"/>
      <c r="T368" s="3"/>
      <c r="U368" s="3"/>
      <c r="V368" s="3"/>
      <c r="W368" s="3"/>
      <c r="X368" s="3"/>
      <c r="Y368" s="3"/>
      <c r="Z368" s="3"/>
      <c r="AA368" s="3"/>
      <c r="AB368" s="3"/>
    </row>
    <row r="369" spans="1:28" x14ac:dyDescent="0.35">
      <c r="A369" s="3"/>
      <c r="B369" s="3" t="s">
        <v>893</v>
      </c>
      <c r="C369" s="3" t="s">
        <v>50</v>
      </c>
      <c r="D369" s="3" t="s">
        <v>51</v>
      </c>
      <c r="E369" s="3" t="s">
        <v>52</v>
      </c>
      <c r="F369" s="3"/>
      <c r="G369" s="3" t="s">
        <v>53</v>
      </c>
      <c r="H369" s="3"/>
      <c r="I369" s="3"/>
      <c r="J369" s="3"/>
      <c r="K369" s="3"/>
      <c r="L369" s="3"/>
      <c r="M369" s="3"/>
      <c r="N369" s="3"/>
      <c r="O369" s="3"/>
      <c r="P369" s="3"/>
      <c r="Q369" s="3"/>
      <c r="R369" s="3"/>
      <c r="S369" s="3"/>
      <c r="T369" s="3"/>
      <c r="U369" s="3"/>
      <c r="V369" s="3"/>
      <c r="W369" s="3"/>
      <c r="X369" s="3"/>
      <c r="Y369" s="3"/>
      <c r="Z369" s="3"/>
      <c r="AA369" s="3"/>
      <c r="AB369" s="3"/>
    </row>
    <row r="370" spans="1:28" x14ac:dyDescent="0.35">
      <c r="A370" s="3"/>
      <c r="B370" s="3"/>
      <c r="C370" s="3" t="s">
        <v>57</v>
      </c>
      <c r="D370" s="3"/>
      <c r="E370" s="3"/>
      <c r="F370" s="3"/>
      <c r="G370" s="3" t="s">
        <v>58</v>
      </c>
      <c r="H370" s="3"/>
      <c r="I370" s="3"/>
      <c r="J370" s="3"/>
      <c r="K370" s="3"/>
      <c r="L370" s="3"/>
      <c r="M370" s="3"/>
      <c r="N370" s="3"/>
      <c r="O370" s="3"/>
      <c r="P370" s="3"/>
      <c r="Q370" s="3"/>
      <c r="R370" s="3"/>
      <c r="S370" s="3"/>
      <c r="T370" s="3"/>
      <c r="U370" s="3"/>
      <c r="V370" s="3"/>
      <c r="W370" s="3"/>
      <c r="X370" s="3"/>
      <c r="Y370" s="3"/>
      <c r="Z370" s="3"/>
      <c r="AA370" s="3"/>
      <c r="AB370" s="3"/>
    </row>
    <row r="371" spans="1:28" x14ac:dyDescent="0.35">
      <c r="A371" s="3"/>
      <c r="B371" s="3" t="s">
        <v>894</v>
      </c>
      <c r="C371" s="3" t="s">
        <v>700</v>
      </c>
      <c r="D371" s="3" t="s">
        <v>701</v>
      </c>
      <c r="E371" s="3" t="s">
        <v>702</v>
      </c>
      <c r="F371" s="3"/>
      <c r="G371" s="3" t="s">
        <v>895</v>
      </c>
      <c r="H371" s="3"/>
      <c r="I371" s="3"/>
      <c r="J371" s="3"/>
      <c r="K371" s="3"/>
      <c r="L371" s="3"/>
      <c r="M371" s="3"/>
      <c r="N371" s="3"/>
      <c r="O371" s="3"/>
      <c r="P371" s="3"/>
      <c r="Q371" s="3"/>
      <c r="R371" s="3"/>
      <c r="S371" s="3"/>
      <c r="T371" s="3"/>
      <c r="U371" s="3"/>
      <c r="V371" s="3"/>
      <c r="W371" s="3"/>
      <c r="X371" s="3"/>
      <c r="Y371" s="3"/>
      <c r="Z371" s="3"/>
      <c r="AA371" s="3"/>
      <c r="AB371" s="3"/>
    </row>
    <row r="372" spans="1:28" x14ac:dyDescent="0.35">
      <c r="A372" s="3"/>
      <c r="B372" s="3"/>
      <c r="C372" s="3" t="s">
        <v>706</v>
      </c>
      <c r="D372" s="3"/>
      <c r="E372" s="3"/>
      <c r="F372" s="3"/>
      <c r="G372" s="3" t="s">
        <v>897</v>
      </c>
      <c r="H372" s="3"/>
      <c r="I372" s="3"/>
      <c r="J372" s="3"/>
      <c r="K372" s="3"/>
      <c r="L372" s="3"/>
      <c r="M372" s="3"/>
      <c r="N372" s="3"/>
      <c r="O372" s="3"/>
      <c r="P372" s="3"/>
      <c r="Q372" s="3"/>
      <c r="R372" s="3"/>
      <c r="S372" s="3"/>
      <c r="T372" s="3"/>
      <c r="U372" s="3"/>
      <c r="V372" s="3"/>
      <c r="W372" s="3"/>
      <c r="X372" s="3"/>
      <c r="Y372" s="3"/>
      <c r="Z372" s="3"/>
      <c r="AA372" s="3"/>
      <c r="AB372" s="3"/>
    </row>
    <row r="373" spans="1:28" x14ac:dyDescent="0.35">
      <c r="A373" s="3"/>
      <c r="B373" s="3"/>
      <c r="C373" s="3" t="s">
        <v>711</v>
      </c>
      <c r="D373" s="3"/>
      <c r="E373" s="3"/>
      <c r="F373" s="3"/>
      <c r="G373" s="3" t="s">
        <v>902</v>
      </c>
      <c r="H373" s="3"/>
      <c r="I373" s="3"/>
      <c r="J373" s="3"/>
      <c r="K373" s="3"/>
      <c r="L373" s="3"/>
      <c r="M373" s="3"/>
      <c r="N373" s="3"/>
      <c r="O373" s="3"/>
      <c r="P373" s="3"/>
      <c r="Q373" s="3"/>
      <c r="R373" s="3"/>
      <c r="S373" s="3"/>
      <c r="T373" s="3"/>
      <c r="U373" s="3"/>
      <c r="V373" s="3"/>
      <c r="W373" s="3"/>
      <c r="X373" s="3"/>
      <c r="Y373" s="3"/>
      <c r="Z373" s="3"/>
      <c r="AA373" s="3"/>
      <c r="AB373" s="3"/>
    </row>
    <row r="374" spans="1:28" x14ac:dyDescent="0.35">
      <c r="A374" s="3"/>
      <c r="B374" s="3" t="s">
        <v>753</v>
      </c>
      <c r="C374" s="3" t="s">
        <v>75</v>
      </c>
      <c r="D374" s="3" t="s">
        <v>764</v>
      </c>
      <c r="E374" s="3" t="s">
        <v>77</v>
      </c>
      <c r="F374" s="3"/>
      <c r="G374" s="3" t="s">
        <v>906</v>
      </c>
      <c r="H374" s="3"/>
      <c r="I374" s="3"/>
      <c r="J374" s="3"/>
      <c r="K374" s="3"/>
      <c r="L374" s="3"/>
      <c r="M374" s="3"/>
      <c r="N374" s="3"/>
      <c r="O374" s="3"/>
      <c r="P374" s="3"/>
      <c r="Q374" s="3"/>
      <c r="R374" s="3"/>
      <c r="S374" s="3"/>
      <c r="T374" s="3"/>
      <c r="U374" s="3"/>
      <c r="V374" s="3"/>
      <c r="W374" s="3"/>
      <c r="X374" s="3"/>
      <c r="Y374" s="3"/>
      <c r="Z374" s="3"/>
      <c r="AA374" s="3"/>
      <c r="AB374" s="3"/>
    </row>
    <row r="375" spans="1:28" x14ac:dyDescent="0.35">
      <c r="A375" s="3"/>
      <c r="B375" s="3"/>
      <c r="C375" s="3" t="s">
        <v>318</v>
      </c>
      <c r="D375" s="5"/>
      <c r="E375" s="5"/>
      <c r="F375" s="3"/>
      <c r="G375" s="3" t="s">
        <v>911</v>
      </c>
      <c r="H375" s="3"/>
      <c r="I375" s="3"/>
      <c r="J375" s="3"/>
      <c r="K375" s="3"/>
      <c r="L375" s="3"/>
      <c r="M375" s="3"/>
      <c r="N375" s="3"/>
      <c r="O375" s="3"/>
      <c r="P375" s="3"/>
      <c r="Q375" s="3"/>
      <c r="R375" s="3"/>
      <c r="S375" s="3"/>
      <c r="T375" s="3"/>
      <c r="U375" s="3"/>
      <c r="V375" s="3"/>
      <c r="W375" s="3"/>
      <c r="X375" s="3"/>
      <c r="Y375" s="3"/>
      <c r="Z375" s="3"/>
      <c r="AA375" s="3"/>
      <c r="AB375" s="3"/>
    </row>
    <row r="376" spans="1:28" x14ac:dyDescent="0.35">
      <c r="A376" s="3"/>
      <c r="B376" s="3"/>
      <c r="C376" s="3" t="s">
        <v>89</v>
      </c>
      <c r="D376" s="5"/>
      <c r="E376" s="5"/>
      <c r="F376" s="3"/>
      <c r="G376" s="3" t="s">
        <v>916</v>
      </c>
      <c r="H376" s="3"/>
      <c r="I376" s="3"/>
      <c r="J376" s="3"/>
      <c r="K376" s="3"/>
      <c r="L376" s="3"/>
      <c r="M376" s="3"/>
      <c r="N376" s="3"/>
      <c r="O376" s="3"/>
      <c r="P376" s="3"/>
      <c r="Q376" s="3"/>
      <c r="R376" s="3"/>
      <c r="S376" s="3"/>
      <c r="T376" s="3"/>
      <c r="U376" s="3"/>
      <c r="V376" s="3"/>
      <c r="W376" s="3"/>
      <c r="X376" s="3"/>
      <c r="Y376" s="3"/>
      <c r="Z376" s="3"/>
      <c r="AA376" s="3"/>
      <c r="AB376" s="3"/>
    </row>
    <row r="377" spans="1:28" x14ac:dyDescent="0.35">
      <c r="A377" s="3"/>
      <c r="B377" s="3"/>
      <c r="C377" s="3" t="s">
        <v>97</v>
      </c>
      <c r="D377" s="5"/>
      <c r="E377" s="5"/>
      <c r="F377" s="3"/>
      <c r="G377" s="3" t="s">
        <v>920</v>
      </c>
      <c r="H377" s="3"/>
      <c r="I377" s="3"/>
      <c r="J377" s="3"/>
      <c r="K377" s="3"/>
      <c r="L377" s="3"/>
      <c r="M377" s="3"/>
      <c r="N377" s="3"/>
      <c r="O377" s="3"/>
      <c r="P377" s="3"/>
      <c r="Q377" s="3"/>
      <c r="R377" s="3"/>
      <c r="S377" s="3"/>
      <c r="T377" s="3"/>
      <c r="U377" s="3"/>
      <c r="V377" s="3"/>
      <c r="W377" s="3"/>
      <c r="X377" s="3"/>
      <c r="Y377" s="3"/>
      <c r="Z377" s="3"/>
      <c r="AA377" s="3"/>
      <c r="AB377" s="3"/>
    </row>
    <row r="378" spans="1:28" x14ac:dyDescent="0.35">
      <c r="A378" s="3"/>
      <c r="B378" s="3" t="s">
        <v>926</v>
      </c>
      <c r="C378" s="3" t="s">
        <v>813</v>
      </c>
      <c r="D378" s="3" t="s">
        <v>814</v>
      </c>
      <c r="E378" s="3" t="s">
        <v>815</v>
      </c>
      <c r="F378" s="3"/>
      <c r="G378" s="3" t="s">
        <v>927</v>
      </c>
      <c r="H378" s="3"/>
      <c r="I378" s="3"/>
      <c r="J378" s="3"/>
      <c r="K378" s="3"/>
      <c r="L378" s="3"/>
      <c r="M378" s="3"/>
      <c r="N378" s="3"/>
      <c r="O378" s="3"/>
      <c r="P378" s="3"/>
      <c r="Q378" s="3"/>
      <c r="R378" s="3"/>
      <c r="S378" s="3"/>
      <c r="T378" s="3"/>
      <c r="U378" s="3"/>
      <c r="V378" s="3"/>
      <c r="W378" s="3"/>
      <c r="X378" s="3"/>
      <c r="Y378" s="3"/>
      <c r="Z378" s="3"/>
      <c r="AA378" s="3"/>
      <c r="AB378" s="3"/>
    </row>
    <row r="379" spans="1:28" x14ac:dyDescent="0.35">
      <c r="A379" s="3"/>
      <c r="B379" s="3"/>
      <c r="C379" s="3" t="s">
        <v>819</v>
      </c>
      <c r="D379" s="3" t="s">
        <v>76</v>
      </c>
      <c r="E379" s="3" t="s">
        <v>77</v>
      </c>
      <c r="F379" s="3"/>
      <c r="G379" s="3" t="s">
        <v>930</v>
      </c>
      <c r="H379" s="3"/>
      <c r="I379" s="3"/>
      <c r="J379" s="3"/>
      <c r="K379" s="3"/>
      <c r="L379" s="3"/>
      <c r="M379" s="3"/>
      <c r="N379" s="3"/>
      <c r="O379" s="3"/>
      <c r="P379" s="3"/>
      <c r="Q379" s="3"/>
      <c r="R379" s="3"/>
      <c r="S379" s="3"/>
      <c r="T379" s="3"/>
      <c r="U379" s="3"/>
      <c r="V379" s="3"/>
      <c r="W379" s="3"/>
      <c r="X379" s="3"/>
      <c r="Y379" s="3"/>
      <c r="Z379" s="3"/>
      <c r="AA379" s="3"/>
      <c r="AB379" s="3"/>
    </row>
    <row r="380" spans="1:28" x14ac:dyDescent="0.35">
      <c r="A380" s="3"/>
      <c r="B380" s="3"/>
      <c r="C380" s="3" t="s">
        <v>824</v>
      </c>
      <c r="D380" s="3"/>
      <c r="E380" s="3"/>
      <c r="F380" s="3"/>
      <c r="G380" s="3" t="s">
        <v>932</v>
      </c>
      <c r="H380" s="3"/>
      <c r="I380" s="3"/>
      <c r="J380" s="3"/>
      <c r="K380" s="3"/>
      <c r="L380" s="3"/>
      <c r="M380" s="3"/>
      <c r="N380" s="3"/>
      <c r="O380" s="3"/>
      <c r="P380" s="3"/>
      <c r="Q380" s="3"/>
      <c r="R380" s="3"/>
      <c r="S380" s="3"/>
      <c r="T380" s="3"/>
      <c r="U380" s="3"/>
      <c r="V380" s="3"/>
      <c r="W380" s="3"/>
      <c r="X380" s="3"/>
      <c r="Y380" s="3"/>
      <c r="Z380" s="3"/>
      <c r="AA380" s="3"/>
      <c r="AB380" s="3"/>
    </row>
    <row r="381" spans="1:28" x14ac:dyDescent="0.35">
      <c r="A381" s="3"/>
      <c r="B381" s="3"/>
      <c r="C381" s="3" t="s">
        <v>830</v>
      </c>
      <c r="D381" s="3"/>
      <c r="E381" s="3"/>
      <c r="F381" s="3"/>
      <c r="G381" s="3" t="s">
        <v>934</v>
      </c>
      <c r="H381" s="3"/>
      <c r="I381" s="3"/>
      <c r="J381" s="3"/>
      <c r="K381" s="3"/>
      <c r="L381" s="3"/>
      <c r="M381" s="3"/>
      <c r="N381" s="3"/>
      <c r="O381" s="3"/>
      <c r="P381" s="3"/>
      <c r="Q381" s="3"/>
      <c r="R381" s="3"/>
      <c r="S381" s="3"/>
      <c r="T381" s="3"/>
      <c r="U381" s="3"/>
      <c r="V381" s="3"/>
      <c r="W381" s="3"/>
      <c r="X381" s="3"/>
      <c r="Y381" s="3"/>
      <c r="Z381" s="3"/>
      <c r="AA381" s="3"/>
      <c r="AB381" s="3"/>
    </row>
    <row r="382" spans="1:28" x14ac:dyDescent="0.35">
      <c r="A382" s="3"/>
      <c r="B382" s="3" t="s">
        <v>837</v>
      </c>
      <c r="C382" s="3" t="s">
        <v>838</v>
      </c>
      <c r="D382" s="5"/>
      <c r="E382" s="3"/>
      <c r="F382" s="3"/>
      <c r="G382" s="3" t="s">
        <v>940</v>
      </c>
      <c r="H382" s="3"/>
      <c r="I382" s="3"/>
      <c r="J382" s="3"/>
      <c r="K382" s="3"/>
      <c r="L382" s="3"/>
      <c r="M382" s="3"/>
      <c r="N382" s="3"/>
      <c r="O382" s="3"/>
      <c r="P382" s="3"/>
      <c r="Q382" s="3"/>
      <c r="R382" s="3"/>
      <c r="S382" s="3"/>
      <c r="T382" s="3"/>
      <c r="U382" s="3"/>
      <c r="V382" s="3"/>
      <c r="W382" s="3"/>
      <c r="X382" s="3"/>
      <c r="Y382" s="3"/>
      <c r="Z382" s="3"/>
      <c r="AA382" s="3"/>
      <c r="AB382" s="3"/>
    </row>
    <row r="383" spans="1:28" x14ac:dyDescent="0.35">
      <c r="A383" s="3"/>
      <c r="B383" s="3"/>
      <c r="C383" s="3" t="s">
        <v>843</v>
      </c>
      <c r="D383" s="5"/>
      <c r="E383" s="3"/>
      <c r="F383" s="3"/>
      <c r="G383" s="3" t="s">
        <v>942</v>
      </c>
      <c r="H383" s="3"/>
      <c r="I383" s="3"/>
      <c r="J383" s="3"/>
      <c r="K383" s="3"/>
      <c r="L383" s="3"/>
      <c r="M383" s="3"/>
      <c r="N383" s="3"/>
      <c r="O383" s="3"/>
      <c r="P383" s="3"/>
      <c r="Q383" s="3"/>
      <c r="R383" s="3"/>
      <c r="S383" s="3"/>
      <c r="T383" s="3"/>
      <c r="U383" s="3"/>
      <c r="V383" s="3"/>
      <c r="W383" s="3"/>
      <c r="X383" s="3"/>
      <c r="Y383" s="3"/>
      <c r="Z383" s="3"/>
      <c r="AA383" s="3"/>
      <c r="AB383" s="3"/>
    </row>
    <row r="384" spans="1:28" x14ac:dyDescent="0.35">
      <c r="A384" s="3"/>
      <c r="B384" s="3"/>
      <c r="C384" s="3" t="s">
        <v>64</v>
      </c>
      <c r="D384" s="3"/>
      <c r="E384" s="3"/>
      <c r="F384" s="3"/>
      <c r="G384" s="3" t="s">
        <v>947</v>
      </c>
      <c r="H384" s="3"/>
      <c r="I384" s="3"/>
      <c r="J384" s="3"/>
      <c r="K384" s="3"/>
      <c r="L384" s="3"/>
      <c r="M384" s="3"/>
      <c r="N384" s="3"/>
      <c r="O384" s="3"/>
      <c r="P384" s="3"/>
      <c r="Q384" s="3"/>
      <c r="R384" s="3"/>
      <c r="S384" s="3"/>
      <c r="T384" s="3"/>
      <c r="U384" s="3"/>
      <c r="V384" s="3"/>
      <c r="W384" s="3"/>
      <c r="X384" s="3"/>
      <c r="Y384" s="3"/>
      <c r="Z384" s="3"/>
      <c r="AA384" s="3"/>
      <c r="AB384" s="3"/>
    </row>
    <row r="385" spans="1:28" x14ac:dyDescent="0.35">
      <c r="A385" s="3"/>
      <c r="B385" s="3" t="s">
        <v>948</v>
      </c>
      <c r="C385" s="3" t="s">
        <v>851</v>
      </c>
      <c r="D385" s="3" t="s">
        <v>814</v>
      </c>
      <c r="E385" s="3" t="s">
        <v>815</v>
      </c>
      <c r="F385" s="3"/>
      <c r="G385" s="3" t="s">
        <v>949</v>
      </c>
      <c r="H385" s="3"/>
      <c r="I385" s="3"/>
      <c r="J385" s="3"/>
      <c r="K385" s="3"/>
      <c r="L385" s="3"/>
      <c r="M385" s="3"/>
      <c r="N385" s="3"/>
      <c r="O385" s="3"/>
      <c r="P385" s="3"/>
      <c r="Q385" s="3"/>
      <c r="R385" s="3"/>
      <c r="S385" s="3"/>
      <c r="T385" s="3"/>
      <c r="U385" s="3"/>
      <c r="V385" s="3"/>
      <c r="W385" s="3"/>
      <c r="X385" s="3"/>
      <c r="Y385" s="3"/>
      <c r="Z385" s="3"/>
      <c r="AA385" s="3"/>
      <c r="AB385" s="3"/>
    </row>
    <row r="386" spans="1:28" x14ac:dyDescent="0.35">
      <c r="A386" s="3"/>
      <c r="B386" s="3"/>
      <c r="C386" s="3" t="s">
        <v>855</v>
      </c>
      <c r="D386" s="3"/>
      <c r="E386" s="3"/>
      <c r="F386" s="3"/>
      <c r="G386" s="3" t="s">
        <v>950</v>
      </c>
      <c r="H386" s="3"/>
      <c r="I386" s="3"/>
      <c r="J386" s="3"/>
      <c r="K386" s="3"/>
      <c r="L386" s="3"/>
      <c r="M386" s="3"/>
      <c r="N386" s="3"/>
      <c r="O386" s="3"/>
      <c r="P386" s="3"/>
      <c r="Q386" s="3"/>
      <c r="R386" s="3"/>
      <c r="S386" s="3"/>
      <c r="T386" s="3"/>
      <c r="U386" s="3"/>
      <c r="V386" s="3"/>
      <c r="W386" s="3"/>
      <c r="X386" s="3"/>
      <c r="Y386" s="3"/>
      <c r="Z386" s="3"/>
      <c r="AA386" s="3"/>
      <c r="AB386" s="3"/>
    </row>
    <row r="387" spans="1:28" x14ac:dyDescent="0.35">
      <c r="A387" s="3"/>
      <c r="B387" s="5" t="s">
        <v>761</v>
      </c>
      <c r="C387" s="5" t="s">
        <v>131</v>
      </c>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x14ac:dyDescent="0.35">
      <c r="A388" s="3"/>
      <c r="B388" s="3" t="s">
        <v>776</v>
      </c>
      <c r="C388" s="3" t="s">
        <v>142</v>
      </c>
      <c r="D388" s="3" t="s">
        <v>174</v>
      </c>
      <c r="E388" s="3" t="s">
        <v>175</v>
      </c>
      <c r="F388" s="3"/>
      <c r="G388" s="3" t="s">
        <v>952</v>
      </c>
      <c r="H388" s="3"/>
      <c r="I388" s="3"/>
      <c r="J388" s="3"/>
      <c r="K388" s="3"/>
      <c r="L388" s="3"/>
      <c r="M388" s="3"/>
      <c r="N388" s="3"/>
      <c r="O388" s="3"/>
      <c r="P388" s="3"/>
      <c r="Q388" s="3"/>
      <c r="R388" s="3"/>
      <c r="S388" s="3"/>
      <c r="T388" s="3"/>
      <c r="U388" s="3"/>
      <c r="V388" s="3"/>
      <c r="W388" s="3"/>
      <c r="X388" s="3"/>
      <c r="Y388" s="3"/>
      <c r="Z388" s="3"/>
      <c r="AA388" s="3"/>
      <c r="AB388" s="3"/>
    </row>
    <row r="389" spans="1:28" x14ac:dyDescent="0.35">
      <c r="A389" s="3"/>
      <c r="B389" s="3"/>
      <c r="C389" s="3" t="s">
        <v>148</v>
      </c>
      <c r="D389" s="3"/>
      <c r="E389" s="5"/>
      <c r="F389" s="3"/>
      <c r="G389" s="3" t="s">
        <v>954</v>
      </c>
      <c r="H389" s="3"/>
      <c r="I389" s="3"/>
      <c r="J389" s="3"/>
      <c r="K389" s="3"/>
      <c r="L389" s="3"/>
      <c r="M389" s="3"/>
      <c r="N389" s="3"/>
      <c r="O389" s="3"/>
      <c r="P389" s="3"/>
      <c r="Q389" s="3"/>
      <c r="R389" s="3"/>
      <c r="S389" s="3"/>
      <c r="T389" s="3"/>
      <c r="U389" s="3"/>
      <c r="V389" s="3"/>
      <c r="W389" s="3"/>
      <c r="X389" s="3"/>
      <c r="Y389" s="3"/>
      <c r="Z389" s="3"/>
      <c r="AA389" s="3"/>
      <c r="AB389" s="3"/>
    </row>
    <row r="390" spans="1:28" x14ac:dyDescent="0.35">
      <c r="A390" s="3"/>
      <c r="B390" s="3"/>
      <c r="C390" s="3" t="s">
        <v>182</v>
      </c>
      <c r="D390" s="3"/>
      <c r="E390" s="5"/>
      <c r="F390" s="3"/>
      <c r="G390" s="3" t="s">
        <v>957</v>
      </c>
      <c r="H390" s="3"/>
      <c r="I390" s="3"/>
      <c r="J390" s="3"/>
      <c r="K390" s="3"/>
      <c r="L390" s="3"/>
      <c r="M390" s="3"/>
      <c r="N390" s="3"/>
      <c r="O390" s="3"/>
      <c r="P390" s="3"/>
      <c r="Q390" s="3"/>
      <c r="R390" s="3"/>
      <c r="S390" s="3"/>
      <c r="T390" s="3"/>
      <c r="U390" s="3"/>
      <c r="V390" s="3"/>
      <c r="W390" s="3"/>
      <c r="X390" s="3"/>
      <c r="Y390" s="3"/>
      <c r="Z390" s="3"/>
      <c r="AA390" s="3"/>
      <c r="AB390" s="3"/>
    </row>
    <row r="391" spans="1:28" x14ac:dyDescent="0.35">
      <c r="A391" s="3"/>
      <c r="B391" s="3" t="s">
        <v>962</v>
      </c>
      <c r="C391" s="3" t="s">
        <v>1692</v>
      </c>
      <c r="D391" s="3" t="s">
        <v>814</v>
      </c>
      <c r="E391" s="3" t="s">
        <v>815</v>
      </c>
      <c r="F391" s="3"/>
      <c r="G391" s="3" t="s">
        <v>1694</v>
      </c>
      <c r="H391" s="3"/>
      <c r="I391" s="3"/>
      <c r="J391" s="3"/>
      <c r="K391" s="3"/>
      <c r="L391" s="3"/>
      <c r="M391" s="3"/>
      <c r="N391" s="3"/>
      <c r="O391" s="3"/>
      <c r="P391" s="3"/>
      <c r="Q391" s="3"/>
      <c r="R391" s="3"/>
      <c r="S391" s="3"/>
      <c r="T391" s="3"/>
      <c r="U391" s="3"/>
      <c r="V391" s="3"/>
      <c r="W391" s="3"/>
      <c r="X391" s="3"/>
      <c r="Y391" s="3"/>
      <c r="Z391" s="3"/>
      <c r="AA391" s="3"/>
      <c r="AB391" s="3"/>
    </row>
    <row r="392" spans="1:28" x14ac:dyDescent="0.35">
      <c r="A392" s="3"/>
      <c r="B392" s="3"/>
      <c r="C392" s="3" t="s">
        <v>876</v>
      </c>
      <c r="D392" s="3" t="s">
        <v>174</v>
      </c>
      <c r="E392" s="3" t="s">
        <v>175</v>
      </c>
      <c r="F392" s="3"/>
      <c r="G392" s="3" t="s">
        <v>966</v>
      </c>
      <c r="H392" s="3"/>
      <c r="I392" s="3"/>
      <c r="J392" s="3"/>
      <c r="K392" s="3"/>
      <c r="L392" s="3"/>
      <c r="M392" s="3"/>
      <c r="N392" s="3"/>
      <c r="O392" s="3"/>
      <c r="P392" s="3"/>
      <c r="Q392" s="3"/>
      <c r="R392" s="3"/>
      <c r="S392" s="3"/>
      <c r="T392" s="3"/>
      <c r="U392" s="3"/>
      <c r="V392" s="3"/>
      <c r="W392" s="3"/>
      <c r="X392" s="3"/>
      <c r="Y392" s="3"/>
      <c r="Z392" s="3"/>
      <c r="AA392" s="3"/>
      <c r="AB392" s="3"/>
    </row>
    <row r="393" spans="1:28" x14ac:dyDescent="0.35">
      <c r="A393" s="3"/>
      <c r="B393" s="3"/>
      <c r="C393" s="3" t="s">
        <v>883</v>
      </c>
      <c r="D393" s="3"/>
      <c r="E393" s="3"/>
      <c r="F393" s="3"/>
      <c r="G393" s="3" t="s">
        <v>971</v>
      </c>
      <c r="H393" s="3"/>
      <c r="I393" s="3"/>
      <c r="J393" s="3"/>
      <c r="K393" s="3"/>
      <c r="L393" s="3"/>
      <c r="M393" s="3"/>
      <c r="N393" s="3"/>
      <c r="O393" s="3"/>
      <c r="P393" s="3"/>
      <c r="Q393" s="3"/>
      <c r="R393" s="3"/>
      <c r="S393" s="3"/>
      <c r="T393" s="3"/>
      <c r="U393" s="3"/>
      <c r="V393" s="3"/>
      <c r="W393" s="3"/>
      <c r="X393" s="3"/>
      <c r="Y393" s="3"/>
      <c r="Z393" s="3"/>
      <c r="AA393" s="3"/>
      <c r="AB393" s="3"/>
    </row>
    <row r="394" spans="1:28"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x14ac:dyDescent="0.35">
      <c r="A395" s="3" t="s">
        <v>978</v>
      </c>
      <c r="B395" s="3" t="s">
        <v>979</v>
      </c>
      <c r="C395" s="3" t="s">
        <v>29</v>
      </c>
      <c r="D395" s="3"/>
      <c r="E395" s="3"/>
      <c r="F395" s="3"/>
      <c r="G395" s="3" t="s">
        <v>980</v>
      </c>
      <c r="H395" s="3"/>
      <c r="I395" s="3"/>
      <c r="J395" s="3"/>
      <c r="K395" s="3"/>
      <c r="L395" s="3"/>
      <c r="M395" s="3"/>
      <c r="N395" s="3"/>
      <c r="O395" s="3"/>
      <c r="P395" s="3"/>
      <c r="Q395" s="3"/>
      <c r="R395" s="3"/>
      <c r="S395" s="3"/>
      <c r="T395" s="3"/>
      <c r="U395" s="3"/>
      <c r="V395" s="3"/>
      <c r="W395" s="3"/>
      <c r="X395" s="3"/>
      <c r="Y395" s="3"/>
      <c r="Z395" s="3"/>
      <c r="AA395" s="3"/>
      <c r="AB395" s="3"/>
    </row>
    <row r="396" spans="1:28" x14ac:dyDescent="0.35">
      <c r="A396" s="3"/>
      <c r="B396" s="3" t="s">
        <v>981</v>
      </c>
      <c r="C396" s="3" t="s">
        <v>982</v>
      </c>
      <c r="D396" s="3" t="s">
        <v>983</v>
      </c>
      <c r="E396" s="3" t="s">
        <v>984</v>
      </c>
      <c r="F396" s="3"/>
      <c r="G396" s="3" t="s">
        <v>985</v>
      </c>
      <c r="H396" s="3"/>
      <c r="I396" s="3"/>
      <c r="J396" s="3"/>
      <c r="K396" s="3"/>
      <c r="L396" s="3"/>
      <c r="M396" s="3"/>
      <c r="N396" s="3"/>
      <c r="O396" s="3"/>
      <c r="P396" s="3"/>
      <c r="Q396" s="3"/>
      <c r="R396" s="3"/>
      <c r="S396" s="3"/>
      <c r="T396" s="3"/>
      <c r="U396" s="3"/>
      <c r="V396" s="3"/>
      <c r="W396" s="3"/>
      <c r="X396" s="3"/>
      <c r="Y396" s="3"/>
      <c r="Z396" s="3"/>
      <c r="AA396" s="3"/>
      <c r="AB396" s="3"/>
    </row>
    <row r="397" spans="1:28" x14ac:dyDescent="0.35">
      <c r="A397" s="3"/>
      <c r="B397" s="3" t="s">
        <v>988</v>
      </c>
      <c r="C397" s="3" t="s">
        <v>33</v>
      </c>
      <c r="D397" s="3" t="s">
        <v>989</v>
      </c>
      <c r="E397" s="3" t="s">
        <v>35</v>
      </c>
      <c r="F397" s="3"/>
      <c r="G397" s="3" t="s">
        <v>990</v>
      </c>
      <c r="H397" s="3"/>
      <c r="I397" s="3"/>
      <c r="J397" s="3"/>
      <c r="K397" s="3"/>
      <c r="L397" s="3"/>
      <c r="M397" s="3"/>
      <c r="N397" s="3"/>
      <c r="O397" s="3"/>
      <c r="P397" s="3"/>
      <c r="Q397" s="3"/>
      <c r="R397" s="3"/>
      <c r="S397" s="3"/>
      <c r="T397" s="3"/>
      <c r="U397" s="3"/>
      <c r="V397" s="3"/>
      <c r="W397" s="3"/>
      <c r="X397" s="3"/>
      <c r="Y397" s="3"/>
      <c r="Z397" s="3"/>
      <c r="AA397" s="3"/>
      <c r="AB397" s="3"/>
    </row>
    <row r="398" spans="1:28" x14ac:dyDescent="0.35">
      <c r="A398" s="3"/>
      <c r="B398" s="3"/>
      <c r="C398" s="3" t="s">
        <v>1695</v>
      </c>
      <c r="D398" s="3"/>
      <c r="E398" s="3"/>
      <c r="F398" s="3"/>
      <c r="G398" s="3" t="s">
        <v>992</v>
      </c>
      <c r="H398" s="3"/>
      <c r="I398" s="3"/>
      <c r="J398" s="3"/>
      <c r="K398" s="3"/>
      <c r="L398" s="3"/>
      <c r="M398" s="3"/>
      <c r="N398" s="3"/>
      <c r="O398" s="3"/>
      <c r="P398" s="3"/>
      <c r="Q398" s="3"/>
      <c r="R398" s="3"/>
      <c r="S398" s="3"/>
      <c r="T398" s="3"/>
      <c r="U398" s="3"/>
      <c r="V398" s="3"/>
      <c r="W398" s="3"/>
      <c r="X398" s="3"/>
      <c r="Y398" s="3"/>
      <c r="Z398" s="3"/>
      <c r="AA398" s="3"/>
      <c r="AB398" s="3"/>
    </row>
    <row r="399" spans="1:28" x14ac:dyDescent="0.35">
      <c r="A399" s="3"/>
      <c r="B399" s="3" t="s">
        <v>105</v>
      </c>
      <c r="C399" s="3" t="s">
        <v>29</v>
      </c>
      <c r="D399" s="3"/>
      <c r="E399" s="3"/>
      <c r="F399" s="3"/>
      <c r="G399" s="3" t="s">
        <v>998</v>
      </c>
      <c r="H399" s="3"/>
      <c r="I399" s="3"/>
      <c r="J399" s="3"/>
      <c r="K399" s="3"/>
      <c r="L399" s="3"/>
      <c r="M399" s="3"/>
      <c r="N399" s="3"/>
      <c r="O399" s="3"/>
      <c r="P399" s="3"/>
      <c r="Q399" s="3"/>
      <c r="R399" s="3"/>
      <c r="S399" s="3"/>
      <c r="T399" s="3"/>
      <c r="U399" s="3"/>
      <c r="V399" s="3"/>
      <c r="W399" s="3"/>
      <c r="X399" s="3"/>
      <c r="Y399" s="3"/>
      <c r="Z399" s="3"/>
      <c r="AA399" s="3"/>
      <c r="AB399" s="3"/>
    </row>
    <row r="400" spans="1:28" x14ac:dyDescent="0.35">
      <c r="A400" s="3"/>
      <c r="B400" s="3" t="s">
        <v>134</v>
      </c>
      <c r="C400" s="3"/>
      <c r="D400" s="3" t="s">
        <v>174</v>
      </c>
      <c r="E400" s="3" t="s">
        <v>175</v>
      </c>
      <c r="F400" s="3"/>
      <c r="G400" s="3"/>
      <c r="H400" s="3"/>
      <c r="I400" s="3"/>
      <c r="J400" s="3"/>
      <c r="K400" s="3"/>
      <c r="L400" s="3"/>
      <c r="M400" s="3"/>
      <c r="N400" s="3"/>
      <c r="O400" s="3"/>
      <c r="P400" s="3"/>
      <c r="Q400" s="3"/>
      <c r="R400" s="3"/>
      <c r="S400" s="3"/>
      <c r="T400" s="3"/>
      <c r="U400" s="3"/>
      <c r="V400" s="3"/>
      <c r="W400" s="3"/>
      <c r="X400" s="3"/>
      <c r="Y400" s="3"/>
      <c r="Z400" s="3"/>
      <c r="AA400" s="3"/>
      <c r="AB400" s="3"/>
    </row>
    <row r="401" spans="1:28" x14ac:dyDescent="0.35">
      <c r="A401" s="3"/>
      <c r="B401" s="3" t="s">
        <v>246</v>
      </c>
      <c r="C401" s="3" t="s">
        <v>999</v>
      </c>
      <c r="D401" s="3" t="s">
        <v>1000</v>
      </c>
      <c r="E401" s="3" t="s">
        <v>223</v>
      </c>
      <c r="F401" s="3"/>
      <c r="G401" s="3" t="s">
        <v>1001</v>
      </c>
      <c r="H401" s="3"/>
      <c r="I401" s="3"/>
      <c r="J401" s="3"/>
      <c r="K401" s="3"/>
      <c r="L401" s="3"/>
      <c r="M401" s="3"/>
      <c r="N401" s="3"/>
      <c r="O401" s="3"/>
      <c r="P401" s="3"/>
      <c r="Q401" s="3"/>
      <c r="R401" s="3"/>
      <c r="S401" s="3"/>
      <c r="T401" s="3"/>
      <c r="U401" s="3"/>
      <c r="V401" s="3"/>
      <c r="W401" s="3"/>
      <c r="X401" s="3"/>
      <c r="Y401" s="3"/>
      <c r="Z401" s="3"/>
      <c r="AA401" s="3"/>
      <c r="AB401" s="3"/>
    </row>
    <row r="402" spans="1:28" x14ac:dyDescent="0.35">
      <c r="A402" s="3"/>
      <c r="B402" s="3"/>
      <c r="C402" s="3" t="s">
        <v>247</v>
      </c>
      <c r="D402" s="3"/>
      <c r="E402" s="3"/>
      <c r="F402" s="3"/>
      <c r="G402" s="3" t="s">
        <v>248</v>
      </c>
      <c r="H402" s="3"/>
      <c r="I402" s="3"/>
      <c r="J402" s="3"/>
      <c r="K402" s="3"/>
      <c r="L402" s="3"/>
      <c r="M402" s="3"/>
      <c r="N402" s="3"/>
      <c r="O402" s="3"/>
      <c r="P402" s="3"/>
      <c r="Q402" s="3"/>
      <c r="R402" s="3"/>
      <c r="S402" s="3"/>
      <c r="T402" s="3"/>
      <c r="U402" s="3"/>
      <c r="V402" s="3"/>
      <c r="W402" s="3"/>
      <c r="X402" s="3"/>
      <c r="Y402" s="3"/>
      <c r="Z402" s="3"/>
      <c r="AA402" s="3"/>
      <c r="AB402" s="3"/>
    </row>
    <row r="403" spans="1:28" x14ac:dyDescent="0.35">
      <c r="A403" s="3"/>
      <c r="B403" s="3"/>
      <c r="C403" s="3" t="s">
        <v>221</v>
      </c>
      <c r="D403" s="3"/>
      <c r="E403" s="3"/>
      <c r="F403" s="3"/>
      <c r="G403" s="3" t="s">
        <v>1006</v>
      </c>
      <c r="H403" s="3"/>
      <c r="I403" s="3"/>
      <c r="J403" s="3"/>
      <c r="K403" s="3"/>
      <c r="L403" s="3"/>
      <c r="M403" s="3"/>
      <c r="N403" s="3"/>
      <c r="O403" s="3"/>
      <c r="P403" s="3"/>
      <c r="Q403" s="3"/>
      <c r="R403" s="3"/>
      <c r="S403" s="3"/>
      <c r="T403" s="3"/>
      <c r="U403" s="3"/>
      <c r="V403" s="3"/>
      <c r="W403" s="3"/>
      <c r="X403" s="3"/>
      <c r="Y403" s="3"/>
      <c r="Z403" s="3"/>
      <c r="AA403" s="3"/>
      <c r="AB403" s="3"/>
    </row>
    <row r="404" spans="1:28" x14ac:dyDescent="0.35">
      <c r="A404" s="3"/>
      <c r="B404" s="3"/>
      <c r="C404" s="3" t="s">
        <v>1007</v>
      </c>
      <c r="D404" s="3"/>
      <c r="E404" s="3"/>
      <c r="F404" s="3"/>
      <c r="G404" s="3" t="s">
        <v>1008</v>
      </c>
      <c r="H404" s="3"/>
      <c r="I404" s="3"/>
      <c r="J404" s="3"/>
      <c r="K404" s="3"/>
      <c r="L404" s="3"/>
      <c r="M404" s="3"/>
      <c r="N404" s="3"/>
      <c r="O404" s="3"/>
      <c r="P404" s="3"/>
      <c r="Q404" s="3"/>
      <c r="R404" s="3"/>
      <c r="S404" s="3"/>
      <c r="T404" s="3"/>
      <c r="U404" s="3"/>
      <c r="V404" s="3"/>
      <c r="W404" s="3"/>
      <c r="X404" s="3"/>
      <c r="Y404" s="3"/>
      <c r="Z404" s="3"/>
      <c r="AA404" s="3"/>
      <c r="AB404" s="3"/>
    </row>
    <row r="405" spans="1:28" x14ac:dyDescent="0.35">
      <c r="A405" s="3"/>
      <c r="B405" s="3"/>
      <c r="C405" s="3" t="s">
        <v>1696</v>
      </c>
      <c r="D405" s="3"/>
      <c r="E405" s="3"/>
      <c r="F405" s="3"/>
      <c r="G405" s="3" t="s">
        <v>1697</v>
      </c>
      <c r="H405" s="3"/>
      <c r="I405" s="3"/>
      <c r="J405" s="3"/>
      <c r="K405" s="3"/>
      <c r="L405" s="3"/>
      <c r="M405" s="3"/>
      <c r="N405" s="3"/>
      <c r="O405" s="3"/>
      <c r="P405" s="3"/>
      <c r="Q405" s="3"/>
      <c r="R405" s="3"/>
      <c r="S405" s="3"/>
      <c r="T405" s="3"/>
      <c r="U405" s="3"/>
      <c r="V405" s="3"/>
      <c r="W405" s="3"/>
      <c r="X405" s="3"/>
      <c r="Y405" s="3"/>
      <c r="Z405" s="3"/>
      <c r="AA405" s="3"/>
      <c r="AB405" s="3"/>
    </row>
    <row r="406" spans="1:28" x14ac:dyDescent="0.35">
      <c r="A406" s="3"/>
      <c r="B406" s="3" t="s">
        <v>254</v>
      </c>
      <c r="C406" s="3" t="s">
        <v>1698</v>
      </c>
      <c r="D406" s="3"/>
      <c r="E406" s="3"/>
      <c r="F406" s="3"/>
      <c r="G406" s="3" t="s">
        <v>1699</v>
      </c>
      <c r="H406" s="3"/>
      <c r="I406" s="3"/>
      <c r="J406" s="3"/>
      <c r="K406" s="3"/>
      <c r="L406" s="3"/>
      <c r="M406" s="3"/>
      <c r="N406" s="3"/>
      <c r="O406" s="3"/>
      <c r="P406" s="3"/>
      <c r="Q406" s="3"/>
      <c r="R406" s="3"/>
      <c r="S406" s="3"/>
      <c r="T406" s="3"/>
      <c r="U406" s="3"/>
      <c r="V406" s="3"/>
      <c r="W406" s="3"/>
      <c r="X406" s="3"/>
      <c r="Y406" s="3"/>
      <c r="Z406" s="3"/>
      <c r="AA406" s="3"/>
      <c r="AB406" s="3"/>
    </row>
    <row r="407" spans="1:28" x14ac:dyDescent="0.35">
      <c r="A407" s="3"/>
      <c r="B407" s="3"/>
      <c r="C407" s="3" t="s">
        <v>1700</v>
      </c>
      <c r="D407" s="3"/>
      <c r="E407" s="3"/>
      <c r="F407" s="3"/>
      <c r="G407" s="3" t="s">
        <v>1701</v>
      </c>
      <c r="H407" s="3"/>
      <c r="I407" s="3"/>
      <c r="J407" s="3"/>
      <c r="K407" s="3"/>
      <c r="L407" s="3"/>
      <c r="M407" s="3"/>
      <c r="N407" s="3"/>
      <c r="O407" s="3"/>
      <c r="P407" s="3"/>
      <c r="Q407" s="3"/>
      <c r="R407" s="3"/>
      <c r="S407" s="3"/>
      <c r="T407" s="3"/>
      <c r="U407" s="3"/>
      <c r="V407" s="3"/>
      <c r="W407" s="3"/>
      <c r="X407" s="3"/>
      <c r="Y407" s="3"/>
      <c r="Z407" s="3"/>
      <c r="AA407" s="3"/>
      <c r="AB407" s="3"/>
    </row>
    <row r="408" spans="1:28" x14ac:dyDescent="0.35">
      <c r="A408" s="3"/>
      <c r="B408" s="3"/>
      <c r="C408" s="3" t="s">
        <v>1702</v>
      </c>
      <c r="D408" s="3"/>
      <c r="E408" s="3"/>
      <c r="F408" s="3"/>
      <c r="G408" s="3" t="s">
        <v>1703</v>
      </c>
      <c r="H408" s="3"/>
      <c r="I408" s="3"/>
      <c r="J408" s="3"/>
      <c r="K408" s="3"/>
      <c r="L408" s="3"/>
      <c r="M408" s="3"/>
      <c r="N408" s="3"/>
      <c r="O408" s="3"/>
      <c r="P408" s="3"/>
      <c r="Q408" s="3"/>
      <c r="R408" s="3"/>
      <c r="S408" s="3"/>
      <c r="T408" s="3"/>
      <c r="U408" s="3"/>
      <c r="V408" s="3"/>
      <c r="W408" s="3"/>
      <c r="X408" s="3"/>
      <c r="Y408" s="3"/>
      <c r="Z408" s="3"/>
      <c r="AA408" s="3"/>
      <c r="AB408" s="3"/>
    </row>
    <row r="409" spans="1:28" x14ac:dyDescent="0.35">
      <c r="A409" s="3"/>
      <c r="B409" s="3" t="s">
        <v>257</v>
      </c>
      <c r="C409" s="3" t="s">
        <v>1018</v>
      </c>
      <c r="D409" s="3"/>
      <c r="E409" s="3"/>
      <c r="F409" s="3"/>
      <c r="G409" s="3" t="s">
        <v>1019</v>
      </c>
      <c r="H409" s="3"/>
      <c r="I409" s="3"/>
      <c r="J409" s="3"/>
      <c r="K409" s="3"/>
      <c r="L409" s="3"/>
      <c r="M409" s="3"/>
      <c r="N409" s="3"/>
      <c r="O409" s="3"/>
      <c r="P409" s="3"/>
      <c r="Q409" s="3"/>
      <c r="R409" s="3"/>
      <c r="S409" s="3"/>
      <c r="T409" s="3"/>
      <c r="U409" s="3"/>
      <c r="V409" s="3"/>
      <c r="W409" s="3"/>
      <c r="X409" s="3"/>
      <c r="Y409" s="3"/>
      <c r="Z409" s="3"/>
      <c r="AA409" s="3"/>
      <c r="AB409" s="3"/>
    </row>
    <row r="410" spans="1:28" x14ac:dyDescent="0.35">
      <c r="A410" s="3"/>
      <c r="B410" s="3"/>
      <c r="C410" s="3" t="s">
        <v>1023</v>
      </c>
      <c r="D410" s="3"/>
      <c r="E410" s="3"/>
      <c r="F410" s="3"/>
      <c r="G410" s="3" t="s">
        <v>1024</v>
      </c>
      <c r="H410" s="3"/>
      <c r="I410" s="3"/>
      <c r="J410" s="3"/>
      <c r="K410" s="3"/>
      <c r="L410" s="3"/>
      <c r="M410" s="3"/>
      <c r="N410" s="3"/>
      <c r="O410" s="3"/>
      <c r="P410" s="3"/>
      <c r="Q410" s="3"/>
      <c r="R410" s="3"/>
      <c r="S410" s="3"/>
      <c r="T410" s="3"/>
      <c r="U410" s="3"/>
      <c r="V410" s="3"/>
      <c r="W410" s="3"/>
      <c r="X410" s="3"/>
      <c r="Y410" s="3"/>
      <c r="Z410" s="3"/>
      <c r="AA410" s="3"/>
      <c r="AB410" s="3"/>
    </row>
    <row r="411" spans="1:28" x14ac:dyDescent="0.35">
      <c r="A411" s="3"/>
      <c r="B411" s="3"/>
      <c r="C411" s="3" t="s">
        <v>1027</v>
      </c>
      <c r="D411" s="3"/>
      <c r="E411" s="3"/>
      <c r="F411" s="3"/>
      <c r="G411" s="3" t="s">
        <v>1028</v>
      </c>
      <c r="H411" s="3"/>
      <c r="I411" s="3"/>
      <c r="J411" s="3"/>
      <c r="K411" s="3"/>
      <c r="L411" s="3"/>
      <c r="M411" s="3"/>
      <c r="N411" s="3"/>
      <c r="O411" s="3"/>
      <c r="P411" s="3"/>
      <c r="Q411" s="3"/>
      <c r="R411" s="3"/>
      <c r="S411" s="3"/>
      <c r="T411" s="3"/>
      <c r="U411" s="3"/>
      <c r="V411" s="3"/>
      <c r="W411" s="3"/>
      <c r="X411" s="3"/>
      <c r="Y411" s="3"/>
      <c r="Z411" s="3"/>
      <c r="AA411" s="3"/>
      <c r="AB411" s="3"/>
    </row>
    <row r="412" spans="1:28" x14ac:dyDescent="0.35">
      <c r="A412" s="3"/>
      <c r="B412" s="3"/>
      <c r="C412" s="3" t="s">
        <v>1704</v>
      </c>
      <c r="D412" s="3"/>
      <c r="E412" s="3"/>
      <c r="F412" s="3"/>
      <c r="G412" s="3" t="s">
        <v>1705</v>
      </c>
      <c r="H412" s="3"/>
      <c r="I412" s="3"/>
      <c r="J412" s="3"/>
      <c r="K412" s="3"/>
      <c r="L412" s="3"/>
      <c r="M412" s="3"/>
      <c r="N412" s="3"/>
      <c r="O412" s="3"/>
      <c r="P412" s="3"/>
      <c r="Q412" s="3"/>
      <c r="R412" s="3"/>
      <c r="S412" s="3"/>
      <c r="T412" s="3"/>
      <c r="U412" s="3"/>
      <c r="V412" s="3"/>
      <c r="W412" s="3"/>
      <c r="X412" s="3"/>
      <c r="Y412" s="3"/>
      <c r="Z412" s="3"/>
      <c r="AA412" s="3"/>
      <c r="AB412" s="3"/>
    </row>
    <row r="413" spans="1:28" x14ac:dyDescent="0.35">
      <c r="A413" s="3"/>
      <c r="B413" s="3" t="s">
        <v>162</v>
      </c>
      <c r="C413" s="3" t="s">
        <v>1039</v>
      </c>
      <c r="D413" s="3"/>
      <c r="E413" s="3"/>
      <c r="F413" s="3"/>
      <c r="G413" s="3" t="s">
        <v>1040</v>
      </c>
      <c r="H413" s="3"/>
      <c r="I413" s="3"/>
      <c r="J413" s="3"/>
      <c r="K413" s="3"/>
      <c r="L413" s="3"/>
      <c r="M413" s="3"/>
      <c r="N413" s="3"/>
      <c r="O413" s="3"/>
      <c r="P413" s="3"/>
      <c r="Q413" s="3"/>
      <c r="R413" s="3"/>
      <c r="S413" s="3"/>
      <c r="T413" s="3"/>
      <c r="U413" s="3"/>
      <c r="V413" s="3"/>
      <c r="W413" s="3"/>
      <c r="X413" s="3"/>
      <c r="Y413" s="3"/>
      <c r="Z413" s="3"/>
      <c r="AA413" s="3"/>
      <c r="AB413" s="3"/>
    </row>
    <row r="414" spans="1:28" x14ac:dyDescent="0.35">
      <c r="A414" s="3"/>
      <c r="B414" s="3"/>
      <c r="C414" s="3" t="s">
        <v>1706</v>
      </c>
      <c r="D414" s="3"/>
      <c r="E414" s="3"/>
      <c r="F414" s="3"/>
      <c r="G414" s="3" t="s">
        <v>1045</v>
      </c>
      <c r="H414" s="3"/>
      <c r="I414" s="3"/>
      <c r="J414" s="3"/>
      <c r="K414" s="3"/>
      <c r="L414" s="3"/>
      <c r="M414" s="3"/>
      <c r="N414" s="3"/>
      <c r="O414" s="3"/>
      <c r="P414" s="3"/>
      <c r="Q414" s="3"/>
      <c r="R414" s="3"/>
      <c r="S414" s="3"/>
      <c r="T414" s="3"/>
      <c r="U414" s="3"/>
      <c r="V414" s="3"/>
      <c r="W414" s="3"/>
      <c r="X414" s="3"/>
      <c r="Y414" s="3"/>
      <c r="Z414" s="3"/>
      <c r="AA414" s="3"/>
      <c r="AB414" s="3"/>
    </row>
    <row r="415" spans="1:28" x14ac:dyDescent="0.35">
      <c r="A415" s="3"/>
      <c r="B415" s="3"/>
      <c r="C415" s="3" t="s">
        <v>1047</v>
      </c>
      <c r="D415" s="3"/>
      <c r="E415" s="3"/>
      <c r="F415" s="3"/>
      <c r="G415" s="3" t="s">
        <v>1048</v>
      </c>
      <c r="H415" s="3"/>
      <c r="I415" s="3"/>
      <c r="J415" s="3"/>
      <c r="K415" s="3"/>
      <c r="L415" s="3"/>
      <c r="M415" s="3"/>
      <c r="N415" s="3"/>
      <c r="O415" s="3"/>
      <c r="P415" s="3"/>
      <c r="Q415" s="3"/>
      <c r="R415" s="3"/>
      <c r="S415" s="3"/>
      <c r="T415" s="3"/>
      <c r="U415" s="3"/>
      <c r="V415" s="3"/>
      <c r="W415" s="3"/>
      <c r="X415" s="3"/>
      <c r="Y415" s="3"/>
      <c r="Z415" s="3"/>
      <c r="AA415" s="3"/>
      <c r="AB415" s="3"/>
    </row>
    <row r="416" spans="1:28" x14ac:dyDescent="0.35">
      <c r="A416" s="3"/>
      <c r="B416" s="3"/>
      <c r="C416" s="3" t="s">
        <v>1704</v>
      </c>
      <c r="D416" s="3"/>
      <c r="E416" s="3"/>
      <c r="F416" s="3"/>
      <c r="G416" s="3" t="s">
        <v>1707</v>
      </c>
      <c r="H416" s="3"/>
      <c r="I416" s="3"/>
      <c r="J416" s="3"/>
      <c r="K416" s="3"/>
      <c r="L416" s="3"/>
      <c r="M416" s="3"/>
      <c r="N416" s="3"/>
      <c r="O416" s="3"/>
      <c r="P416" s="3"/>
      <c r="Q416" s="3"/>
      <c r="R416" s="3"/>
      <c r="S416" s="3"/>
      <c r="T416" s="3"/>
      <c r="U416" s="3"/>
      <c r="V416" s="3"/>
      <c r="W416" s="3"/>
      <c r="X416" s="3"/>
      <c r="Y416" s="3"/>
      <c r="Z416" s="3"/>
      <c r="AA416" s="3"/>
      <c r="AB416" s="3"/>
    </row>
    <row r="417" spans="1:28" x14ac:dyDescent="0.35">
      <c r="A417" s="3"/>
      <c r="B417" s="3" t="s">
        <v>1054</v>
      </c>
      <c r="C417" s="3" t="s">
        <v>1055</v>
      </c>
      <c r="D417" s="2" t="s">
        <v>34</v>
      </c>
      <c r="E417" s="2" t="s">
        <v>35</v>
      </c>
      <c r="F417" s="3"/>
      <c r="G417" s="3" t="s">
        <v>1056</v>
      </c>
      <c r="H417" s="3"/>
      <c r="I417" s="3"/>
      <c r="J417" s="3"/>
      <c r="K417" s="3"/>
      <c r="L417" s="3"/>
      <c r="M417" s="3"/>
      <c r="N417" s="3"/>
      <c r="O417" s="3"/>
      <c r="P417" s="3"/>
      <c r="Q417" s="3"/>
      <c r="R417" s="3"/>
      <c r="S417" s="3"/>
      <c r="T417" s="3"/>
      <c r="U417" s="3"/>
      <c r="V417" s="3"/>
      <c r="W417" s="3"/>
      <c r="X417" s="3"/>
      <c r="Y417" s="3"/>
      <c r="Z417" s="3"/>
      <c r="AA417" s="3"/>
      <c r="AB417" s="3"/>
    </row>
    <row r="418" spans="1:28" x14ac:dyDescent="0.35">
      <c r="A418" s="3"/>
      <c r="B418" s="3" t="s">
        <v>1062</v>
      </c>
      <c r="C418" s="3" t="s">
        <v>1063</v>
      </c>
      <c r="D418" s="2" t="s">
        <v>34</v>
      </c>
      <c r="E418" s="2" t="s">
        <v>35</v>
      </c>
      <c r="F418" s="3"/>
      <c r="G418" s="3" t="s">
        <v>1064</v>
      </c>
      <c r="H418" s="3"/>
      <c r="I418" s="3"/>
      <c r="J418" s="3"/>
      <c r="K418" s="3"/>
      <c r="L418" s="3"/>
      <c r="M418" s="3"/>
      <c r="N418" s="3"/>
      <c r="O418" s="3"/>
      <c r="P418" s="3"/>
      <c r="Q418" s="3"/>
      <c r="R418" s="3"/>
      <c r="S418" s="3"/>
      <c r="T418" s="3"/>
      <c r="U418" s="3"/>
      <c r="V418" s="3"/>
      <c r="W418" s="3"/>
      <c r="X418" s="3"/>
      <c r="Y418" s="3"/>
      <c r="Z418" s="3"/>
      <c r="AA418" s="3"/>
      <c r="AB418" s="3"/>
    </row>
    <row r="419" spans="1:28" x14ac:dyDescent="0.35">
      <c r="A419" s="3"/>
      <c r="B419" s="3" t="s">
        <v>188</v>
      </c>
      <c r="C419" s="3" t="s">
        <v>1105</v>
      </c>
      <c r="D419" s="3"/>
      <c r="E419" s="3"/>
      <c r="F419" s="3"/>
      <c r="G419" s="3" t="s">
        <v>1708</v>
      </c>
      <c r="H419" s="3"/>
      <c r="I419" s="3"/>
      <c r="J419" s="3"/>
      <c r="K419" s="3"/>
      <c r="L419" s="3"/>
      <c r="M419" s="3"/>
      <c r="N419" s="3"/>
      <c r="O419" s="3"/>
      <c r="P419" s="3"/>
      <c r="Q419" s="3"/>
      <c r="R419" s="3"/>
      <c r="S419" s="3"/>
      <c r="T419" s="3"/>
      <c r="U419" s="3"/>
      <c r="V419" s="3"/>
      <c r="W419" s="3"/>
      <c r="X419" s="3"/>
      <c r="Y419" s="3"/>
      <c r="Z419" s="3"/>
      <c r="AA419" s="3"/>
      <c r="AB419" s="3"/>
    </row>
    <row r="420" spans="1:28" x14ac:dyDescent="0.35">
      <c r="A420" s="3"/>
      <c r="B420" s="3" t="s">
        <v>195</v>
      </c>
      <c r="C420" s="3" t="s">
        <v>131</v>
      </c>
      <c r="D420" s="3"/>
      <c r="E420" s="3"/>
      <c r="F420" s="3"/>
      <c r="G420" s="3" t="s">
        <v>196</v>
      </c>
      <c r="H420" s="3"/>
      <c r="I420" s="3"/>
      <c r="J420" s="3"/>
      <c r="K420" s="3"/>
      <c r="L420" s="3"/>
      <c r="M420" s="3"/>
      <c r="N420" s="3"/>
      <c r="O420" s="3"/>
      <c r="P420" s="3"/>
      <c r="Q420" s="3"/>
      <c r="R420" s="3"/>
      <c r="S420" s="3"/>
      <c r="T420" s="3"/>
      <c r="U420" s="3"/>
      <c r="V420" s="3"/>
      <c r="W420" s="3"/>
      <c r="X420" s="3"/>
      <c r="Y420" s="3"/>
      <c r="Z420" s="3"/>
      <c r="AA420" s="3"/>
      <c r="AB420" s="3"/>
    </row>
    <row r="421" spans="1:28" x14ac:dyDescent="0.35">
      <c r="A421" s="3"/>
      <c r="B421" s="3"/>
      <c r="C421" s="3" t="s">
        <v>197</v>
      </c>
      <c r="D421" s="3"/>
      <c r="E421" s="3"/>
      <c r="F421" s="3"/>
      <c r="G421" s="3" t="s">
        <v>1067</v>
      </c>
      <c r="H421" s="3"/>
      <c r="I421" s="3"/>
      <c r="J421" s="3"/>
      <c r="K421" s="3"/>
      <c r="L421" s="3"/>
      <c r="M421" s="3"/>
      <c r="N421" s="3"/>
      <c r="O421" s="3"/>
      <c r="P421" s="3"/>
      <c r="Q421" s="3"/>
      <c r="R421" s="3"/>
      <c r="S421" s="3"/>
      <c r="T421" s="3"/>
      <c r="U421" s="3"/>
      <c r="V421" s="3"/>
      <c r="W421" s="3"/>
      <c r="X421" s="3"/>
      <c r="Y421" s="3"/>
      <c r="Z421" s="3"/>
      <c r="AA421" s="3"/>
      <c r="AB421" s="3"/>
    </row>
    <row r="422" spans="1:28" x14ac:dyDescent="0.35">
      <c r="A422" s="3"/>
      <c r="B422" s="3"/>
      <c r="C422" s="3" t="s">
        <v>200</v>
      </c>
      <c r="D422" s="3"/>
      <c r="E422" s="3"/>
      <c r="F422" s="3"/>
      <c r="G422" s="3" t="s">
        <v>1068</v>
      </c>
      <c r="H422" s="3"/>
      <c r="I422" s="3"/>
      <c r="J422" s="3"/>
      <c r="K422" s="3"/>
      <c r="L422" s="3"/>
      <c r="M422" s="3"/>
      <c r="N422" s="3"/>
      <c r="O422" s="3"/>
      <c r="P422" s="3"/>
      <c r="Q422" s="3"/>
      <c r="R422" s="3"/>
      <c r="S422" s="3"/>
      <c r="T422" s="3"/>
      <c r="U422" s="3"/>
      <c r="V422" s="3"/>
      <c r="W422" s="3"/>
      <c r="X422" s="3"/>
      <c r="Y422" s="3"/>
      <c r="Z422" s="3"/>
      <c r="AA422" s="3"/>
      <c r="AB422" s="3"/>
    </row>
    <row r="423" spans="1:28" x14ac:dyDescent="0.35">
      <c r="A423" s="3"/>
      <c r="B423" s="3" t="s">
        <v>206</v>
      </c>
      <c r="C423" s="3" t="s">
        <v>1641</v>
      </c>
      <c r="D423" s="2" t="s">
        <v>208</v>
      </c>
      <c r="E423" s="2" t="s">
        <v>209</v>
      </c>
      <c r="F423" s="3"/>
      <c r="G423" s="3" t="s">
        <v>1642</v>
      </c>
      <c r="H423" s="3"/>
      <c r="I423" s="3"/>
      <c r="J423" s="3"/>
      <c r="K423" s="3"/>
      <c r="L423" s="3"/>
      <c r="M423" s="3"/>
      <c r="N423" s="3"/>
      <c r="O423" s="3"/>
      <c r="P423" s="3"/>
      <c r="Q423" s="3"/>
      <c r="R423" s="3"/>
      <c r="S423" s="3"/>
      <c r="T423" s="3"/>
      <c r="U423" s="3"/>
      <c r="V423" s="3"/>
      <c r="W423" s="3"/>
      <c r="X423" s="3"/>
      <c r="Y423" s="3"/>
      <c r="Z423" s="3"/>
      <c r="AA423" s="3"/>
      <c r="AB423" s="3"/>
    </row>
    <row r="424" spans="1:28"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x14ac:dyDescent="0.35">
      <c r="A425" s="3" t="s">
        <v>1070</v>
      </c>
      <c r="B425" s="3" t="s">
        <v>1071</v>
      </c>
      <c r="C425" s="3" t="s">
        <v>1072</v>
      </c>
      <c r="D425" s="3"/>
      <c r="E425" s="3"/>
      <c r="F425" s="3"/>
      <c r="G425" s="3" t="s">
        <v>1073</v>
      </c>
      <c r="H425" s="3"/>
      <c r="I425" s="3"/>
      <c r="J425" s="3"/>
      <c r="K425" s="3"/>
      <c r="L425" s="3"/>
      <c r="M425" s="3"/>
      <c r="N425" s="3"/>
      <c r="O425" s="3"/>
      <c r="P425" s="3"/>
      <c r="Q425" s="3"/>
      <c r="R425" s="3"/>
      <c r="S425" s="3"/>
      <c r="T425" s="3"/>
      <c r="U425" s="3"/>
      <c r="V425" s="3"/>
      <c r="W425" s="3"/>
      <c r="X425" s="3"/>
      <c r="Y425" s="3"/>
      <c r="Z425" s="3"/>
      <c r="AA425" s="3"/>
      <c r="AB425" s="3"/>
    </row>
    <row r="426" spans="1:28" x14ac:dyDescent="0.35">
      <c r="A426" s="3"/>
      <c r="B426" s="3"/>
      <c r="C426" s="4" t="s">
        <v>1075</v>
      </c>
      <c r="D426" s="3"/>
      <c r="E426" s="3"/>
      <c r="F426" s="3"/>
      <c r="G426" s="3" t="s">
        <v>1076</v>
      </c>
      <c r="H426" s="3"/>
      <c r="I426" s="3"/>
      <c r="J426" s="3"/>
      <c r="K426" s="3"/>
      <c r="L426" s="3"/>
      <c r="M426" s="3"/>
      <c r="N426" s="3"/>
      <c r="O426" s="3"/>
      <c r="P426" s="3"/>
      <c r="Q426" s="3"/>
      <c r="R426" s="3"/>
      <c r="S426" s="3"/>
      <c r="T426" s="3"/>
      <c r="U426" s="3"/>
      <c r="V426" s="3"/>
      <c r="W426" s="3"/>
      <c r="X426" s="3"/>
      <c r="Y426" s="3"/>
      <c r="Z426" s="3"/>
      <c r="AA426" s="3"/>
      <c r="AB426" s="3"/>
    </row>
    <row r="427" spans="1:28" x14ac:dyDescent="0.35">
      <c r="A427" s="3"/>
      <c r="B427" s="3"/>
      <c r="C427" s="3" t="s">
        <v>25</v>
      </c>
      <c r="D427" s="3"/>
      <c r="E427" s="3"/>
      <c r="F427" s="3"/>
      <c r="G427" s="3" t="s">
        <v>1078</v>
      </c>
      <c r="H427" s="3"/>
      <c r="I427" s="3"/>
      <c r="J427" s="3"/>
      <c r="K427" s="3"/>
      <c r="L427" s="3"/>
      <c r="M427" s="3"/>
      <c r="N427" s="3"/>
      <c r="O427" s="3"/>
      <c r="P427" s="3"/>
      <c r="Q427" s="3"/>
      <c r="R427" s="3"/>
      <c r="S427" s="3"/>
      <c r="T427" s="3"/>
      <c r="U427" s="3"/>
      <c r="V427" s="3"/>
      <c r="W427" s="3"/>
      <c r="X427" s="3"/>
      <c r="Y427" s="3"/>
      <c r="Z427" s="3"/>
      <c r="AA427" s="3"/>
      <c r="AB427" s="3"/>
    </row>
    <row r="428" spans="1:28" x14ac:dyDescent="0.35">
      <c r="A428" s="3"/>
      <c r="B428" s="3" t="s">
        <v>1079</v>
      </c>
      <c r="C428" s="3" t="s">
        <v>1080</v>
      </c>
      <c r="D428" s="3" t="s">
        <v>1081</v>
      </c>
      <c r="E428" s="3" t="s">
        <v>1082</v>
      </c>
      <c r="F428" s="3"/>
      <c r="G428" s="3" t="s">
        <v>1083</v>
      </c>
      <c r="H428" s="3"/>
      <c r="I428" s="3"/>
      <c r="J428" s="3"/>
      <c r="K428" s="3"/>
      <c r="L428" s="3"/>
      <c r="M428" s="3"/>
      <c r="N428" s="3"/>
      <c r="O428" s="3"/>
      <c r="P428" s="3"/>
      <c r="Q428" s="3"/>
      <c r="R428" s="3"/>
      <c r="S428" s="3"/>
      <c r="T428" s="3"/>
      <c r="U428" s="3"/>
      <c r="V428" s="3"/>
      <c r="W428" s="3"/>
      <c r="X428" s="3"/>
      <c r="Y428" s="3"/>
      <c r="Z428" s="3"/>
      <c r="AA428" s="3"/>
      <c r="AB428" s="3"/>
    </row>
    <row r="429" spans="1:28" x14ac:dyDescent="0.35">
      <c r="A429" s="3"/>
      <c r="B429" s="3"/>
      <c r="C429" s="4" t="s">
        <v>1086</v>
      </c>
      <c r="D429" s="3"/>
      <c r="E429" s="3"/>
      <c r="F429" s="3"/>
      <c r="G429" s="3" t="s">
        <v>1087</v>
      </c>
      <c r="H429" s="3"/>
      <c r="I429" s="3"/>
      <c r="J429" s="3"/>
      <c r="K429" s="3"/>
      <c r="L429" s="3"/>
      <c r="M429" s="3"/>
      <c r="N429" s="3"/>
      <c r="O429" s="3"/>
      <c r="P429" s="3"/>
      <c r="Q429" s="3"/>
      <c r="R429" s="3"/>
      <c r="S429" s="3"/>
      <c r="T429" s="3"/>
      <c r="U429" s="3"/>
      <c r="V429" s="3"/>
      <c r="W429" s="3"/>
      <c r="X429" s="3"/>
      <c r="Y429" s="3"/>
      <c r="Z429" s="3"/>
      <c r="AA429" s="3"/>
      <c r="AB429" s="3"/>
    </row>
    <row r="430" spans="1:28" x14ac:dyDescent="0.35">
      <c r="A430" s="3"/>
      <c r="B430" s="3"/>
      <c r="C430" s="3" t="s">
        <v>1091</v>
      </c>
      <c r="D430" s="3"/>
      <c r="E430" s="3"/>
      <c r="F430" s="3"/>
      <c r="G430" s="3" t="s">
        <v>1092</v>
      </c>
      <c r="H430" s="3"/>
      <c r="I430" s="3"/>
      <c r="J430" s="3"/>
      <c r="K430" s="3"/>
      <c r="L430" s="3"/>
      <c r="M430" s="3"/>
      <c r="N430" s="3"/>
      <c r="O430" s="3"/>
      <c r="P430" s="3"/>
      <c r="Q430" s="3"/>
      <c r="R430" s="3"/>
      <c r="S430" s="3"/>
      <c r="T430" s="3"/>
      <c r="U430" s="3"/>
      <c r="V430" s="3"/>
      <c r="W430" s="3"/>
      <c r="X430" s="3"/>
      <c r="Y430" s="3"/>
      <c r="Z430" s="3"/>
      <c r="AA430" s="3"/>
      <c r="AB430" s="3"/>
    </row>
    <row r="431" spans="1:28" x14ac:dyDescent="0.35">
      <c r="A431" s="3"/>
      <c r="B431" s="3" t="s">
        <v>1094</v>
      </c>
      <c r="C431" s="3" t="s">
        <v>1095</v>
      </c>
      <c r="D431" s="3"/>
      <c r="E431" s="3"/>
      <c r="F431" s="3"/>
      <c r="G431" s="3" t="s">
        <v>1096</v>
      </c>
      <c r="H431" s="3"/>
      <c r="I431" s="3"/>
      <c r="J431" s="3"/>
      <c r="K431" s="3"/>
      <c r="L431" s="3"/>
      <c r="M431" s="3"/>
      <c r="N431" s="3"/>
      <c r="O431" s="3"/>
      <c r="P431" s="3"/>
      <c r="Q431" s="3"/>
      <c r="R431" s="3"/>
      <c r="S431" s="3"/>
      <c r="T431" s="3"/>
      <c r="U431" s="3"/>
      <c r="V431" s="3"/>
      <c r="W431" s="3"/>
      <c r="X431" s="3"/>
      <c r="Y431" s="3"/>
      <c r="Z431" s="3"/>
      <c r="AA431" s="3"/>
      <c r="AB431" s="3"/>
    </row>
    <row r="432" spans="1:28" x14ac:dyDescent="0.35">
      <c r="A432" s="3"/>
      <c r="B432" s="3" t="s">
        <v>1098</v>
      </c>
      <c r="C432" s="3" t="s">
        <v>1709</v>
      </c>
      <c r="D432" s="3"/>
      <c r="E432" s="3"/>
      <c r="F432" s="3"/>
      <c r="G432" s="3" t="s">
        <v>1100</v>
      </c>
      <c r="H432" s="3"/>
      <c r="I432" s="3"/>
      <c r="J432" s="3"/>
      <c r="K432" s="3"/>
      <c r="L432" s="3"/>
      <c r="M432" s="3"/>
      <c r="N432" s="3"/>
      <c r="O432" s="3"/>
      <c r="P432" s="3"/>
      <c r="Q432" s="3"/>
      <c r="R432" s="3"/>
      <c r="S432" s="3"/>
      <c r="T432" s="3"/>
      <c r="U432" s="3"/>
      <c r="V432" s="3"/>
      <c r="W432" s="3"/>
      <c r="X432" s="3"/>
      <c r="Y432" s="3"/>
      <c r="Z432" s="3"/>
      <c r="AA432" s="3"/>
      <c r="AB432" s="3"/>
    </row>
    <row r="433" spans="1:28" x14ac:dyDescent="0.35">
      <c r="A433" s="3"/>
      <c r="B433" s="3" t="s">
        <v>1104</v>
      </c>
      <c r="C433" s="3" t="s">
        <v>1105</v>
      </c>
      <c r="D433" s="3"/>
      <c r="E433" s="3"/>
      <c r="F433" s="3"/>
      <c r="G433" s="3" t="s">
        <v>1106</v>
      </c>
      <c r="H433" s="3"/>
      <c r="I433" s="3"/>
      <c r="J433" s="3"/>
      <c r="K433" s="3"/>
      <c r="L433" s="3"/>
      <c r="M433" s="3"/>
      <c r="N433" s="3"/>
      <c r="O433" s="3"/>
      <c r="P433" s="3"/>
      <c r="Q433" s="3"/>
      <c r="R433" s="3"/>
      <c r="S433" s="3"/>
      <c r="T433" s="3"/>
      <c r="U433" s="3"/>
      <c r="V433" s="3"/>
      <c r="W433" s="3"/>
      <c r="X433" s="3"/>
      <c r="Y433" s="3"/>
      <c r="Z433" s="3"/>
      <c r="AA433" s="3"/>
      <c r="AB433" s="3"/>
    </row>
    <row r="434" spans="1:28" x14ac:dyDescent="0.35">
      <c r="A434" s="3"/>
      <c r="B434" s="3" t="s">
        <v>1108</v>
      </c>
      <c r="C434" s="4" t="s">
        <v>1109</v>
      </c>
      <c r="D434" s="3" t="s">
        <v>1110</v>
      </c>
      <c r="E434" s="3" t="s">
        <v>1111</v>
      </c>
      <c r="F434" s="3"/>
      <c r="G434" s="3" t="s">
        <v>1112</v>
      </c>
      <c r="H434" s="3"/>
      <c r="I434" s="3"/>
      <c r="J434" s="3"/>
      <c r="K434" s="3"/>
      <c r="L434" s="3"/>
      <c r="M434" s="3"/>
      <c r="N434" s="3"/>
      <c r="O434" s="3"/>
      <c r="P434" s="3"/>
      <c r="Q434" s="3"/>
      <c r="R434" s="3"/>
      <c r="S434" s="3"/>
      <c r="T434" s="3"/>
      <c r="U434" s="3"/>
      <c r="V434" s="3"/>
      <c r="W434" s="3"/>
      <c r="X434" s="3"/>
      <c r="Y434" s="3"/>
      <c r="Z434" s="3"/>
      <c r="AA434" s="3"/>
      <c r="AB434" s="3"/>
    </row>
    <row r="435" spans="1:28" x14ac:dyDescent="0.35">
      <c r="A435" s="3"/>
      <c r="B435" s="3"/>
      <c r="C435" s="3" t="s">
        <v>1116</v>
      </c>
      <c r="D435" s="3"/>
      <c r="E435" s="3"/>
      <c r="F435" s="3"/>
      <c r="G435" s="3" t="s">
        <v>1117</v>
      </c>
      <c r="H435" s="3"/>
      <c r="I435" s="3"/>
      <c r="J435" s="3"/>
      <c r="K435" s="3"/>
      <c r="L435" s="3"/>
      <c r="M435" s="3"/>
      <c r="N435" s="3"/>
      <c r="O435" s="3"/>
      <c r="P435" s="3"/>
      <c r="Q435" s="3"/>
      <c r="R435" s="3"/>
      <c r="S435" s="3"/>
      <c r="T435" s="3"/>
      <c r="U435" s="3"/>
      <c r="V435" s="3"/>
      <c r="W435" s="3"/>
      <c r="X435" s="3"/>
      <c r="Y435" s="3"/>
      <c r="Z435" s="3"/>
      <c r="AA435" s="3"/>
      <c r="AB435" s="3"/>
    </row>
    <row r="436" spans="1:28" x14ac:dyDescent="0.35">
      <c r="A436" s="3"/>
      <c r="B436" s="3" t="s">
        <v>1122</v>
      </c>
      <c r="C436" s="3" t="s">
        <v>1123</v>
      </c>
      <c r="D436" s="3" t="s">
        <v>1124</v>
      </c>
      <c r="E436" s="3" t="s">
        <v>1125</v>
      </c>
      <c r="F436" s="3"/>
      <c r="G436" s="3" t="s">
        <v>1126</v>
      </c>
      <c r="H436" s="3"/>
      <c r="I436" s="3"/>
      <c r="J436" s="3"/>
      <c r="K436" s="3"/>
      <c r="L436" s="3"/>
      <c r="M436" s="3"/>
      <c r="N436" s="3"/>
      <c r="O436" s="3"/>
      <c r="P436" s="3"/>
      <c r="Q436" s="3"/>
      <c r="R436" s="3"/>
      <c r="S436" s="3"/>
      <c r="T436" s="3"/>
      <c r="U436" s="3"/>
      <c r="V436" s="3"/>
      <c r="W436" s="3"/>
      <c r="X436" s="3"/>
      <c r="Y436" s="3"/>
      <c r="Z436" s="3"/>
      <c r="AA436" s="3"/>
      <c r="AB436" s="3"/>
    </row>
    <row r="437" spans="1:28" x14ac:dyDescent="0.35">
      <c r="A437" s="3"/>
      <c r="B437" s="3"/>
      <c r="C437" s="3" t="s">
        <v>1131</v>
      </c>
      <c r="D437" s="3"/>
      <c r="E437" s="3"/>
      <c r="F437" s="3"/>
      <c r="G437" s="3" t="s">
        <v>1132</v>
      </c>
      <c r="H437" s="3"/>
      <c r="I437" s="3"/>
      <c r="J437" s="3"/>
      <c r="K437" s="3"/>
      <c r="L437" s="3"/>
      <c r="M437" s="3"/>
      <c r="N437" s="3"/>
      <c r="O437" s="3"/>
      <c r="P437" s="3"/>
      <c r="Q437" s="3"/>
      <c r="R437" s="3"/>
      <c r="S437" s="3"/>
      <c r="T437" s="3"/>
      <c r="U437" s="3"/>
      <c r="V437" s="3"/>
      <c r="W437" s="3"/>
      <c r="X437" s="3"/>
      <c r="Y437" s="3"/>
      <c r="Z437" s="3"/>
      <c r="AA437" s="3"/>
      <c r="AB437" s="3"/>
    </row>
    <row r="438" spans="1:28" x14ac:dyDescent="0.35">
      <c r="A438" s="3"/>
      <c r="B438" s="3" t="s">
        <v>105</v>
      </c>
      <c r="C438" s="3" t="s">
        <v>1072</v>
      </c>
      <c r="D438" s="3"/>
      <c r="E438" s="3"/>
      <c r="F438" s="3"/>
      <c r="G438" s="3" t="s">
        <v>1139</v>
      </c>
      <c r="H438" s="3"/>
      <c r="I438" s="3"/>
      <c r="J438" s="3"/>
      <c r="K438" s="3"/>
      <c r="L438" s="3"/>
      <c r="M438" s="3"/>
      <c r="N438" s="3"/>
      <c r="O438" s="3"/>
      <c r="P438" s="3"/>
      <c r="Q438" s="3"/>
      <c r="R438" s="3"/>
      <c r="S438" s="3"/>
      <c r="T438" s="3"/>
      <c r="U438" s="3"/>
      <c r="V438" s="3"/>
      <c r="W438" s="3"/>
      <c r="X438" s="3"/>
      <c r="Y438" s="3"/>
      <c r="Z438" s="3"/>
      <c r="AA438" s="3"/>
      <c r="AB438" s="3"/>
    </row>
    <row r="439" spans="1:28" x14ac:dyDescent="0.35">
      <c r="A439" s="3"/>
      <c r="B439" s="3"/>
      <c r="C439" s="3" t="s">
        <v>1075</v>
      </c>
      <c r="D439" s="3"/>
      <c r="E439" s="3"/>
      <c r="F439" s="3"/>
      <c r="G439" s="3" t="s">
        <v>1140</v>
      </c>
      <c r="H439" s="3"/>
      <c r="I439" s="3"/>
      <c r="J439" s="3"/>
      <c r="K439" s="3"/>
      <c r="L439" s="3"/>
      <c r="M439" s="3"/>
      <c r="N439" s="3"/>
      <c r="O439" s="3"/>
      <c r="P439" s="3"/>
      <c r="Q439" s="3"/>
      <c r="R439" s="3"/>
      <c r="S439" s="3"/>
      <c r="T439" s="3"/>
      <c r="U439" s="3"/>
      <c r="V439" s="3"/>
      <c r="W439" s="3"/>
      <c r="X439" s="3"/>
      <c r="Y439" s="3"/>
      <c r="Z439" s="3"/>
      <c r="AA439" s="3"/>
      <c r="AB439" s="3"/>
    </row>
    <row r="440" spans="1:28" x14ac:dyDescent="0.35">
      <c r="A440" s="3"/>
      <c r="B440" s="3"/>
      <c r="C440" s="3" t="s">
        <v>25</v>
      </c>
      <c r="D440" s="3"/>
      <c r="E440" s="3"/>
      <c r="F440" s="3"/>
      <c r="G440" s="3" t="s">
        <v>1141</v>
      </c>
      <c r="H440" s="3"/>
      <c r="I440" s="3"/>
      <c r="J440" s="3"/>
      <c r="K440" s="3"/>
      <c r="L440" s="3"/>
      <c r="M440" s="3"/>
      <c r="N440" s="3"/>
      <c r="O440" s="3"/>
      <c r="P440" s="3"/>
      <c r="Q440" s="3"/>
      <c r="R440" s="3"/>
      <c r="S440" s="3"/>
      <c r="T440" s="3"/>
      <c r="U440" s="3"/>
      <c r="V440" s="3"/>
      <c r="W440" s="3"/>
      <c r="X440" s="3"/>
      <c r="Y440" s="3"/>
      <c r="Z440" s="3"/>
      <c r="AA440" s="3"/>
      <c r="AB440" s="3"/>
    </row>
    <row r="441" spans="1:28" x14ac:dyDescent="0.35">
      <c r="A441" s="3"/>
      <c r="B441" s="3" t="s">
        <v>108</v>
      </c>
      <c r="C441" s="2" t="s">
        <v>109</v>
      </c>
      <c r="D441" s="3"/>
      <c r="E441" s="3"/>
      <c r="F441" s="3"/>
      <c r="G441" s="3" t="s">
        <v>1142</v>
      </c>
      <c r="H441" s="3"/>
      <c r="I441" s="3"/>
      <c r="J441" s="3"/>
      <c r="K441" s="3"/>
      <c r="L441" s="3"/>
      <c r="M441" s="3"/>
      <c r="N441" s="3"/>
      <c r="O441" s="3"/>
      <c r="P441" s="3"/>
      <c r="Q441" s="3"/>
      <c r="R441" s="3"/>
      <c r="S441" s="3"/>
      <c r="T441" s="3"/>
      <c r="U441" s="3"/>
      <c r="V441" s="3"/>
      <c r="W441" s="3"/>
      <c r="X441" s="3"/>
      <c r="Y441" s="3"/>
      <c r="Z441" s="3"/>
      <c r="AA441" s="3"/>
      <c r="AB441" s="3"/>
    </row>
    <row r="442" spans="1:28" x14ac:dyDescent="0.35">
      <c r="A442" s="3"/>
      <c r="B442" s="3"/>
      <c r="C442" s="2" t="s">
        <v>1143</v>
      </c>
      <c r="D442" s="3"/>
      <c r="E442" s="3"/>
      <c r="F442" s="3"/>
      <c r="G442" s="3" t="s">
        <v>1144</v>
      </c>
      <c r="H442" s="3"/>
      <c r="I442" s="3"/>
      <c r="J442" s="3"/>
      <c r="K442" s="3"/>
      <c r="L442" s="3"/>
      <c r="M442" s="3"/>
      <c r="N442" s="3"/>
      <c r="O442" s="3"/>
      <c r="P442" s="3"/>
      <c r="Q442" s="3"/>
      <c r="R442" s="3"/>
      <c r="S442" s="3"/>
      <c r="T442" s="3"/>
      <c r="U442" s="3"/>
      <c r="V442" s="3"/>
      <c r="W442" s="3"/>
      <c r="X442" s="3"/>
      <c r="Y442" s="3"/>
      <c r="Z442" s="3"/>
      <c r="AA442" s="3"/>
      <c r="AB442" s="3"/>
    </row>
    <row r="443" spans="1:28" x14ac:dyDescent="0.35">
      <c r="A443" s="3"/>
      <c r="B443" s="3"/>
      <c r="C443" s="3" t="s">
        <v>131</v>
      </c>
      <c r="D443" s="3"/>
      <c r="E443" s="3"/>
      <c r="F443" s="3"/>
      <c r="G443" s="3" t="s">
        <v>1148</v>
      </c>
      <c r="H443" s="3"/>
      <c r="I443" s="3"/>
      <c r="J443" s="3"/>
      <c r="K443" s="3"/>
      <c r="L443" s="3"/>
      <c r="M443" s="3"/>
      <c r="N443" s="3"/>
      <c r="O443" s="3"/>
      <c r="P443" s="3"/>
      <c r="Q443" s="3"/>
      <c r="R443" s="3"/>
      <c r="S443" s="3"/>
      <c r="T443" s="3"/>
      <c r="U443" s="3"/>
      <c r="V443" s="3"/>
      <c r="W443" s="3"/>
      <c r="X443" s="3"/>
      <c r="Y443" s="3"/>
      <c r="Z443" s="3"/>
      <c r="AA443" s="3"/>
      <c r="AB443" s="3"/>
    </row>
    <row r="444" spans="1:28" x14ac:dyDescent="0.35">
      <c r="A444" s="3"/>
      <c r="B444" s="3" t="s">
        <v>1149</v>
      </c>
      <c r="C444" s="3" t="s">
        <v>1150</v>
      </c>
      <c r="D444" s="3" t="s">
        <v>1110</v>
      </c>
      <c r="E444" s="3" t="s">
        <v>1111</v>
      </c>
      <c r="F444" s="3"/>
      <c r="G444" s="3" t="s">
        <v>1151</v>
      </c>
      <c r="H444" s="3"/>
      <c r="I444" s="3"/>
      <c r="J444" s="3"/>
      <c r="K444" s="3"/>
      <c r="L444" s="3"/>
      <c r="M444" s="3"/>
      <c r="N444" s="3"/>
      <c r="O444" s="3"/>
      <c r="P444" s="3"/>
      <c r="Q444" s="3"/>
      <c r="R444" s="3"/>
      <c r="S444" s="3"/>
      <c r="T444" s="3"/>
      <c r="U444" s="3"/>
      <c r="V444" s="3"/>
      <c r="W444" s="3"/>
      <c r="X444" s="3"/>
      <c r="Y444" s="3"/>
      <c r="Z444" s="3"/>
      <c r="AA444" s="3"/>
      <c r="AB444" s="3"/>
    </row>
    <row r="445" spans="1:28" x14ac:dyDescent="0.35">
      <c r="A445" s="3"/>
      <c r="B445" s="3"/>
      <c r="C445" s="3" t="s">
        <v>1116</v>
      </c>
      <c r="D445" s="3"/>
      <c r="E445" s="3"/>
      <c r="F445" s="3"/>
      <c r="G445" s="3" t="s">
        <v>1156</v>
      </c>
      <c r="H445" s="3"/>
      <c r="I445" s="3"/>
      <c r="J445" s="3"/>
      <c r="K445" s="3"/>
      <c r="L445" s="3"/>
      <c r="M445" s="3"/>
      <c r="N445" s="3"/>
      <c r="O445" s="3"/>
      <c r="P445" s="3"/>
      <c r="Q445" s="3"/>
      <c r="R445" s="3"/>
      <c r="S445" s="3"/>
      <c r="T445" s="3"/>
      <c r="U445" s="3"/>
      <c r="V445" s="3"/>
      <c r="W445" s="3"/>
      <c r="X445" s="3"/>
      <c r="Y445" s="3"/>
      <c r="Z445" s="3"/>
      <c r="AA445" s="3"/>
      <c r="AB445" s="3"/>
    </row>
    <row r="446" spans="1:28" x14ac:dyDescent="0.35">
      <c r="A446" s="3"/>
      <c r="B446" s="3" t="s">
        <v>1159</v>
      </c>
      <c r="C446" s="3" t="s">
        <v>1160</v>
      </c>
      <c r="D446" s="3" t="s">
        <v>1124</v>
      </c>
      <c r="E446" s="3" t="s">
        <v>1125</v>
      </c>
      <c r="F446" s="3"/>
      <c r="G446" s="3" t="s">
        <v>1161</v>
      </c>
      <c r="H446" s="3"/>
      <c r="I446" s="3"/>
      <c r="J446" s="3"/>
      <c r="K446" s="3"/>
      <c r="L446" s="3"/>
      <c r="M446" s="3"/>
      <c r="N446" s="3"/>
      <c r="O446" s="3"/>
      <c r="P446" s="3"/>
      <c r="Q446" s="3"/>
      <c r="R446" s="3"/>
      <c r="S446" s="3"/>
      <c r="T446" s="3"/>
      <c r="U446" s="3"/>
      <c r="V446" s="3"/>
      <c r="W446" s="3"/>
      <c r="X446" s="3"/>
      <c r="Y446" s="3"/>
      <c r="Z446" s="3"/>
      <c r="AA446" s="3"/>
      <c r="AB446" s="3"/>
    </row>
    <row r="447" spans="1:28" x14ac:dyDescent="0.35">
      <c r="A447" s="3"/>
      <c r="B447" s="3"/>
      <c r="C447" s="3" t="s">
        <v>1131</v>
      </c>
      <c r="D447" s="3"/>
      <c r="E447" s="3"/>
      <c r="F447" s="3"/>
      <c r="G447" s="3" t="s">
        <v>1166</v>
      </c>
      <c r="H447" s="3"/>
      <c r="I447" s="3"/>
      <c r="J447" s="3"/>
      <c r="K447" s="3"/>
      <c r="L447" s="3"/>
      <c r="M447" s="3"/>
      <c r="N447" s="3"/>
      <c r="O447" s="3"/>
      <c r="P447" s="3"/>
      <c r="Q447" s="3"/>
      <c r="R447" s="3"/>
      <c r="S447" s="3"/>
      <c r="T447" s="3"/>
      <c r="U447" s="3"/>
      <c r="V447" s="3"/>
      <c r="W447" s="3"/>
      <c r="X447" s="3"/>
      <c r="Y447" s="3"/>
      <c r="Z447" s="3"/>
      <c r="AA447" s="3"/>
      <c r="AB447" s="3"/>
    </row>
    <row r="448" spans="1:28" x14ac:dyDescent="0.35">
      <c r="A448" s="3"/>
      <c r="B448" s="3" t="s">
        <v>1170</v>
      </c>
      <c r="C448" s="3"/>
      <c r="D448" s="3" t="s">
        <v>1110</v>
      </c>
      <c r="E448" s="3" t="s">
        <v>1111</v>
      </c>
      <c r="F448" s="3"/>
      <c r="G448" s="3"/>
      <c r="H448" s="3"/>
      <c r="I448" s="3"/>
      <c r="J448" s="3"/>
      <c r="K448" s="3"/>
      <c r="L448" s="3"/>
      <c r="M448" s="3"/>
      <c r="N448" s="3"/>
      <c r="O448" s="3"/>
      <c r="P448" s="3"/>
      <c r="Q448" s="3"/>
      <c r="R448" s="3"/>
      <c r="S448" s="3"/>
      <c r="T448" s="3"/>
      <c r="U448" s="3"/>
      <c r="V448" s="3"/>
      <c r="W448" s="3"/>
      <c r="X448" s="3"/>
      <c r="Y448" s="3"/>
      <c r="Z448" s="3"/>
      <c r="AA448" s="3"/>
      <c r="AB448" s="3"/>
    </row>
    <row r="449" spans="1:28" x14ac:dyDescent="0.35">
      <c r="A449" s="3"/>
      <c r="B449" s="3" t="s">
        <v>1171</v>
      </c>
      <c r="C449" s="3"/>
      <c r="D449" s="3" t="s">
        <v>1124</v>
      </c>
      <c r="E449" s="3" t="s">
        <v>1125</v>
      </c>
      <c r="F449" s="3"/>
      <c r="G449" s="3"/>
      <c r="H449" s="3"/>
      <c r="I449" s="3"/>
      <c r="J449" s="3"/>
      <c r="K449" s="3"/>
      <c r="L449" s="3"/>
      <c r="M449" s="3"/>
      <c r="N449" s="3"/>
      <c r="O449" s="3"/>
      <c r="P449" s="3"/>
      <c r="Q449" s="3"/>
      <c r="R449" s="3"/>
      <c r="S449" s="3"/>
      <c r="T449" s="3"/>
      <c r="U449" s="3"/>
      <c r="V449" s="3"/>
      <c r="W449" s="3"/>
      <c r="X449" s="3"/>
      <c r="Y449" s="3"/>
      <c r="Z449" s="3"/>
      <c r="AA449" s="3"/>
      <c r="AB449" s="3"/>
    </row>
    <row r="450" spans="1:28" x14ac:dyDescent="0.35">
      <c r="A450" s="3"/>
      <c r="B450" s="5" t="s">
        <v>1172</v>
      </c>
      <c r="C450" s="5" t="s">
        <v>1105</v>
      </c>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x14ac:dyDescent="0.35">
      <c r="A451" s="3"/>
      <c r="B451" s="3" t="s">
        <v>136</v>
      </c>
      <c r="C451" s="3" t="s">
        <v>1710</v>
      </c>
      <c r="D451" s="3"/>
      <c r="E451" s="3"/>
      <c r="F451" s="3"/>
      <c r="G451" s="3" t="s">
        <v>1711</v>
      </c>
      <c r="H451" s="3"/>
      <c r="I451" s="3"/>
      <c r="J451" s="3"/>
      <c r="K451" s="3"/>
      <c r="L451" s="3"/>
      <c r="M451" s="3"/>
      <c r="N451" s="3"/>
      <c r="O451" s="3"/>
      <c r="P451" s="3"/>
      <c r="Q451" s="3"/>
      <c r="R451" s="3"/>
      <c r="S451" s="3"/>
      <c r="T451" s="3"/>
      <c r="U451" s="3"/>
      <c r="V451" s="3"/>
      <c r="W451" s="3"/>
      <c r="X451" s="3"/>
      <c r="Y451" s="3"/>
      <c r="Z451" s="3"/>
      <c r="AA451" s="3"/>
      <c r="AB451" s="3"/>
    </row>
    <row r="452" spans="1:28" x14ac:dyDescent="0.35">
      <c r="A452" s="3"/>
      <c r="B452" s="3"/>
      <c r="C452" s="3" t="s">
        <v>1712</v>
      </c>
      <c r="D452" s="3"/>
      <c r="E452" s="3"/>
      <c r="F452" s="3"/>
      <c r="G452" s="3" t="s">
        <v>1713</v>
      </c>
      <c r="H452" s="3"/>
      <c r="I452" s="3"/>
      <c r="J452" s="3"/>
      <c r="K452" s="3"/>
      <c r="L452" s="3"/>
      <c r="M452" s="3"/>
      <c r="N452" s="3"/>
      <c r="O452" s="3"/>
      <c r="P452" s="3"/>
      <c r="Q452" s="3"/>
      <c r="R452" s="3"/>
      <c r="S452" s="3"/>
      <c r="T452" s="3"/>
      <c r="U452" s="3"/>
      <c r="V452" s="3"/>
      <c r="W452" s="3"/>
      <c r="X452" s="3"/>
      <c r="Y452" s="3"/>
      <c r="Z452" s="3"/>
      <c r="AA452" s="3"/>
      <c r="AB452" s="3"/>
    </row>
    <row r="453" spans="1:28" x14ac:dyDescent="0.35">
      <c r="A453" s="3"/>
      <c r="B453" s="3" t="s">
        <v>1173</v>
      </c>
      <c r="C453" s="3" t="s">
        <v>1105</v>
      </c>
      <c r="D453" s="3"/>
      <c r="E453" s="3"/>
      <c r="F453" s="3"/>
      <c r="G453" s="3" t="s">
        <v>1714</v>
      </c>
      <c r="H453" s="3"/>
      <c r="I453" s="3"/>
      <c r="J453" s="3"/>
      <c r="K453" s="3"/>
      <c r="L453" s="3"/>
      <c r="M453" s="3"/>
      <c r="N453" s="3"/>
      <c r="O453" s="3"/>
      <c r="P453" s="3"/>
      <c r="Q453" s="3"/>
      <c r="R453" s="3"/>
      <c r="S453" s="3"/>
      <c r="T453" s="3"/>
      <c r="U453" s="3"/>
      <c r="V453" s="3"/>
      <c r="W453" s="3"/>
      <c r="X453" s="3"/>
      <c r="Y453" s="3"/>
      <c r="Z453" s="3"/>
      <c r="AA453" s="3"/>
      <c r="AB453" s="3"/>
    </row>
    <row r="454" spans="1:28" x14ac:dyDescent="0.35">
      <c r="A454" s="3"/>
      <c r="B454" s="3" t="s">
        <v>1174</v>
      </c>
      <c r="C454" s="3" t="s">
        <v>1175</v>
      </c>
      <c r="D454" s="3" t="s">
        <v>1176</v>
      </c>
      <c r="E454" s="3" t="s">
        <v>1177</v>
      </c>
      <c r="F454" s="3"/>
      <c r="G454" s="3" t="s">
        <v>1178</v>
      </c>
      <c r="H454" s="3"/>
      <c r="I454" s="3"/>
      <c r="J454" s="3"/>
      <c r="K454" s="3"/>
      <c r="L454" s="3"/>
      <c r="M454" s="3"/>
      <c r="N454" s="3"/>
      <c r="O454" s="3"/>
      <c r="P454" s="3"/>
      <c r="Q454" s="3"/>
      <c r="R454" s="3"/>
      <c r="S454" s="3"/>
      <c r="T454" s="3"/>
      <c r="U454" s="3"/>
      <c r="V454" s="3"/>
      <c r="W454" s="3"/>
      <c r="X454" s="3"/>
      <c r="Y454" s="3"/>
      <c r="Z454" s="3"/>
      <c r="AA454" s="3"/>
      <c r="AB454" s="3"/>
    </row>
    <row r="455" spans="1:28" x14ac:dyDescent="0.35">
      <c r="A455" s="3"/>
      <c r="B455" s="3"/>
      <c r="C455" s="3" t="s">
        <v>1181</v>
      </c>
      <c r="D455" s="3"/>
      <c r="E455" s="3"/>
      <c r="F455" s="3"/>
      <c r="G455" s="3" t="s">
        <v>1182</v>
      </c>
      <c r="H455" s="3"/>
      <c r="I455" s="3"/>
      <c r="J455" s="3"/>
      <c r="K455" s="3"/>
      <c r="L455" s="3"/>
      <c r="M455" s="3"/>
      <c r="N455" s="3"/>
      <c r="O455" s="3"/>
      <c r="P455" s="3"/>
      <c r="Q455" s="3"/>
      <c r="R455" s="3"/>
      <c r="S455" s="3"/>
      <c r="T455" s="3"/>
      <c r="U455" s="3"/>
      <c r="V455" s="3"/>
      <c r="W455" s="3"/>
      <c r="X455" s="3"/>
      <c r="Y455" s="3"/>
      <c r="Z455" s="3"/>
      <c r="AA455" s="3"/>
      <c r="AB455" s="3"/>
    </row>
    <row r="456" spans="1:28" x14ac:dyDescent="0.35">
      <c r="A456" s="3"/>
      <c r="B456" s="3"/>
      <c r="C456" s="3" t="s">
        <v>1187</v>
      </c>
      <c r="D456" s="3"/>
      <c r="E456" s="3"/>
      <c r="F456" s="3"/>
      <c r="G456" s="3" t="s">
        <v>1188</v>
      </c>
      <c r="H456" s="3"/>
      <c r="I456" s="3"/>
      <c r="J456" s="3"/>
      <c r="K456" s="3"/>
      <c r="L456" s="3"/>
      <c r="M456" s="3"/>
      <c r="N456" s="3"/>
      <c r="O456" s="3"/>
      <c r="P456" s="3"/>
      <c r="Q456" s="3"/>
      <c r="R456" s="3"/>
      <c r="S456" s="3"/>
      <c r="T456" s="3"/>
      <c r="U456" s="3"/>
      <c r="V456" s="3"/>
      <c r="W456" s="3"/>
      <c r="X456" s="3"/>
      <c r="Y456" s="3"/>
      <c r="Z456" s="3"/>
      <c r="AA456" s="3"/>
      <c r="AB456" s="3"/>
    </row>
    <row r="457" spans="1:28" x14ac:dyDescent="0.35">
      <c r="A457" s="3"/>
      <c r="B457" s="3" t="s">
        <v>1194</v>
      </c>
      <c r="C457" s="3" t="s">
        <v>1195</v>
      </c>
      <c r="D457" s="3" t="s">
        <v>1176</v>
      </c>
      <c r="E457" s="3" t="s">
        <v>1177</v>
      </c>
      <c r="F457" s="3"/>
      <c r="G457" s="3" t="s">
        <v>1196</v>
      </c>
      <c r="H457" s="3"/>
      <c r="I457" s="3"/>
      <c r="J457" s="3"/>
      <c r="K457" s="3"/>
      <c r="L457" s="3"/>
      <c r="M457" s="3"/>
      <c r="N457" s="3"/>
      <c r="O457" s="3"/>
      <c r="P457" s="3"/>
      <c r="Q457" s="3"/>
      <c r="R457" s="3"/>
      <c r="S457" s="3"/>
      <c r="T457" s="3"/>
      <c r="U457" s="3"/>
      <c r="V457" s="3"/>
      <c r="W457" s="3"/>
      <c r="X457" s="3"/>
      <c r="Y457" s="3"/>
      <c r="Z457" s="3"/>
      <c r="AA457" s="3"/>
      <c r="AB457" s="3"/>
    </row>
    <row r="458" spans="1:28" x14ac:dyDescent="0.35">
      <c r="A458" s="3"/>
      <c r="B458" s="3"/>
      <c r="C458" s="3" t="s">
        <v>1199</v>
      </c>
      <c r="D458" s="3"/>
      <c r="E458" s="3"/>
      <c r="F458" s="3"/>
      <c r="G458" s="3" t="s">
        <v>1200</v>
      </c>
      <c r="H458" s="3"/>
      <c r="I458" s="3"/>
      <c r="J458" s="3"/>
      <c r="K458" s="3"/>
      <c r="L458" s="3"/>
      <c r="M458" s="3"/>
      <c r="N458" s="3"/>
      <c r="O458" s="3"/>
      <c r="P458" s="3"/>
      <c r="Q458" s="3"/>
      <c r="R458" s="3"/>
      <c r="S458" s="3"/>
      <c r="T458" s="3"/>
      <c r="U458" s="3"/>
      <c r="V458" s="3"/>
      <c r="W458" s="3"/>
      <c r="X458" s="3"/>
      <c r="Y458" s="3"/>
      <c r="Z458" s="3"/>
      <c r="AA458" s="3"/>
      <c r="AB458" s="3"/>
    </row>
    <row r="459" spans="1:28" x14ac:dyDescent="0.35">
      <c r="A459" s="3"/>
      <c r="B459" s="3"/>
      <c r="C459" s="3" t="s">
        <v>1203</v>
      </c>
      <c r="D459" s="3"/>
      <c r="E459" s="3"/>
      <c r="F459" s="3"/>
      <c r="G459" s="3" t="s">
        <v>1204</v>
      </c>
      <c r="H459" s="3"/>
      <c r="I459" s="3"/>
      <c r="J459" s="3"/>
      <c r="K459" s="3"/>
      <c r="L459" s="3"/>
      <c r="M459" s="3"/>
      <c r="N459" s="3"/>
      <c r="O459" s="3"/>
      <c r="P459" s="3"/>
      <c r="Q459" s="3"/>
      <c r="R459" s="3"/>
      <c r="S459" s="3"/>
      <c r="T459" s="3"/>
      <c r="U459" s="3"/>
      <c r="V459" s="3"/>
      <c r="W459" s="3"/>
      <c r="X459" s="3"/>
      <c r="Y459" s="3"/>
      <c r="Z459" s="3"/>
      <c r="AA459" s="3"/>
      <c r="AB459" s="3"/>
    </row>
    <row r="460" spans="1:28" x14ac:dyDescent="0.35">
      <c r="A460" s="3"/>
      <c r="B460" s="3" t="s">
        <v>1208</v>
      </c>
      <c r="C460" s="3" t="s">
        <v>1209</v>
      </c>
      <c r="D460" s="3"/>
      <c r="E460" s="3"/>
      <c r="F460" s="3"/>
      <c r="G460" s="3" t="s">
        <v>1210</v>
      </c>
      <c r="H460" s="3"/>
      <c r="I460" s="3"/>
      <c r="J460" s="3"/>
      <c r="K460" s="3"/>
      <c r="L460" s="3"/>
      <c r="M460" s="3"/>
      <c r="N460" s="3"/>
      <c r="O460" s="3"/>
      <c r="P460" s="3"/>
      <c r="Q460" s="3"/>
      <c r="R460" s="3"/>
      <c r="S460" s="3"/>
      <c r="T460" s="3"/>
      <c r="U460" s="3"/>
      <c r="V460" s="3"/>
      <c r="W460" s="3"/>
      <c r="X460" s="3"/>
      <c r="Y460" s="3"/>
      <c r="Z460" s="3"/>
      <c r="AA460" s="3"/>
      <c r="AB460" s="3"/>
    </row>
    <row r="461" spans="1:28" x14ac:dyDescent="0.35">
      <c r="A461" s="3"/>
      <c r="B461" s="3" t="s">
        <v>1212</v>
      </c>
      <c r="C461" s="3" t="s">
        <v>1213</v>
      </c>
      <c r="D461" s="3" t="s">
        <v>1214</v>
      </c>
      <c r="E461" s="3" t="s">
        <v>1215</v>
      </c>
      <c r="F461" s="3"/>
      <c r="G461" s="3" t="s">
        <v>1216</v>
      </c>
      <c r="H461" s="3"/>
      <c r="I461" s="3"/>
      <c r="J461" s="3"/>
      <c r="K461" s="3"/>
      <c r="L461" s="3"/>
      <c r="M461" s="3"/>
      <c r="N461" s="3"/>
      <c r="O461" s="3"/>
      <c r="P461" s="3"/>
      <c r="Q461" s="3"/>
      <c r="R461" s="3"/>
      <c r="S461" s="3"/>
      <c r="T461" s="3"/>
      <c r="U461" s="3"/>
      <c r="V461" s="3"/>
      <c r="W461" s="3"/>
      <c r="X461" s="3"/>
      <c r="Y461" s="3"/>
      <c r="Z461" s="3"/>
      <c r="AA461" s="3"/>
      <c r="AB461" s="3"/>
    </row>
    <row r="462" spans="1:28" x14ac:dyDescent="0.35">
      <c r="A462" s="3"/>
      <c r="B462" s="3"/>
      <c r="C462" s="3" t="s">
        <v>1219</v>
      </c>
      <c r="D462" s="3"/>
      <c r="E462" s="3"/>
      <c r="F462" s="3"/>
      <c r="G462" s="3" t="s">
        <v>1220</v>
      </c>
      <c r="H462" s="3"/>
      <c r="I462" s="3"/>
      <c r="J462" s="3"/>
      <c r="K462" s="3"/>
      <c r="L462" s="3"/>
      <c r="M462" s="3"/>
      <c r="N462" s="3"/>
      <c r="O462" s="3"/>
      <c r="P462" s="3"/>
      <c r="Q462" s="3"/>
      <c r="R462" s="3"/>
      <c r="S462" s="3"/>
      <c r="T462" s="3"/>
      <c r="U462" s="3"/>
      <c r="V462" s="3"/>
      <c r="W462" s="3"/>
      <c r="X462" s="3"/>
      <c r="Y462" s="3"/>
      <c r="Z462" s="3"/>
      <c r="AA462" s="3"/>
      <c r="AB462" s="3"/>
    </row>
    <row r="463" spans="1:28" x14ac:dyDescent="0.35">
      <c r="A463" s="3"/>
      <c r="B463" s="3"/>
      <c r="C463" s="3" t="s">
        <v>1223</v>
      </c>
      <c r="D463" s="3"/>
      <c r="E463" s="3"/>
      <c r="F463" s="3"/>
      <c r="G463" s="3" t="s">
        <v>1224</v>
      </c>
      <c r="H463" s="3"/>
      <c r="I463" s="3"/>
      <c r="J463" s="3"/>
      <c r="K463" s="3"/>
      <c r="L463" s="3"/>
      <c r="M463" s="3"/>
      <c r="N463" s="3"/>
      <c r="O463" s="3"/>
      <c r="P463" s="3"/>
      <c r="Q463" s="3"/>
      <c r="R463" s="3"/>
      <c r="S463" s="3"/>
      <c r="T463" s="3"/>
      <c r="U463" s="3"/>
      <c r="V463" s="3"/>
      <c r="W463" s="3"/>
      <c r="X463" s="3"/>
      <c r="Y463" s="3"/>
      <c r="Z463" s="3"/>
      <c r="AA463" s="3"/>
      <c r="AB463" s="3"/>
    </row>
    <row r="464" spans="1:28" x14ac:dyDescent="0.35">
      <c r="A464" s="3"/>
      <c r="B464" s="3" t="s">
        <v>1229</v>
      </c>
      <c r="C464" s="3" t="s">
        <v>1213</v>
      </c>
      <c r="D464" s="3" t="s">
        <v>1214</v>
      </c>
      <c r="E464" s="3" t="s">
        <v>1215</v>
      </c>
      <c r="F464" s="3"/>
      <c r="G464" s="3" t="s">
        <v>1216</v>
      </c>
      <c r="H464" s="3"/>
      <c r="I464" s="3"/>
      <c r="J464" s="3"/>
      <c r="K464" s="3"/>
      <c r="L464" s="3"/>
      <c r="M464" s="3"/>
      <c r="N464" s="3"/>
      <c r="O464" s="3"/>
      <c r="P464" s="3"/>
      <c r="Q464" s="3"/>
      <c r="R464" s="3"/>
      <c r="S464" s="3"/>
      <c r="T464" s="3"/>
      <c r="U464" s="3"/>
      <c r="V464" s="3"/>
      <c r="W464" s="3"/>
      <c r="X464" s="3"/>
      <c r="Y464" s="3"/>
      <c r="Z464" s="3"/>
      <c r="AA464" s="3"/>
      <c r="AB464" s="3"/>
    </row>
    <row r="465" spans="1:28" x14ac:dyDescent="0.35">
      <c r="A465" s="3"/>
      <c r="B465" s="3"/>
      <c r="C465" s="3" t="s">
        <v>1230</v>
      </c>
      <c r="D465" s="3"/>
      <c r="E465" s="3"/>
      <c r="F465" s="3"/>
      <c r="G465" s="3" t="s">
        <v>1231</v>
      </c>
      <c r="H465" s="3"/>
      <c r="I465" s="3"/>
      <c r="J465" s="3"/>
      <c r="K465" s="3"/>
      <c r="L465" s="3"/>
      <c r="M465" s="3"/>
      <c r="N465" s="3"/>
      <c r="O465" s="3"/>
      <c r="P465" s="3"/>
      <c r="Q465" s="3"/>
      <c r="R465" s="3"/>
      <c r="S465" s="3"/>
      <c r="T465" s="3"/>
      <c r="U465" s="3"/>
      <c r="V465" s="3"/>
      <c r="W465" s="3"/>
      <c r="X465" s="3"/>
      <c r="Y465" s="3"/>
      <c r="Z465" s="3"/>
      <c r="AA465" s="3"/>
      <c r="AB465" s="3"/>
    </row>
    <row r="466" spans="1:28" x14ac:dyDescent="0.35">
      <c r="A466" s="3"/>
      <c r="B466" s="3"/>
      <c r="C466" s="3" t="s">
        <v>1234</v>
      </c>
      <c r="D466" s="3"/>
      <c r="E466" s="3"/>
      <c r="F466" s="3"/>
      <c r="G466" s="3" t="s">
        <v>1235</v>
      </c>
      <c r="H466" s="3"/>
      <c r="I466" s="3"/>
      <c r="J466" s="3"/>
      <c r="K466" s="3"/>
      <c r="L466" s="3"/>
      <c r="M466" s="3"/>
      <c r="N466" s="3"/>
      <c r="O466" s="3"/>
      <c r="P466" s="3"/>
      <c r="Q466" s="3"/>
      <c r="R466" s="3"/>
      <c r="S466" s="3"/>
      <c r="T466" s="3"/>
      <c r="U466" s="3"/>
      <c r="V466" s="3"/>
      <c r="W466" s="3"/>
      <c r="X466" s="3"/>
      <c r="Y466" s="3"/>
      <c r="Z466" s="3"/>
      <c r="AA466" s="3"/>
      <c r="AB466" s="3"/>
    </row>
    <row r="467" spans="1:28" x14ac:dyDescent="0.35">
      <c r="A467" s="3"/>
      <c r="B467" s="3" t="s">
        <v>1239</v>
      </c>
      <c r="C467" s="4" t="s">
        <v>1240</v>
      </c>
      <c r="D467" s="3" t="s">
        <v>1110</v>
      </c>
      <c r="E467" s="3" t="s">
        <v>1111</v>
      </c>
      <c r="F467" s="3"/>
      <c r="G467" s="3" t="s">
        <v>1241</v>
      </c>
      <c r="H467" s="3"/>
      <c r="I467" s="3"/>
      <c r="J467" s="3"/>
      <c r="K467" s="3"/>
      <c r="L467" s="3"/>
      <c r="M467" s="3"/>
      <c r="N467" s="3"/>
      <c r="O467" s="3"/>
      <c r="P467" s="3"/>
      <c r="Q467" s="3"/>
      <c r="R467" s="3"/>
      <c r="S467" s="3"/>
      <c r="T467" s="3"/>
      <c r="U467" s="3"/>
      <c r="V467" s="3"/>
      <c r="W467" s="3"/>
      <c r="X467" s="3"/>
      <c r="Y467" s="3"/>
      <c r="Z467" s="3"/>
      <c r="AA467" s="3"/>
      <c r="AB467" s="3"/>
    </row>
    <row r="468" spans="1:28" x14ac:dyDescent="0.35">
      <c r="A468" s="3"/>
      <c r="B468" s="3"/>
      <c r="C468" s="3" t="s">
        <v>1116</v>
      </c>
      <c r="D468" s="3"/>
      <c r="E468" s="3"/>
      <c r="F468" s="3"/>
      <c r="G468" s="3" t="s">
        <v>1244</v>
      </c>
      <c r="H468" s="3"/>
      <c r="I468" s="3"/>
      <c r="J468" s="3"/>
      <c r="K468" s="3"/>
      <c r="L468" s="3"/>
      <c r="M468" s="3"/>
      <c r="N468" s="3"/>
      <c r="O468" s="3"/>
      <c r="P468" s="3"/>
      <c r="Q468" s="3"/>
      <c r="R468" s="3"/>
      <c r="S468" s="3"/>
      <c r="T468" s="3"/>
      <c r="U468" s="3"/>
      <c r="V468" s="3"/>
      <c r="W468" s="3"/>
      <c r="X468" s="3"/>
      <c r="Y468" s="3"/>
      <c r="Z468" s="3"/>
      <c r="AA468" s="3"/>
      <c r="AB468" s="3"/>
    </row>
    <row r="469" spans="1:28" x14ac:dyDescent="0.35">
      <c r="A469" s="3"/>
      <c r="B469" s="3" t="s">
        <v>1245</v>
      </c>
      <c r="C469" s="4" t="s">
        <v>1246</v>
      </c>
      <c r="D469" s="3" t="s">
        <v>1110</v>
      </c>
      <c r="E469" s="3" t="s">
        <v>1111</v>
      </c>
      <c r="F469" s="3"/>
      <c r="G469" s="3" t="s">
        <v>1247</v>
      </c>
      <c r="H469" s="3"/>
      <c r="I469" s="3"/>
      <c r="J469" s="3"/>
      <c r="K469" s="3"/>
      <c r="L469" s="3"/>
      <c r="M469" s="3"/>
      <c r="N469" s="3"/>
      <c r="O469" s="3"/>
      <c r="P469" s="3"/>
      <c r="Q469" s="3"/>
      <c r="R469" s="3"/>
      <c r="S469" s="3"/>
      <c r="T469" s="3"/>
      <c r="U469" s="3"/>
      <c r="V469" s="3"/>
      <c r="W469" s="3"/>
      <c r="X469" s="3"/>
      <c r="Y469" s="3"/>
      <c r="Z469" s="3"/>
      <c r="AA469" s="3"/>
      <c r="AB469" s="3"/>
    </row>
    <row r="470" spans="1:28" x14ac:dyDescent="0.35">
      <c r="A470" s="3"/>
      <c r="B470" s="3"/>
      <c r="C470" s="3" t="s">
        <v>1116</v>
      </c>
      <c r="D470" s="3"/>
      <c r="E470" s="3"/>
      <c r="F470" s="3"/>
      <c r="G470" s="3" t="s">
        <v>1117</v>
      </c>
      <c r="H470" s="3"/>
      <c r="I470" s="3"/>
      <c r="J470" s="3"/>
      <c r="K470" s="3"/>
      <c r="L470" s="3"/>
      <c r="M470" s="3"/>
      <c r="N470" s="3"/>
      <c r="O470" s="3"/>
      <c r="P470" s="3"/>
      <c r="Q470" s="3"/>
      <c r="R470" s="3"/>
      <c r="S470" s="3"/>
      <c r="T470" s="3"/>
      <c r="U470" s="3"/>
      <c r="V470" s="3"/>
      <c r="W470" s="3"/>
      <c r="X470" s="3"/>
      <c r="Y470" s="3"/>
      <c r="Z470" s="3"/>
      <c r="AA470" s="3"/>
      <c r="AB470" s="3"/>
    </row>
    <row r="471" spans="1:28" x14ac:dyDescent="0.35">
      <c r="A471" s="3"/>
      <c r="B471" s="3" t="s">
        <v>1254</v>
      </c>
      <c r="C471" s="3" t="s">
        <v>1255</v>
      </c>
      <c r="D471" s="3" t="s">
        <v>1124</v>
      </c>
      <c r="E471" s="3" t="s">
        <v>1125</v>
      </c>
      <c r="F471" s="3"/>
      <c r="G471" s="3" t="s">
        <v>1256</v>
      </c>
      <c r="H471" s="3"/>
      <c r="I471" s="3"/>
      <c r="J471" s="3"/>
      <c r="K471" s="3"/>
      <c r="L471" s="3"/>
      <c r="M471" s="3"/>
      <c r="N471" s="3"/>
      <c r="O471" s="3"/>
      <c r="P471" s="3"/>
      <c r="Q471" s="3"/>
      <c r="R471" s="3"/>
      <c r="S471" s="3"/>
      <c r="T471" s="3"/>
      <c r="U471" s="3"/>
      <c r="V471" s="3"/>
      <c r="W471" s="3"/>
      <c r="X471" s="3"/>
      <c r="Y471" s="3"/>
      <c r="Z471" s="3"/>
      <c r="AA471" s="3"/>
      <c r="AB471" s="3"/>
    </row>
    <row r="472" spans="1:28" x14ac:dyDescent="0.35">
      <c r="A472" s="3"/>
      <c r="B472" s="3"/>
      <c r="C472" s="3" t="s">
        <v>1131</v>
      </c>
      <c r="D472" s="3"/>
      <c r="E472" s="3"/>
      <c r="F472" s="3"/>
      <c r="G472" s="3" t="s">
        <v>1132</v>
      </c>
      <c r="H472" s="3"/>
      <c r="I472" s="3"/>
      <c r="J472" s="3"/>
      <c r="K472" s="3"/>
      <c r="L472" s="3"/>
      <c r="M472" s="3"/>
      <c r="N472" s="3"/>
      <c r="O472" s="3"/>
      <c r="P472" s="3"/>
      <c r="Q472" s="3"/>
      <c r="R472" s="3"/>
      <c r="S472" s="3"/>
      <c r="T472" s="3"/>
      <c r="U472" s="3"/>
      <c r="V472" s="3"/>
      <c r="W472" s="3"/>
      <c r="X472" s="3"/>
      <c r="Y472" s="3"/>
      <c r="Z472" s="3"/>
      <c r="AA472" s="3"/>
      <c r="AB472" s="3"/>
    </row>
    <row r="473" spans="1:28" x14ac:dyDescent="0.35">
      <c r="A473" s="3"/>
      <c r="B473" s="3" t="s">
        <v>1265</v>
      </c>
      <c r="C473" s="3" t="s">
        <v>1266</v>
      </c>
      <c r="D473" s="3" t="s">
        <v>1124</v>
      </c>
      <c r="E473" s="3" t="s">
        <v>1125</v>
      </c>
      <c r="F473" s="3"/>
      <c r="G473" s="3" t="s">
        <v>1267</v>
      </c>
      <c r="H473" s="3"/>
      <c r="I473" s="3"/>
      <c r="J473" s="3"/>
      <c r="K473" s="3"/>
      <c r="L473" s="3"/>
      <c r="M473" s="3"/>
      <c r="N473" s="3"/>
      <c r="O473" s="3"/>
      <c r="P473" s="3"/>
      <c r="Q473" s="3"/>
      <c r="R473" s="3"/>
      <c r="S473" s="3"/>
      <c r="T473" s="3"/>
      <c r="U473" s="3"/>
      <c r="V473" s="3"/>
      <c r="W473" s="3"/>
      <c r="X473" s="3"/>
      <c r="Y473" s="3"/>
      <c r="Z473" s="3"/>
      <c r="AA473" s="3"/>
      <c r="AB473" s="3"/>
    </row>
    <row r="474" spans="1:28" x14ac:dyDescent="0.35">
      <c r="A474" s="3"/>
      <c r="B474" s="3"/>
      <c r="C474" s="3" t="s">
        <v>1131</v>
      </c>
      <c r="D474" s="3"/>
      <c r="E474" s="3"/>
      <c r="F474" s="3"/>
      <c r="G474" s="3" t="s">
        <v>1132</v>
      </c>
      <c r="H474" s="3"/>
      <c r="I474" s="3"/>
      <c r="J474" s="3"/>
      <c r="K474" s="3"/>
      <c r="L474" s="3"/>
      <c r="M474" s="3"/>
      <c r="N474" s="3"/>
      <c r="O474" s="3"/>
      <c r="P474" s="3"/>
      <c r="Q474" s="3"/>
      <c r="R474" s="3"/>
      <c r="S474" s="3"/>
      <c r="T474" s="3"/>
      <c r="U474" s="3"/>
      <c r="V474" s="3"/>
      <c r="W474" s="3"/>
      <c r="X474" s="3"/>
      <c r="Y474" s="3"/>
      <c r="Z474" s="3"/>
      <c r="AA474" s="3"/>
      <c r="AB474" s="3"/>
    </row>
    <row r="475" spans="1:28" x14ac:dyDescent="0.35">
      <c r="A475" s="3"/>
      <c r="B475" s="3" t="s">
        <v>188</v>
      </c>
      <c r="C475" s="3" t="s">
        <v>1105</v>
      </c>
      <c r="D475" s="3"/>
      <c r="E475" s="3"/>
      <c r="F475" s="3"/>
      <c r="G475" s="3" t="s">
        <v>1715</v>
      </c>
      <c r="H475" s="3"/>
      <c r="I475" s="3"/>
      <c r="J475" s="3"/>
      <c r="K475" s="3"/>
      <c r="L475" s="3"/>
      <c r="M475" s="3"/>
      <c r="N475" s="3"/>
      <c r="O475" s="3"/>
      <c r="P475" s="3"/>
      <c r="Q475" s="3"/>
      <c r="R475" s="3"/>
      <c r="S475" s="3"/>
      <c r="T475" s="3"/>
      <c r="U475" s="3"/>
      <c r="V475" s="3"/>
      <c r="W475" s="3"/>
      <c r="X475" s="3"/>
      <c r="Y475" s="3"/>
      <c r="Z475" s="3"/>
      <c r="AA475" s="3"/>
      <c r="AB475" s="3"/>
    </row>
    <row r="476" spans="1:28" x14ac:dyDescent="0.35">
      <c r="A476" s="3"/>
      <c r="B476" s="5" t="s">
        <v>1273</v>
      </c>
      <c r="C476" s="5" t="s">
        <v>131</v>
      </c>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x14ac:dyDescent="0.35">
      <c r="A477" s="3"/>
      <c r="B477" s="5" t="s">
        <v>1274</v>
      </c>
      <c r="C477" s="5" t="s">
        <v>131</v>
      </c>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x14ac:dyDescent="0.35">
      <c r="A478" s="3"/>
      <c r="B478" s="5" t="s">
        <v>456</v>
      </c>
      <c r="C478" s="5" t="s">
        <v>131</v>
      </c>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x14ac:dyDescent="0.35">
      <c r="A479" s="3"/>
      <c r="B479" s="3" t="s">
        <v>1275</v>
      </c>
      <c r="C479" s="3" t="s">
        <v>1716</v>
      </c>
      <c r="D479" s="3"/>
      <c r="E479" s="3"/>
      <c r="F479" s="3"/>
      <c r="G479" s="3" t="s">
        <v>1717</v>
      </c>
      <c r="H479" s="3"/>
      <c r="I479" s="3"/>
      <c r="J479" s="3"/>
      <c r="K479" s="3"/>
      <c r="L479" s="3"/>
      <c r="M479" s="3"/>
      <c r="N479" s="3"/>
      <c r="O479" s="3"/>
      <c r="P479" s="3"/>
      <c r="Q479" s="3"/>
      <c r="R479" s="3"/>
      <c r="S479" s="3"/>
      <c r="T479" s="3"/>
      <c r="U479" s="3"/>
      <c r="V479" s="3"/>
      <c r="W479" s="3"/>
      <c r="X479" s="3"/>
      <c r="Y479" s="3"/>
      <c r="Z479" s="3"/>
      <c r="AA479" s="3"/>
      <c r="AB479" s="3"/>
    </row>
    <row r="480" spans="1:28" x14ac:dyDescent="0.35">
      <c r="A480" s="3"/>
      <c r="B480" s="3" t="s">
        <v>1280</v>
      </c>
      <c r="C480" s="3" t="s">
        <v>1281</v>
      </c>
      <c r="D480" s="3"/>
      <c r="E480" s="3"/>
      <c r="F480" s="3"/>
      <c r="G480" s="3" t="s">
        <v>1282</v>
      </c>
      <c r="H480" s="3"/>
      <c r="I480" s="3"/>
      <c r="J480" s="3"/>
      <c r="K480" s="3"/>
      <c r="L480" s="3"/>
      <c r="M480" s="3"/>
      <c r="N480" s="3"/>
      <c r="O480" s="3"/>
      <c r="P480" s="3"/>
      <c r="Q480" s="3"/>
      <c r="R480" s="3"/>
      <c r="S480" s="3"/>
      <c r="T480" s="3"/>
      <c r="U480" s="3"/>
      <c r="V480" s="3"/>
      <c r="W480" s="3"/>
      <c r="X480" s="3"/>
      <c r="Y480" s="3"/>
      <c r="Z480" s="3"/>
      <c r="AA480" s="3"/>
      <c r="AB480" s="3"/>
    </row>
    <row r="481" spans="1:28" x14ac:dyDescent="0.35">
      <c r="A481" s="3"/>
      <c r="B481" s="3" t="s">
        <v>1287</v>
      </c>
      <c r="C481" s="3" t="s">
        <v>1718</v>
      </c>
      <c r="D481" s="3"/>
      <c r="E481" s="3"/>
      <c r="F481" s="3"/>
      <c r="G481" s="3" t="s">
        <v>1719</v>
      </c>
      <c r="H481" s="3"/>
      <c r="I481" s="3"/>
      <c r="J481" s="3"/>
      <c r="K481" s="3"/>
      <c r="L481" s="3"/>
      <c r="M481" s="3"/>
      <c r="N481" s="3"/>
      <c r="O481" s="3"/>
      <c r="P481" s="3"/>
      <c r="Q481" s="3"/>
      <c r="R481" s="3"/>
      <c r="S481" s="3"/>
      <c r="T481" s="3"/>
      <c r="U481" s="3"/>
      <c r="V481" s="3"/>
      <c r="W481" s="3"/>
      <c r="X481" s="3"/>
      <c r="Y481" s="3"/>
      <c r="Z481" s="3"/>
      <c r="AA481" s="3"/>
      <c r="AB481" s="3"/>
    </row>
    <row r="482" spans="1:28" x14ac:dyDescent="0.35">
      <c r="A482" s="3"/>
      <c r="B482" s="3" t="s">
        <v>1292</v>
      </c>
      <c r="C482" s="3" t="s">
        <v>1720</v>
      </c>
      <c r="D482" s="3"/>
      <c r="E482" s="3"/>
      <c r="F482" s="3"/>
      <c r="G482" s="3" t="s">
        <v>1294</v>
      </c>
      <c r="H482" s="3"/>
      <c r="I482" s="3"/>
      <c r="J482" s="3"/>
      <c r="K482" s="3"/>
      <c r="L482" s="3"/>
      <c r="M482" s="3"/>
      <c r="N482" s="3"/>
      <c r="O482" s="3"/>
      <c r="P482" s="3"/>
      <c r="Q482" s="3"/>
      <c r="R482" s="3"/>
      <c r="S482" s="3"/>
      <c r="T482" s="3"/>
      <c r="U482" s="3"/>
      <c r="V482" s="3"/>
      <c r="W482" s="3"/>
      <c r="X482" s="3"/>
      <c r="Y482" s="3"/>
      <c r="Z482" s="3"/>
      <c r="AA482" s="3"/>
      <c r="AB482" s="3"/>
    </row>
    <row r="483" spans="1:28" x14ac:dyDescent="0.35">
      <c r="A483" s="3"/>
      <c r="B483" s="3" t="s">
        <v>1299</v>
      </c>
      <c r="C483" s="3" t="s">
        <v>1300</v>
      </c>
      <c r="D483" s="3"/>
      <c r="E483" s="3"/>
      <c r="F483" s="3"/>
      <c r="G483" s="3" t="s">
        <v>1301</v>
      </c>
      <c r="H483" s="3"/>
      <c r="I483" s="3"/>
      <c r="J483" s="3"/>
      <c r="K483" s="3"/>
      <c r="L483" s="3"/>
      <c r="M483" s="3"/>
      <c r="N483" s="3"/>
      <c r="O483" s="3"/>
      <c r="P483" s="3"/>
      <c r="Q483" s="3"/>
      <c r="R483" s="3"/>
      <c r="S483" s="3"/>
      <c r="T483" s="3"/>
      <c r="U483" s="3"/>
      <c r="V483" s="3"/>
      <c r="W483" s="3"/>
      <c r="X483" s="3"/>
      <c r="Y483" s="3"/>
      <c r="Z483" s="3"/>
      <c r="AA483" s="3"/>
      <c r="AB483" s="3"/>
    </row>
    <row r="484" spans="1:28"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x14ac:dyDescent="0.35">
      <c r="A485" s="3" t="s">
        <v>1304</v>
      </c>
      <c r="B485" s="3" t="s">
        <v>1305</v>
      </c>
      <c r="C485" s="3" t="s">
        <v>25</v>
      </c>
      <c r="D485" s="3"/>
      <c r="E485" s="3"/>
      <c r="F485" s="3"/>
      <c r="G485" s="3" t="s">
        <v>1306</v>
      </c>
      <c r="H485" s="3"/>
      <c r="I485" s="3"/>
      <c r="J485" s="3"/>
      <c r="K485" s="3"/>
      <c r="L485" s="3"/>
      <c r="M485" s="3"/>
      <c r="N485" s="3"/>
      <c r="O485" s="3"/>
      <c r="P485" s="3"/>
      <c r="Q485" s="3"/>
      <c r="R485" s="3"/>
      <c r="S485" s="3"/>
      <c r="T485" s="3"/>
      <c r="U485" s="3"/>
      <c r="V485" s="3"/>
      <c r="W485" s="3"/>
      <c r="X485" s="3"/>
      <c r="Y485" s="3"/>
      <c r="Z485" s="3"/>
      <c r="AA485" s="3"/>
      <c r="AB485" s="3"/>
    </row>
    <row r="486" spans="1:28" x14ac:dyDescent="0.35">
      <c r="A486" s="3"/>
      <c r="B486" s="3"/>
      <c r="C486" s="3" t="s">
        <v>29</v>
      </c>
      <c r="D486" s="3"/>
      <c r="E486" s="3"/>
      <c r="F486" s="3"/>
      <c r="G486" s="3" t="s">
        <v>1307</v>
      </c>
      <c r="H486" s="3"/>
      <c r="I486" s="3"/>
      <c r="J486" s="3"/>
      <c r="K486" s="3"/>
      <c r="L486" s="3"/>
      <c r="M486" s="3"/>
      <c r="N486" s="3"/>
      <c r="O486" s="3"/>
      <c r="P486" s="3"/>
      <c r="Q486" s="3"/>
      <c r="R486" s="3"/>
      <c r="S486" s="3"/>
      <c r="T486" s="3"/>
      <c r="U486" s="3"/>
      <c r="V486" s="3"/>
      <c r="W486" s="3"/>
      <c r="X486" s="3"/>
      <c r="Y486" s="3"/>
      <c r="Z486" s="3"/>
      <c r="AA486" s="3"/>
      <c r="AB486" s="3"/>
    </row>
    <row r="487" spans="1:28" x14ac:dyDescent="0.35">
      <c r="A487" s="3"/>
      <c r="B487" s="3" t="s">
        <v>1308</v>
      </c>
      <c r="C487" s="3" t="s">
        <v>665</v>
      </c>
      <c r="D487" s="3" t="s">
        <v>1309</v>
      </c>
      <c r="E487" s="3" t="s">
        <v>1310</v>
      </c>
      <c r="F487" s="3"/>
      <c r="G487" s="3" t="s">
        <v>1311</v>
      </c>
      <c r="H487" s="3"/>
      <c r="I487" s="3"/>
      <c r="J487" s="3"/>
      <c r="K487" s="3"/>
      <c r="L487" s="3"/>
      <c r="M487" s="3"/>
      <c r="N487" s="3"/>
      <c r="O487" s="3"/>
      <c r="P487" s="3"/>
      <c r="Q487" s="3"/>
      <c r="R487" s="3"/>
      <c r="S487" s="3"/>
      <c r="T487" s="3"/>
      <c r="U487" s="3"/>
      <c r="V487" s="3"/>
      <c r="W487" s="3"/>
      <c r="X487" s="3"/>
      <c r="Y487" s="3"/>
      <c r="Z487" s="3"/>
      <c r="AA487" s="3"/>
      <c r="AB487" s="3"/>
    </row>
    <row r="488" spans="1:28" x14ac:dyDescent="0.35">
      <c r="A488" s="3"/>
      <c r="B488" s="3"/>
      <c r="C488" s="3" t="s">
        <v>669</v>
      </c>
      <c r="D488" s="3"/>
      <c r="E488" s="3"/>
      <c r="F488" s="3"/>
      <c r="G488" s="3" t="s">
        <v>1313</v>
      </c>
      <c r="H488" s="3"/>
      <c r="I488" s="3"/>
      <c r="J488" s="3"/>
      <c r="K488" s="3"/>
      <c r="L488" s="3"/>
      <c r="M488" s="3"/>
      <c r="N488" s="3"/>
      <c r="O488" s="3"/>
      <c r="P488" s="3"/>
      <c r="Q488" s="3"/>
      <c r="R488" s="3"/>
      <c r="S488" s="3"/>
      <c r="T488" s="3"/>
      <c r="U488" s="3"/>
      <c r="V488" s="3"/>
      <c r="W488" s="3"/>
      <c r="X488" s="3"/>
      <c r="Y488" s="3"/>
      <c r="Z488" s="3"/>
      <c r="AA488" s="3"/>
      <c r="AB488" s="3"/>
    </row>
    <row r="489" spans="1:28" x14ac:dyDescent="0.35">
      <c r="A489" s="3"/>
      <c r="B489" s="3" t="s">
        <v>1316</v>
      </c>
      <c r="C489" s="3" t="s">
        <v>1317</v>
      </c>
      <c r="D489" s="3" t="s">
        <v>1318</v>
      </c>
      <c r="E489" s="3" t="s">
        <v>1319</v>
      </c>
      <c r="F489" s="3"/>
      <c r="G489" s="3" t="s">
        <v>1320</v>
      </c>
      <c r="H489" s="3"/>
      <c r="I489" s="3"/>
      <c r="J489" s="3"/>
      <c r="K489" s="3"/>
      <c r="L489" s="3"/>
      <c r="M489" s="3"/>
      <c r="N489" s="3"/>
      <c r="O489" s="3"/>
      <c r="P489" s="3"/>
      <c r="Q489" s="3"/>
      <c r="R489" s="3"/>
      <c r="S489" s="3"/>
      <c r="T489" s="3"/>
      <c r="U489" s="3"/>
      <c r="V489" s="3"/>
      <c r="W489" s="3"/>
      <c r="X489" s="3"/>
      <c r="Y489" s="3"/>
      <c r="Z489" s="3"/>
      <c r="AA489" s="3"/>
      <c r="AB489" s="3"/>
    </row>
    <row r="490" spans="1:28" x14ac:dyDescent="0.35">
      <c r="A490" s="3"/>
      <c r="B490" s="3" t="s">
        <v>188</v>
      </c>
      <c r="C490" s="3" t="s">
        <v>1105</v>
      </c>
      <c r="D490" s="3"/>
      <c r="E490" s="3"/>
      <c r="F490" s="3"/>
      <c r="G490" s="3" t="s">
        <v>1721</v>
      </c>
      <c r="H490" s="3"/>
      <c r="I490" s="3"/>
      <c r="J490" s="3"/>
      <c r="K490" s="3"/>
      <c r="L490" s="3"/>
      <c r="M490" s="3"/>
      <c r="N490" s="3"/>
      <c r="O490" s="3"/>
      <c r="P490" s="3"/>
      <c r="Q490" s="3"/>
      <c r="R490" s="3"/>
      <c r="S490" s="3"/>
      <c r="T490" s="3"/>
      <c r="U490" s="3"/>
      <c r="V490" s="3"/>
      <c r="W490" s="3"/>
      <c r="X490" s="3"/>
      <c r="Y490" s="3"/>
      <c r="Z490" s="3"/>
      <c r="AA490" s="3"/>
      <c r="AB490" s="3"/>
    </row>
    <row r="491" spans="1:28" x14ac:dyDescent="0.35">
      <c r="A491" s="3"/>
      <c r="B491" s="3" t="s">
        <v>136</v>
      </c>
      <c r="C491" s="3" t="s">
        <v>1635</v>
      </c>
      <c r="D491" s="3"/>
      <c r="E491" s="3"/>
      <c r="F491" s="3"/>
      <c r="G491" s="3" t="s">
        <v>1722</v>
      </c>
      <c r="H491" s="3"/>
      <c r="I491" s="3"/>
      <c r="J491" s="3"/>
      <c r="K491" s="3"/>
      <c r="L491" s="3"/>
      <c r="M491" s="3"/>
      <c r="N491" s="3"/>
      <c r="O491" s="3"/>
      <c r="P491" s="3"/>
      <c r="Q491" s="3"/>
      <c r="R491" s="3"/>
      <c r="S491" s="3"/>
      <c r="T491" s="3"/>
      <c r="U491" s="3"/>
      <c r="V491" s="3"/>
      <c r="W491" s="3"/>
      <c r="X491" s="3"/>
      <c r="Y491" s="3"/>
      <c r="Z491" s="3"/>
      <c r="AA491" s="3"/>
      <c r="AB491" s="3"/>
    </row>
    <row r="492" spans="1:28" x14ac:dyDescent="0.35">
      <c r="A492" s="3"/>
      <c r="B492" s="3" t="s">
        <v>1323</v>
      </c>
      <c r="C492" s="3" t="s">
        <v>1324</v>
      </c>
      <c r="D492" s="3"/>
      <c r="E492" s="3"/>
      <c r="F492" s="3"/>
      <c r="G492" s="3" t="s">
        <v>1325</v>
      </c>
      <c r="H492" s="3"/>
      <c r="I492" s="3"/>
      <c r="J492" s="3"/>
      <c r="K492" s="3"/>
      <c r="L492" s="3"/>
      <c r="M492" s="3"/>
      <c r="N492" s="3"/>
      <c r="O492" s="3"/>
      <c r="P492" s="3"/>
      <c r="Q492" s="3"/>
      <c r="R492" s="3"/>
      <c r="S492" s="3"/>
      <c r="T492" s="3"/>
      <c r="U492" s="3"/>
      <c r="V492" s="3"/>
      <c r="W492" s="3"/>
      <c r="X492" s="3"/>
      <c r="Y492" s="3"/>
      <c r="Z492" s="3"/>
      <c r="AA492" s="3"/>
      <c r="AB492" s="3"/>
    </row>
    <row r="493" spans="1:28" x14ac:dyDescent="0.35">
      <c r="A493" s="3"/>
      <c r="B493" s="3"/>
      <c r="C493" s="3" t="s">
        <v>1328</v>
      </c>
      <c r="D493" s="3"/>
      <c r="E493" s="3"/>
      <c r="F493" s="3"/>
      <c r="G493" s="3" t="s">
        <v>1329</v>
      </c>
      <c r="H493" s="3"/>
      <c r="I493" s="3"/>
      <c r="J493" s="3"/>
      <c r="K493" s="3"/>
      <c r="L493" s="3"/>
      <c r="M493" s="3"/>
      <c r="N493" s="3"/>
      <c r="O493" s="3"/>
      <c r="P493" s="3"/>
      <c r="Q493" s="3"/>
      <c r="R493" s="3"/>
      <c r="S493" s="3"/>
      <c r="T493" s="3"/>
      <c r="U493" s="3"/>
      <c r="V493" s="3"/>
      <c r="W493" s="3"/>
      <c r="X493" s="3"/>
      <c r="Y493" s="3"/>
      <c r="Z493" s="3"/>
      <c r="AA493" s="3"/>
      <c r="AB493" s="3"/>
    </row>
    <row r="494" spans="1:28" x14ac:dyDescent="0.35">
      <c r="A494" s="3"/>
      <c r="B494" s="3" t="s">
        <v>1333</v>
      </c>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x14ac:dyDescent="0.35">
      <c r="A495" s="3"/>
      <c r="B495" s="3" t="s">
        <v>1334</v>
      </c>
      <c r="C495" s="3" t="s">
        <v>1335</v>
      </c>
      <c r="D495" s="3"/>
      <c r="E495" s="3"/>
      <c r="F495" s="3"/>
      <c r="G495" s="3" t="s">
        <v>1336</v>
      </c>
      <c r="H495" s="3"/>
      <c r="I495" s="3"/>
      <c r="J495" s="3"/>
      <c r="K495" s="3"/>
      <c r="L495" s="3"/>
      <c r="M495" s="3"/>
      <c r="N495" s="3"/>
      <c r="O495" s="3"/>
      <c r="P495" s="3"/>
      <c r="Q495" s="3"/>
      <c r="R495" s="3"/>
      <c r="S495" s="3"/>
      <c r="T495" s="3"/>
      <c r="U495" s="3"/>
      <c r="V495" s="3"/>
      <c r="W495" s="3"/>
      <c r="X495" s="3"/>
      <c r="Y495" s="3"/>
      <c r="Z495" s="3"/>
      <c r="AA495" s="3"/>
      <c r="AB495" s="3"/>
    </row>
    <row r="496" spans="1:28" x14ac:dyDescent="0.35">
      <c r="A496" s="3"/>
      <c r="B496" s="3"/>
      <c r="C496" s="3" t="s">
        <v>1340</v>
      </c>
      <c r="D496" s="3"/>
      <c r="E496" s="3"/>
      <c r="F496" s="3"/>
      <c r="G496" s="3" t="s">
        <v>1341</v>
      </c>
      <c r="H496" s="3"/>
      <c r="I496" s="3"/>
      <c r="J496" s="3"/>
      <c r="K496" s="3"/>
      <c r="L496" s="3"/>
      <c r="M496" s="3"/>
      <c r="N496" s="3"/>
      <c r="O496" s="3"/>
      <c r="P496" s="3"/>
      <c r="Q496" s="3"/>
      <c r="R496" s="3"/>
      <c r="S496" s="3"/>
      <c r="T496" s="3"/>
      <c r="U496" s="3"/>
      <c r="V496" s="3"/>
      <c r="W496" s="3"/>
      <c r="X496" s="3"/>
      <c r="Y496" s="3"/>
      <c r="Z496" s="3"/>
      <c r="AA496" s="3"/>
      <c r="AB496" s="3"/>
    </row>
    <row r="497" spans="1:28" x14ac:dyDescent="0.35">
      <c r="A497" s="3"/>
      <c r="B497" s="3"/>
      <c r="C497" s="3" t="s">
        <v>1344</v>
      </c>
      <c r="D497" s="3"/>
      <c r="E497" s="3"/>
      <c r="F497" s="3"/>
      <c r="G497" s="3" t="s">
        <v>1345</v>
      </c>
      <c r="H497" s="3"/>
      <c r="I497" s="3"/>
      <c r="J497" s="3"/>
      <c r="K497" s="3"/>
      <c r="L497" s="3"/>
      <c r="M497" s="3"/>
      <c r="N497" s="3"/>
      <c r="O497" s="3"/>
      <c r="P497" s="3"/>
      <c r="Q497" s="3"/>
      <c r="R497" s="3"/>
      <c r="S497" s="3"/>
      <c r="T497" s="3"/>
      <c r="U497" s="3"/>
      <c r="V497" s="3"/>
      <c r="W497" s="3"/>
      <c r="X497" s="3"/>
      <c r="Y497" s="3"/>
      <c r="Z497" s="3"/>
      <c r="AA497" s="3"/>
      <c r="AB497" s="3"/>
    </row>
    <row r="498" spans="1:28" x14ac:dyDescent="0.35">
      <c r="A498" s="3"/>
      <c r="B498" s="3"/>
      <c r="C498" s="3" t="s">
        <v>1348</v>
      </c>
      <c r="D498" s="3"/>
      <c r="E498" s="3"/>
      <c r="F498" s="3"/>
      <c r="G498" s="3" t="s">
        <v>1349</v>
      </c>
      <c r="H498" s="3"/>
      <c r="I498" s="3"/>
      <c r="J498" s="3"/>
      <c r="K498" s="3"/>
      <c r="L498" s="3"/>
      <c r="M498" s="3"/>
      <c r="N498" s="3"/>
      <c r="O498" s="3"/>
      <c r="P498" s="3"/>
      <c r="Q498" s="3"/>
      <c r="R498" s="3"/>
      <c r="S498" s="3"/>
      <c r="T498" s="3"/>
      <c r="U498" s="3"/>
      <c r="V498" s="3"/>
      <c r="W498" s="3"/>
      <c r="X498" s="3"/>
      <c r="Y498" s="3"/>
      <c r="Z498" s="3"/>
      <c r="AA498" s="3"/>
      <c r="AB498" s="3"/>
    </row>
    <row r="499" spans="1:28" x14ac:dyDescent="0.35">
      <c r="A499" s="3"/>
      <c r="B499" s="3" t="s">
        <v>1352</v>
      </c>
      <c r="C499" s="3" t="s">
        <v>1317</v>
      </c>
      <c r="D499" s="3" t="s">
        <v>1318</v>
      </c>
      <c r="E499" s="3" t="s">
        <v>1319</v>
      </c>
      <c r="F499" s="3"/>
      <c r="G499" s="3" t="s">
        <v>1353</v>
      </c>
      <c r="H499" s="3"/>
      <c r="I499" s="3"/>
      <c r="J499" s="3"/>
      <c r="K499" s="3"/>
      <c r="L499" s="3"/>
      <c r="M499" s="3"/>
      <c r="N499" s="3"/>
      <c r="O499" s="3"/>
      <c r="P499" s="3"/>
      <c r="Q499" s="3"/>
      <c r="R499" s="3"/>
      <c r="S499" s="3"/>
      <c r="T499" s="3"/>
      <c r="U499" s="3"/>
      <c r="V499" s="3"/>
      <c r="W499" s="3"/>
      <c r="X499" s="3"/>
      <c r="Y499" s="3"/>
      <c r="Z499" s="3"/>
      <c r="AA499" s="3"/>
      <c r="AB499" s="3"/>
    </row>
    <row r="500" spans="1:28" x14ac:dyDescent="0.35">
      <c r="A500" s="3"/>
      <c r="B500" s="3" t="s">
        <v>1355</v>
      </c>
      <c r="C500" s="3" t="s">
        <v>1335</v>
      </c>
      <c r="D500" s="3"/>
      <c r="E500" s="3"/>
      <c r="F500" s="3"/>
      <c r="G500" s="3" t="s">
        <v>1356</v>
      </c>
      <c r="H500" s="3"/>
      <c r="I500" s="3"/>
      <c r="J500" s="3"/>
      <c r="K500" s="3"/>
      <c r="L500" s="3"/>
      <c r="M500" s="3"/>
      <c r="N500" s="3"/>
      <c r="O500" s="3"/>
      <c r="P500" s="3"/>
      <c r="Q500" s="3"/>
      <c r="R500" s="3"/>
      <c r="S500" s="3"/>
      <c r="T500" s="3"/>
      <c r="U500" s="3"/>
      <c r="V500" s="3"/>
      <c r="W500" s="3"/>
      <c r="X500" s="3"/>
      <c r="Y500" s="3"/>
      <c r="Z500" s="3"/>
      <c r="AA500" s="3"/>
      <c r="AB500" s="3"/>
    </row>
    <row r="501" spans="1:28" x14ac:dyDescent="0.35">
      <c r="A501" s="3"/>
      <c r="B501" s="3"/>
      <c r="C501" s="3" t="s">
        <v>1344</v>
      </c>
      <c r="D501" s="3"/>
      <c r="E501" s="3"/>
      <c r="F501" s="3"/>
      <c r="G501" s="3" t="s">
        <v>1357</v>
      </c>
      <c r="H501" s="3"/>
      <c r="I501" s="3"/>
      <c r="J501" s="3"/>
      <c r="K501" s="3"/>
      <c r="L501" s="3"/>
      <c r="M501" s="3"/>
      <c r="N501" s="3"/>
      <c r="O501" s="3"/>
      <c r="P501" s="3"/>
      <c r="Q501" s="3"/>
      <c r="R501" s="3"/>
      <c r="S501" s="3"/>
      <c r="T501" s="3"/>
      <c r="U501" s="3"/>
      <c r="V501" s="3"/>
      <c r="W501" s="3"/>
      <c r="X501" s="3"/>
      <c r="Y501" s="3"/>
      <c r="Z501" s="3"/>
      <c r="AA501" s="3"/>
      <c r="AB501" s="3"/>
    </row>
    <row r="502" spans="1:28" x14ac:dyDescent="0.35">
      <c r="A502" s="3"/>
      <c r="B502" s="3"/>
      <c r="C502" s="3" t="s">
        <v>1358</v>
      </c>
      <c r="D502" s="3"/>
      <c r="E502" s="3"/>
      <c r="F502" s="3"/>
      <c r="G502" s="3" t="s">
        <v>1359</v>
      </c>
      <c r="H502" s="3"/>
      <c r="I502" s="3"/>
      <c r="J502" s="3"/>
      <c r="K502" s="3"/>
      <c r="L502" s="3"/>
      <c r="M502" s="3"/>
      <c r="N502" s="3"/>
      <c r="O502" s="3"/>
      <c r="P502" s="3"/>
      <c r="Q502" s="3"/>
      <c r="R502" s="3"/>
      <c r="S502" s="3"/>
      <c r="T502" s="3"/>
      <c r="U502" s="3"/>
      <c r="V502" s="3"/>
      <c r="W502" s="3"/>
      <c r="X502" s="3"/>
      <c r="Y502" s="3"/>
      <c r="Z502" s="3"/>
      <c r="AA502" s="3"/>
      <c r="AB502" s="3"/>
    </row>
    <row r="503" spans="1:28" x14ac:dyDescent="0.35">
      <c r="A503" s="3"/>
      <c r="B503" s="3"/>
      <c r="C503" s="3" t="s">
        <v>1361</v>
      </c>
      <c r="D503" s="3"/>
      <c r="E503" s="3"/>
      <c r="F503" s="3"/>
      <c r="G503" s="3" t="s">
        <v>1362</v>
      </c>
      <c r="H503" s="3"/>
      <c r="I503" s="3"/>
      <c r="J503" s="3"/>
      <c r="K503" s="3"/>
      <c r="L503" s="3"/>
      <c r="M503" s="3"/>
      <c r="N503" s="3"/>
      <c r="O503" s="3"/>
      <c r="P503" s="3"/>
      <c r="Q503" s="3"/>
      <c r="R503" s="3"/>
      <c r="S503" s="3"/>
      <c r="T503" s="3"/>
      <c r="U503" s="3"/>
      <c r="V503" s="3"/>
      <c r="W503" s="3"/>
      <c r="X503" s="3"/>
      <c r="Y503" s="3"/>
      <c r="Z503" s="3"/>
      <c r="AA503" s="3"/>
      <c r="AB503" s="3"/>
    </row>
    <row r="504" spans="1:28" x14ac:dyDescent="0.35">
      <c r="A504" s="3"/>
      <c r="B504" s="3" t="s">
        <v>105</v>
      </c>
      <c r="C504" s="3" t="s">
        <v>25</v>
      </c>
      <c r="D504" s="3"/>
      <c r="E504" s="3"/>
      <c r="F504" s="3"/>
      <c r="G504" s="3" t="s">
        <v>1366</v>
      </c>
      <c r="H504" s="3"/>
      <c r="I504" s="3"/>
      <c r="J504" s="3"/>
      <c r="K504" s="3"/>
      <c r="L504" s="3"/>
      <c r="M504" s="3"/>
      <c r="N504" s="3"/>
      <c r="O504" s="3"/>
      <c r="P504" s="3"/>
      <c r="Q504" s="3"/>
      <c r="R504" s="3"/>
      <c r="S504" s="3"/>
      <c r="T504" s="3"/>
      <c r="U504" s="3"/>
      <c r="V504" s="3"/>
      <c r="W504" s="3"/>
      <c r="X504" s="3"/>
      <c r="Y504" s="3"/>
      <c r="Z504" s="3"/>
      <c r="AA504" s="3"/>
      <c r="AB504" s="3"/>
    </row>
    <row r="505" spans="1:28" x14ac:dyDescent="0.35">
      <c r="A505" s="3"/>
      <c r="B505" s="3"/>
      <c r="C505" s="3" t="s">
        <v>29</v>
      </c>
      <c r="D505" s="3"/>
      <c r="E505" s="3"/>
      <c r="F505" s="3"/>
      <c r="G505" s="3" t="s">
        <v>1367</v>
      </c>
      <c r="H505" s="3"/>
      <c r="I505" s="3"/>
      <c r="J505" s="3"/>
      <c r="K505" s="3"/>
      <c r="L505" s="3"/>
      <c r="M505" s="3"/>
      <c r="N505" s="3"/>
      <c r="O505" s="3"/>
      <c r="P505" s="3"/>
      <c r="Q505" s="3"/>
      <c r="R505" s="3"/>
      <c r="S505" s="3"/>
      <c r="T505" s="3"/>
      <c r="U505" s="3"/>
      <c r="V505" s="3"/>
      <c r="W505" s="3"/>
      <c r="X505" s="3"/>
      <c r="Y505" s="3"/>
      <c r="Z505" s="3"/>
      <c r="AA505" s="3"/>
      <c r="AB505" s="3"/>
    </row>
    <row r="506" spans="1:28" x14ac:dyDescent="0.35">
      <c r="A506" s="3"/>
      <c r="B506" s="3" t="s">
        <v>1368</v>
      </c>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x14ac:dyDescent="0.35">
      <c r="A507" s="3"/>
      <c r="B507" s="3" t="s">
        <v>108</v>
      </c>
      <c r="C507" s="2" t="s">
        <v>109</v>
      </c>
      <c r="D507" s="3"/>
      <c r="E507" s="3"/>
      <c r="F507" s="3"/>
      <c r="G507" s="3" t="s">
        <v>1369</v>
      </c>
      <c r="H507" s="3"/>
      <c r="I507" s="3"/>
      <c r="J507" s="3"/>
      <c r="K507" s="3"/>
      <c r="L507" s="3"/>
      <c r="M507" s="3"/>
      <c r="N507" s="3"/>
      <c r="O507" s="3"/>
      <c r="P507" s="3"/>
      <c r="Q507" s="3"/>
      <c r="R507" s="3"/>
      <c r="S507" s="3"/>
      <c r="T507" s="3"/>
      <c r="U507" s="3"/>
      <c r="V507" s="3"/>
      <c r="W507" s="3"/>
      <c r="X507" s="3"/>
      <c r="Y507" s="3"/>
      <c r="Z507" s="3"/>
      <c r="AA507" s="3"/>
      <c r="AB507" s="3"/>
    </row>
    <row r="508" spans="1:28" x14ac:dyDescent="0.35">
      <c r="A508" s="3"/>
      <c r="B508" s="3"/>
      <c r="C508" s="2" t="s">
        <v>1370</v>
      </c>
      <c r="D508" s="3"/>
      <c r="E508" s="3"/>
      <c r="F508" s="3"/>
      <c r="G508" s="3" t="s">
        <v>1371</v>
      </c>
      <c r="H508" s="3"/>
      <c r="I508" s="3"/>
      <c r="J508" s="3"/>
      <c r="K508" s="3"/>
      <c r="L508" s="3"/>
      <c r="M508" s="3"/>
      <c r="N508" s="3"/>
      <c r="O508" s="3"/>
      <c r="P508" s="3"/>
      <c r="Q508" s="3"/>
      <c r="R508" s="3"/>
      <c r="S508" s="3"/>
      <c r="T508" s="3"/>
      <c r="U508" s="3"/>
      <c r="V508" s="3"/>
      <c r="W508" s="3"/>
      <c r="X508" s="3"/>
      <c r="Y508" s="3"/>
      <c r="Z508" s="3"/>
      <c r="AA508" s="3"/>
      <c r="AB508" s="3"/>
    </row>
    <row r="509" spans="1:28" x14ac:dyDescent="0.35">
      <c r="A509" s="3"/>
      <c r="B509" s="5" t="s">
        <v>1374</v>
      </c>
      <c r="C509" s="5" t="s">
        <v>131</v>
      </c>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x14ac:dyDescent="0.35">
      <c r="A510" s="3"/>
      <c r="B510" s="5" t="s">
        <v>1375</v>
      </c>
      <c r="C510" s="5" t="s">
        <v>131</v>
      </c>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x14ac:dyDescent="0.35">
      <c r="A511" s="3"/>
      <c r="B511" s="5" t="s">
        <v>1376</v>
      </c>
      <c r="C511" s="5" t="s">
        <v>131</v>
      </c>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x14ac:dyDescent="0.35">
      <c r="A513" t="s">
        <v>1377</v>
      </c>
      <c r="B513" t="s">
        <v>1378</v>
      </c>
      <c r="C513" t="s">
        <v>1379</v>
      </c>
      <c r="D513" t="s">
        <v>1380</v>
      </c>
      <c r="E513" t="s">
        <v>1381</v>
      </c>
      <c r="F513" s="3"/>
      <c r="G513" t="s">
        <v>1382</v>
      </c>
      <c r="H513" s="3"/>
      <c r="I513" s="3"/>
      <c r="J513" s="3"/>
      <c r="K513" s="3"/>
      <c r="L513" s="3"/>
      <c r="M513" s="3"/>
      <c r="N513" s="3"/>
      <c r="O513" s="3"/>
      <c r="P513" s="3"/>
      <c r="Q513" s="3"/>
      <c r="R513" s="3"/>
      <c r="S513" s="3"/>
      <c r="T513" s="3"/>
      <c r="U513" s="3"/>
      <c r="V513" s="3"/>
      <c r="W513" s="3"/>
      <c r="X513" s="3"/>
      <c r="Y513" s="3"/>
      <c r="Z513" s="3"/>
      <c r="AA513" s="3"/>
      <c r="AB513" s="3"/>
    </row>
    <row r="514" spans="1:28" x14ac:dyDescent="0.35">
      <c r="C514" t="s">
        <v>1386</v>
      </c>
      <c r="F514" s="3"/>
      <c r="G514" t="s">
        <v>1387</v>
      </c>
      <c r="H514" s="3"/>
      <c r="I514" s="3"/>
      <c r="J514" s="3"/>
      <c r="K514" s="3"/>
      <c r="L514" s="3"/>
      <c r="M514" s="3"/>
      <c r="N514" s="3"/>
      <c r="O514" s="3"/>
      <c r="P514" s="3"/>
      <c r="Q514" s="3"/>
      <c r="R514" s="3"/>
      <c r="S514" s="3"/>
      <c r="T514" s="3"/>
      <c r="U514" s="3"/>
      <c r="V514" s="3"/>
      <c r="W514" s="3"/>
      <c r="X514" s="3"/>
      <c r="Y514" s="3"/>
      <c r="Z514" s="3"/>
      <c r="AA514" s="3"/>
      <c r="AB514" s="3"/>
    </row>
    <row r="515" spans="1:28" x14ac:dyDescent="0.35">
      <c r="B515" t="s">
        <v>636</v>
      </c>
      <c r="C515" t="s">
        <v>1635</v>
      </c>
      <c r="F515" s="3"/>
      <c r="G515" t="s">
        <v>1723</v>
      </c>
      <c r="H515" s="3"/>
      <c r="I515" s="3"/>
      <c r="J515" s="3"/>
      <c r="K515" s="3"/>
      <c r="L515" s="3"/>
      <c r="M515" s="3"/>
      <c r="N515" s="3"/>
      <c r="O515" s="3"/>
      <c r="P515" s="3"/>
      <c r="Q515" s="3"/>
      <c r="R515" s="3"/>
      <c r="S515" s="3"/>
      <c r="T515" s="3"/>
      <c r="U515" s="3"/>
      <c r="V515" s="3"/>
      <c r="W515" s="3"/>
      <c r="X515" s="3"/>
      <c r="Y515" s="3"/>
      <c r="Z515" s="3"/>
      <c r="AA515" s="3"/>
      <c r="AB515" s="3"/>
    </row>
    <row r="516" spans="1:28" x14ac:dyDescent="0.35">
      <c r="B516" t="s">
        <v>254</v>
      </c>
      <c r="C516" t="s">
        <v>1686</v>
      </c>
      <c r="D516" t="s">
        <v>1687</v>
      </c>
      <c r="E516" t="s">
        <v>639</v>
      </c>
      <c r="F516" s="3"/>
      <c r="G516" t="s">
        <v>1724</v>
      </c>
      <c r="H516" s="3"/>
      <c r="I516" s="3"/>
      <c r="J516" s="3"/>
      <c r="K516" s="3"/>
      <c r="L516" s="3"/>
      <c r="M516" s="3"/>
      <c r="N516" s="3"/>
      <c r="O516" s="3"/>
      <c r="P516" s="3"/>
      <c r="Q516" s="3"/>
      <c r="R516" s="3"/>
      <c r="S516" s="3"/>
      <c r="T516" s="3"/>
      <c r="U516" s="3"/>
      <c r="V516" s="3"/>
      <c r="W516" s="3"/>
      <c r="X516" s="3"/>
      <c r="Y516" s="3"/>
      <c r="Z516" s="3"/>
      <c r="AA516" s="3"/>
      <c r="AB516" s="3"/>
    </row>
    <row r="517" spans="1:28" x14ac:dyDescent="0.35">
      <c r="B517" t="s">
        <v>264</v>
      </c>
      <c r="C517" t="s">
        <v>1686</v>
      </c>
      <c r="D517" t="s">
        <v>638</v>
      </c>
      <c r="E517" t="s">
        <v>639</v>
      </c>
      <c r="G517" t="s">
        <v>1724</v>
      </c>
    </row>
    <row r="518" spans="1:28" x14ac:dyDescent="0.35">
      <c r="B518" t="s">
        <v>644</v>
      </c>
      <c r="C518" t="s">
        <v>61</v>
      </c>
      <c r="G518" t="s">
        <v>646</v>
      </c>
    </row>
    <row r="519" spans="1:28" x14ac:dyDescent="0.35">
      <c r="C519" t="s">
        <v>648</v>
      </c>
      <c r="G519" t="s">
        <v>1395</v>
      </c>
    </row>
    <row r="521" spans="1:28" x14ac:dyDescent="0.35">
      <c r="A521" t="s">
        <v>1400</v>
      </c>
      <c r="B521" t="s">
        <v>1401</v>
      </c>
      <c r="C521" t="s">
        <v>25</v>
      </c>
      <c r="G521" t="s">
        <v>1402</v>
      </c>
    </row>
    <row r="522" spans="1:28" x14ac:dyDescent="0.35">
      <c r="C522" t="s">
        <v>29</v>
      </c>
      <c r="G522" t="s">
        <v>461</v>
      </c>
    </row>
    <row r="523" spans="1:28" x14ac:dyDescent="0.35">
      <c r="B523" t="s">
        <v>1403</v>
      </c>
      <c r="C523" t="s">
        <v>1404</v>
      </c>
      <c r="D523" t="s">
        <v>1405</v>
      </c>
      <c r="E523" t="s">
        <v>1406</v>
      </c>
      <c r="G523" t="s">
        <v>1407</v>
      </c>
    </row>
    <row r="524" spans="1:28" x14ac:dyDescent="0.35">
      <c r="C524" t="s">
        <v>1725</v>
      </c>
      <c r="G524" t="s">
        <v>1411</v>
      </c>
    </row>
    <row r="525" spans="1:28" x14ac:dyDescent="0.35">
      <c r="C525" t="s">
        <v>1415</v>
      </c>
      <c r="G525" t="s">
        <v>1416</v>
      </c>
    </row>
    <row r="526" spans="1:28" x14ac:dyDescent="0.35">
      <c r="B526" t="s">
        <v>1420</v>
      </c>
      <c r="C526" t="s">
        <v>359</v>
      </c>
      <c r="G526" t="s">
        <v>1421</v>
      </c>
    </row>
    <row r="527" spans="1:28" x14ac:dyDescent="0.35">
      <c r="C527" t="s">
        <v>364</v>
      </c>
      <c r="G527" t="s">
        <v>1422</v>
      </c>
    </row>
    <row r="528" spans="1:28" x14ac:dyDescent="0.35">
      <c r="C528" t="s">
        <v>89</v>
      </c>
      <c r="G528" t="s">
        <v>1428</v>
      </c>
    </row>
    <row r="529" spans="2:7" x14ac:dyDescent="0.35">
      <c r="C529" t="s">
        <v>97</v>
      </c>
      <c r="G529" t="s">
        <v>1432</v>
      </c>
    </row>
    <row r="530" spans="2:7" x14ac:dyDescent="0.35">
      <c r="B530" t="s">
        <v>103</v>
      </c>
      <c r="D530" t="s">
        <v>34</v>
      </c>
      <c r="E530" t="s">
        <v>35</v>
      </c>
    </row>
    <row r="531" spans="2:7" x14ac:dyDescent="0.35">
      <c r="B531" t="s">
        <v>105</v>
      </c>
      <c r="C531" t="s">
        <v>25</v>
      </c>
      <c r="G531" t="s">
        <v>1436</v>
      </c>
    </row>
    <row r="532" spans="2:7" x14ac:dyDescent="0.35">
      <c r="C532" t="s">
        <v>29</v>
      </c>
      <c r="G532" t="s">
        <v>107</v>
      </c>
    </row>
    <row r="533" spans="2:7" x14ac:dyDescent="0.35">
      <c r="B533" s="6" t="s">
        <v>137</v>
      </c>
      <c r="C533" s="6" t="s">
        <v>131</v>
      </c>
    </row>
    <row r="534" spans="2:7" x14ac:dyDescent="0.35">
      <c r="B534" s="6" t="s">
        <v>139</v>
      </c>
      <c r="C534" s="6" t="s">
        <v>131</v>
      </c>
    </row>
    <row r="535" spans="2:7" x14ac:dyDescent="0.35">
      <c r="B535" s="6" t="s">
        <v>1437</v>
      </c>
      <c r="C535" s="6" t="s">
        <v>131</v>
      </c>
    </row>
    <row r="536" spans="2:7" x14ac:dyDescent="0.35">
      <c r="B536" t="s">
        <v>141</v>
      </c>
      <c r="C536" t="s">
        <v>142</v>
      </c>
      <c r="G536" t="s">
        <v>1438</v>
      </c>
    </row>
    <row r="537" spans="2:7" x14ac:dyDescent="0.35">
      <c r="C537" t="s">
        <v>148</v>
      </c>
      <c r="G537" t="s">
        <v>1439</v>
      </c>
    </row>
    <row r="538" spans="2:7" x14ac:dyDescent="0.35">
      <c r="C538" t="s">
        <v>1726</v>
      </c>
      <c r="G538" t="s">
        <v>1441</v>
      </c>
    </row>
    <row r="539" spans="2:7" x14ac:dyDescent="0.35">
      <c r="B539" t="s">
        <v>1447</v>
      </c>
      <c r="C539" t="s">
        <v>142</v>
      </c>
      <c r="G539" t="s">
        <v>1448</v>
      </c>
    </row>
    <row r="540" spans="2:7" x14ac:dyDescent="0.35">
      <c r="C540" t="s">
        <v>1727</v>
      </c>
      <c r="G540" t="s">
        <v>1450</v>
      </c>
    </row>
    <row r="541" spans="2:7" x14ac:dyDescent="0.35">
      <c r="C541" t="s">
        <v>182</v>
      </c>
      <c r="G541" t="s">
        <v>1456</v>
      </c>
    </row>
    <row r="542" spans="2:7" x14ac:dyDescent="0.35">
      <c r="B542" t="s">
        <v>188</v>
      </c>
      <c r="C542" t="s">
        <v>1105</v>
      </c>
      <c r="G542" t="s">
        <v>1728</v>
      </c>
    </row>
    <row r="543" spans="2:7" x14ac:dyDescent="0.35">
      <c r="B543" t="s">
        <v>195</v>
      </c>
      <c r="C543" t="s">
        <v>131</v>
      </c>
      <c r="G543" t="s">
        <v>1463</v>
      </c>
    </row>
    <row r="544" spans="2:7" x14ac:dyDescent="0.35">
      <c r="C544" t="s">
        <v>197</v>
      </c>
      <c r="G544" t="s">
        <v>621</v>
      </c>
    </row>
    <row r="545" spans="1:7" x14ac:dyDescent="0.35">
      <c r="C545" t="s">
        <v>200</v>
      </c>
      <c r="G545" t="s">
        <v>1465</v>
      </c>
    </row>
    <row r="547" spans="1:7" x14ac:dyDescent="0.35">
      <c r="A547" t="s">
        <v>1470</v>
      </c>
      <c r="B547" t="s">
        <v>1471</v>
      </c>
      <c r="C547" t="s">
        <v>25</v>
      </c>
      <c r="G547" t="s">
        <v>1472</v>
      </c>
    </row>
    <row r="548" spans="1:7" x14ac:dyDescent="0.35">
      <c r="C548" t="s">
        <v>29</v>
      </c>
      <c r="G548" t="s">
        <v>1473</v>
      </c>
    </row>
    <row r="549" spans="1:7" x14ac:dyDescent="0.35">
      <c r="B549" t="s">
        <v>1474</v>
      </c>
      <c r="C549" t="s">
        <v>1404</v>
      </c>
      <c r="D549" t="s">
        <v>1405</v>
      </c>
      <c r="E549" t="s">
        <v>1406</v>
      </c>
      <c r="G549" t="s">
        <v>1475</v>
      </c>
    </row>
    <row r="550" spans="1:7" x14ac:dyDescent="0.35">
      <c r="C550" t="s">
        <v>1725</v>
      </c>
      <c r="G550" t="s">
        <v>1729</v>
      </c>
    </row>
    <row r="551" spans="1:7" x14ac:dyDescent="0.35">
      <c r="C551" t="s">
        <v>1415</v>
      </c>
      <c r="G551" t="s">
        <v>1483</v>
      </c>
    </row>
    <row r="552" spans="1:7" x14ac:dyDescent="0.35">
      <c r="B552" t="s">
        <v>1487</v>
      </c>
      <c r="C552" t="s">
        <v>1488</v>
      </c>
      <c r="D552" t="s">
        <v>1489</v>
      </c>
      <c r="E552" t="s">
        <v>1490</v>
      </c>
      <c r="G552" t="s">
        <v>1491</v>
      </c>
    </row>
    <row r="553" spans="1:7" x14ac:dyDescent="0.35">
      <c r="C553" t="s">
        <v>1494</v>
      </c>
      <c r="G553" t="s">
        <v>1495</v>
      </c>
    </row>
    <row r="554" spans="1:7" x14ac:dyDescent="0.35">
      <c r="B554" t="s">
        <v>1497</v>
      </c>
      <c r="C554" t="s">
        <v>1498</v>
      </c>
      <c r="D554" t="s">
        <v>1499</v>
      </c>
      <c r="E554" t="s">
        <v>1500</v>
      </c>
      <c r="G554" t="s">
        <v>1501</v>
      </c>
    </row>
    <row r="555" spans="1:7" x14ac:dyDescent="0.35">
      <c r="C555" t="s">
        <v>1504</v>
      </c>
      <c r="G555" t="s">
        <v>248</v>
      </c>
    </row>
    <row r="556" spans="1:7" x14ac:dyDescent="0.35">
      <c r="C556" t="s">
        <v>1507</v>
      </c>
      <c r="G556" t="s">
        <v>1508</v>
      </c>
    </row>
    <row r="557" spans="1:7" x14ac:dyDescent="0.35">
      <c r="B557" t="s">
        <v>105</v>
      </c>
      <c r="C557" t="s">
        <v>25</v>
      </c>
      <c r="G557" t="s">
        <v>1512</v>
      </c>
    </row>
    <row r="558" spans="1:7" x14ac:dyDescent="0.35">
      <c r="C558" t="s">
        <v>29</v>
      </c>
      <c r="G558" t="s">
        <v>1513</v>
      </c>
    </row>
    <row r="559" spans="1:7" x14ac:dyDescent="0.35">
      <c r="B559" t="s">
        <v>134</v>
      </c>
      <c r="D559" t="s">
        <v>174</v>
      </c>
      <c r="E559" t="s">
        <v>175</v>
      </c>
    </row>
    <row r="560" spans="1:7" x14ac:dyDescent="0.35">
      <c r="B560" t="s">
        <v>136</v>
      </c>
      <c r="C560" t="s">
        <v>1635</v>
      </c>
      <c r="G560" t="s">
        <v>1730</v>
      </c>
    </row>
    <row r="561" spans="1:7" x14ac:dyDescent="0.35">
      <c r="B561" s="6" t="s">
        <v>137</v>
      </c>
      <c r="C561" s="6" t="s">
        <v>131</v>
      </c>
    </row>
    <row r="562" spans="1:7" x14ac:dyDescent="0.35">
      <c r="B562" t="s">
        <v>1514</v>
      </c>
      <c r="C562" t="s">
        <v>1498</v>
      </c>
      <c r="D562" t="s">
        <v>1499</v>
      </c>
      <c r="E562" t="s">
        <v>1500</v>
      </c>
      <c r="G562" t="s">
        <v>1515</v>
      </c>
    </row>
    <row r="563" spans="1:7" x14ac:dyDescent="0.35">
      <c r="C563" t="s">
        <v>1504</v>
      </c>
      <c r="G563" t="s">
        <v>1516</v>
      </c>
    </row>
    <row r="564" spans="1:7" x14ac:dyDescent="0.35">
      <c r="C564" t="s">
        <v>1507</v>
      </c>
      <c r="G564" t="s">
        <v>1519</v>
      </c>
    </row>
    <row r="565" spans="1:7" x14ac:dyDescent="0.35">
      <c r="B565" t="s">
        <v>188</v>
      </c>
      <c r="C565" t="s">
        <v>1105</v>
      </c>
      <c r="G565" t="s">
        <v>1731</v>
      </c>
    </row>
    <row r="567" spans="1:7" x14ac:dyDescent="0.35">
      <c r="A567" t="s">
        <v>1523</v>
      </c>
      <c r="B567" t="s">
        <v>1524</v>
      </c>
      <c r="C567" t="s">
        <v>25</v>
      </c>
      <c r="G567" t="s">
        <v>1525</v>
      </c>
    </row>
    <row r="568" spans="1:7" x14ac:dyDescent="0.35">
      <c r="C568" t="s">
        <v>29</v>
      </c>
      <c r="G568" t="s">
        <v>1526</v>
      </c>
    </row>
    <row r="569" spans="1:7" x14ac:dyDescent="0.35">
      <c r="B569" t="s">
        <v>1527</v>
      </c>
      <c r="C569" t="s">
        <v>1528</v>
      </c>
      <c r="G569" t="s">
        <v>1529</v>
      </c>
    </row>
    <row r="570" spans="1:7" x14ac:dyDescent="0.35">
      <c r="C570" t="s">
        <v>1732</v>
      </c>
      <c r="G570" t="s">
        <v>1733</v>
      </c>
    </row>
    <row r="571" spans="1:7" x14ac:dyDescent="0.35">
      <c r="C571" t="s">
        <v>89</v>
      </c>
      <c r="G571" t="s">
        <v>1540</v>
      </c>
    </row>
    <row r="572" spans="1:7" x14ac:dyDescent="0.35">
      <c r="C572" t="s">
        <v>97</v>
      </c>
      <c r="G572" t="s">
        <v>1734</v>
      </c>
    </row>
    <row r="573" spans="1:7" x14ac:dyDescent="0.35">
      <c r="B573" s="6" t="s">
        <v>761</v>
      </c>
      <c r="C573" s="6" t="s">
        <v>131</v>
      </c>
    </row>
    <row r="574" spans="1:7" x14ac:dyDescent="0.35">
      <c r="B574" t="s">
        <v>1552</v>
      </c>
      <c r="C574" t="s">
        <v>1735</v>
      </c>
      <c r="G574" t="s">
        <v>1736</v>
      </c>
    </row>
    <row r="575" spans="1:7" x14ac:dyDescent="0.35">
      <c r="C575" t="s">
        <v>1737</v>
      </c>
      <c r="G575" t="s">
        <v>1738</v>
      </c>
    </row>
    <row r="576" spans="1:7" x14ac:dyDescent="0.35">
      <c r="C576" t="s">
        <v>1739</v>
      </c>
      <c r="G576" t="s">
        <v>1740</v>
      </c>
    </row>
    <row r="577" spans="1:7" x14ac:dyDescent="0.35">
      <c r="B577" s="6" t="s">
        <v>137</v>
      </c>
      <c r="C577" s="6" t="s">
        <v>131</v>
      </c>
    </row>
    <row r="578" spans="1:7" x14ac:dyDescent="0.35">
      <c r="B578" s="6" t="s">
        <v>1553</v>
      </c>
      <c r="C578" s="6" t="s">
        <v>131</v>
      </c>
    </row>
    <row r="579" spans="1:7" x14ac:dyDescent="0.35">
      <c r="B579" s="6" t="s">
        <v>1554</v>
      </c>
      <c r="C579" s="6" t="s">
        <v>131</v>
      </c>
    </row>
    <row r="580" spans="1:7" x14ac:dyDescent="0.35">
      <c r="B580" s="6" t="s">
        <v>1555</v>
      </c>
      <c r="C580" s="6" t="s">
        <v>131</v>
      </c>
    </row>
    <row r="581" spans="1:7" x14ac:dyDescent="0.35">
      <c r="B581" t="s">
        <v>141</v>
      </c>
      <c r="C581" t="s">
        <v>142</v>
      </c>
      <c r="G581" t="s">
        <v>1556</v>
      </c>
    </row>
    <row r="582" spans="1:7" x14ac:dyDescent="0.35">
      <c r="C582" t="s">
        <v>148</v>
      </c>
      <c r="G582" t="s">
        <v>1557</v>
      </c>
    </row>
    <row r="583" spans="1:7" x14ac:dyDescent="0.35">
      <c r="C583" t="s">
        <v>155</v>
      </c>
      <c r="G583" t="s">
        <v>1558</v>
      </c>
    </row>
    <row r="584" spans="1:7" x14ac:dyDescent="0.35">
      <c r="B584" t="s">
        <v>188</v>
      </c>
      <c r="C584" t="s">
        <v>1105</v>
      </c>
      <c r="G584" t="s">
        <v>1741</v>
      </c>
    </row>
    <row r="586" spans="1:7" x14ac:dyDescent="0.35">
      <c r="A586" s="3" t="s">
        <v>1561</v>
      </c>
      <c r="B586" s="3" t="s">
        <v>1497</v>
      </c>
      <c r="C586" s="3" t="s">
        <v>1498</v>
      </c>
      <c r="D586" s="3" t="s">
        <v>1499</v>
      </c>
      <c r="E586" s="3" t="s">
        <v>1500</v>
      </c>
      <c r="G586" s="3" t="s">
        <v>1562</v>
      </c>
    </row>
    <row r="587" spans="1:7" x14ac:dyDescent="0.35">
      <c r="A587" s="3"/>
      <c r="B587" s="3"/>
      <c r="C587" s="3" t="s">
        <v>1504</v>
      </c>
      <c r="D587" s="3"/>
      <c r="E587" s="3"/>
      <c r="G587" s="3" t="s">
        <v>1563</v>
      </c>
    </row>
    <row r="588" spans="1:7" x14ac:dyDescent="0.35">
      <c r="A588" s="3"/>
      <c r="B588" s="3"/>
      <c r="C588" s="3" t="s">
        <v>1742</v>
      </c>
      <c r="D588" s="3"/>
      <c r="E588" s="3"/>
      <c r="G588" s="3" t="s">
        <v>1743</v>
      </c>
    </row>
    <row r="589" spans="1:7" x14ac:dyDescent="0.35">
      <c r="A589" s="3"/>
      <c r="B589" s="3" t="s">
        <v>1568</v>
      </c>
      <c r="C589" s="3" t="s">
        <v>1569</v>
      </c>
      <c r="D589" s="3"/>
      <c r="E589" s="3"/>
      <c r="G589" s="3" t="s">
        <v>1570</v>
      </c>
    </row>
    <row r="590" spans="1:7" x14ac:dyDescent="0.35">
      <c r="A590" s="3"/>
      <c r="B590" s="3"/>
      <c r="C590" s="3" t="s">
        <v>1574</v>
      </c>
      <c r="D590" s="3"/>
      <c r="E590" s="3"/>
      <c r="G590" s="3" t="s">
        <v>1575</v>
      </c>
    </row>
    <row r="591" spans="1:7" x14ac:dyDescent="0.35">
      <c r="A591" s="3"/>
      <c r="B591" s="3"/>
      <c r="C591" s="3" t="s">
        <v>1744</v>
      </c>
      <c r="D591" s="3"/>
      <c r="E591" s="3"/>
      <c r="G591" s="3" t="s">
        <v>1579</v>
      </c>
    </row>
    <row r="592" spans="1:7" x14ac:dyDescent="0.35">
      <c r="A592" s="3"/>
      <c r="B592" s="3" t="s">
        <v>188</v>
      </c>
      <c r="C592" s="3" t="s">
        <v>1105</v>
      </c>
      <c r="D592" s="3"/>
      <c r="E592" s="3"/>
      <c r="G592" s="3" t="s">
        <v>1745</v>
      </c>
    </row>
    <row r="594" spans="1:7" x14ac:dyDescent="0.35">
      <c r="A594" s="3" t="s">
        <v>1585</v>
      </c>
      <c r="B594" s="3" t="s">
        <v>1586</v>
      </c>
      <c r="C594" s="3" t="s">
        <v>631</v>
      </c>
      <c r="D594" s="3"/>
      <c r="E594" s="3"/>
      <c r="G594" s="3" t="s">
        <v>1587</v>
      </c>
    </row>
    <row r="595" spans="1:7" x14ac:dyDescent="0.35">
      <c r="A595" s="3"/>
      <c r="B595" s="3"/>
      <c r="C595" s="3" t="s">
        <v>29</v>
      </c>
      <c r="D595" s="3"/>
      <c r="E595" s="3"/>
      <c r="G595" s="3" t="s">
        <v>1588</v>
      </c>
    </row>
    <row r="596" spans="1:7" x14ac:dyDescent="0.35">
      <c r="A596" s="3"/>
      <c r="B596" s="3" t="s">
        <v>1589</v>
      </c>
      <c r="C596" s="3" t="s">
        <v>1590</v>
      </c>
      <c r="D596" s="3"/>
      <c r="E596" s="3"/>
      <c r="G596" s="3" t="s">
        <v>1591</v>
      </c>
    </row>
    <row r="597" spans="1:7" x14ac:dyDescent="0.35">
      <c r="A597" s="3"/>
      <c r="B597" s="3"/>
      <c r="C597" s="3" t="s">
        <v>1746</v>
      </c>
      <c r="D597" s="3"/>
      <c r="E597" s="3"/>
      <c r="G597" s="3" t="s">
        <v>1594</v>
      </c>
    </row>
    <row r="598" spans="1:7" x14ac:dyDescent="0.35">
      <c r="A598" s="3"/>
      <c r="B598" s="3" t="s">
        <v>105</v>
      </c>
      <c r="C598" s="3" t="s">
        <v>631</v>
      </c>
      <c r="D598" s="3"/>
      <c r="E598" s="3"/>
      <c r="G598" s="3" t="s">
        <v>1599</v>
      </c>
    </row>
    <row r="599" spans="1:7" x14ac:dyDescent="0.35">
      <c r="A599" s="3"/>
      <c r="B599" s="3"/>
      <c r="C599" s="3" t="s">
        <v>29</v>
      </c>
      <c r="D599" s="3"/>
      <c r="E599" s="3"/>
      <c r="G599" s="3" t="s">
        <v>1600</v>
      </c>
    </row>
    <row r="600" spans="1:7" x14ac:dyDescent="0.35">
      <c r="A600" s="3"/>
      <c r="B600" s="3" t="s">
        <v>636</v>
      </c>
      <c r="C600" s="3" t="s">
        <v>1635</v>
      </c>
      <c r="D600" s="3"/>
      <c r="E600" s="3"/>
      <c r="G600" s="3" t="s">
        <v>1747</v>
      </c>
    </row>
    <row r="601" spans="1:7" x14ac:dyDescent="0.35">
      <c r="A601" s="3"/>
      <c r="B601" s="5" t="s">
        <v>1601</v>
      </c>
      <c r="C601" s="5" t="s">
        <v>131</v>
      </c>
      <c r="D601" s="3"/>
      <c r="E601" s="3"/>
      <c r="G601" s="3"/>
    </row>
    <row r="602" spans="1:7" x14ac:dyDescent="0.35">
      <c r="A602" s="3"/>
      <c r="B602" s="5" t="s">
        <v>1602</v>
      </c>
      <c r="C602" s="5" t="s">
        <v>131</v>
      </c>
      <c r="D602" s="3"/>
      <c r="E602" s="3"/>
      <c r="G602" s="3"/>
    </row>
    <row r="603" spans="1:7" x14ac:dyDescent="0.35">
      <c r="A603" s="3"/>
      <c r="B603" s="5" t="s">
        <v>1603</v>
      </c>
      <c r="C603" s="5" t="s">
        <v>131</v>
      </c>
      <c r="D603" s="3"/>
      <c r="E603" s="3"/>
      <c r="G603" s="3"/>
    </row>
    <row r="604" spans="1:7" x14ac:dyDescent="0.35">
      <c r="A604" s="3"/>
      <c r="B604" s="5" t="s">
        <v>1604</v>
      </c>
      <c r="C604" s="5" t="s">
        <v>131</v>
      </c>
      <c r="D604" s="3"/>
      <c r="E604" s="3"/>
      <c r="G604" s="3"/>
    </row>
    <row r="605" spans="1:7" x14ac:dyDescent="0.35">
      <c r="A605" s="3"/>
      <c r="B605" s="5" t="s">
        <v>1605</v>
      </c>
      <c r="C605" s="5" t="s">
        <v>131</v>
      </c>
      <c r="D605" s="3"/>
      <c r="E605" s="3"/>
      <c r="G605" s="3"/>
    </row>
    <row r="606" spans="1:7" x14ac:dyDescent="0.35">
      <c r="A606" s="3"/>
      <c r="B606" s="5" t="s">
        <v>1606</v>
      </c>
      <c r="C606" s="5" t="s">
        <v>131</v>
      </c>
      <c r="D606" s="3"/>
      <c r="E606" s="3"/>
      <c r="G606" s="3"/>
    </row>
    <row r="607" spans="1:7" x14ac:dyDescent="0.35">
      <c r="A607" s="3"/>
      <c r="B607" s="5" t="s">
        <v>1607</v>
      </c>
      <c r="C607" s="5" t="s">
        <v>131</v>
      </c>
      <c r="D607" s="3"/>
      <c r="E607" s="3"/>
      <c r="G607" s="3"/>
    </row>
    <row r="608" spans="1:7" x14ac:dyDescent="0.35">
      <c r="A608" s="3"/>
      <c r="B608" s="5" t="s">
        <v>1608</v>
      </c>
      <c r="C608" s="5" t="s">
        <v>131</v>
      </c>
      <c r="D608" s="3"/>
      <c r="E608" s="3"/>
      <c r="G608" s="3"/>
    </row>
    <row r="609" spans="1:7" x14ac:dyDescent="0.35">
      <c r="A609" s="3"/>
      <c r="B609" s="5" t="s">
        <v>1609</v>
      </c>
      <c r="C609" s="5" t="s">
        <v>131</v>
      </c>
      <c r="D609" s="3"/>
      <c r="E609" s="3"/>
      <c r="G609" s="3"/>
    </row>
    <row r="610" spans="1:7" x14ac:dyDescent="0.35">
      <c r="A610" s="3"/>
      <c r="B610" s="3" t="s">
        <v>188</v>
      </c>
      <c r="C610" s="3" t="s">
        <v>1105</v>
      </c>
      <c r="D610" s="3"/>
      <c r="E610" s="3"/>
      <c r="G610" s="3" t="s">
        <v>1748</v>
      </c>
    </row>
    <row r="612" spans="1:7" x14ac:dyDescent="0.35">
      <c r="A612" s="7" t="s">
        <v>1610</v>
      </c>
      <c r="B612" s="7" t="s">
        <v>1611</v>
      </c>
      <c r="C612" s="3" t="s">
        <v>1612</v>
      </c>
      <c r="D612" s="3"/>
      <c r="E612" s="3"/>
      <c r="G612" s="3" t="s">
        <v>1613</v>
      </c>
    </row>
    <row r="613" spans="1:7" x14ac:dyDescent="0.35">
      <c r="A613" s="3"/>
      <c r="B613" s="7"/>
      <c r="C613" s="3" t="s">
        <v>1615</v>
      </c>
      <c r="D613" s="3"/>
      <c r="E613" s="3"/>
      <c r="G613" s="3" t="s">
        <v>1616</v>
      </c>
    </row>
    <row r="614" spans="1:7" x14ac:dyDescent="0.35">
      <c r="A614" s="3"/>
      <c r="B614" s="7"/>
      <c r="C614" s="3" t="s">
        <v>1618</v>
      </c>
      <c r="D614" s="3"/>
      <c r="E614" s="3"/>
      <c r="G614" s="3" t="s">
        <v>1619</v>
      </c>
    </row>
    <row r="615" spans="1:7" x14ac:dyDescent="0.35">
      <c r="A615" s="3"/>
      <c r="B615" s="7" t="s">
        <v>1623</v>
      </c>
      <c r="C615" s="3" t="s">
        <v>1624</v>
      </c>
      <c r="D615" s="3"/>
      <c r="E615" s="3"/>
      <c r="G615" s="3" t="s">
        <v>1625</v>
      </c>
    </row>
    <row r="617" spans="1:7" x14ac:dyDescent="0.35">
      <c r="A617" s="4" t="s">
        <v>1627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35"/>
  <sheetViews>
    <sheetView workbookViewId="0">
      <pane xSplit="3" topLeftCell="D1" activePane="topRight" state="frozen"/>
      <selection pane="topRight" activeCell="E2" sqref="E2"/>
    </sheetView>
  </sheetViews>
  <sheetFormatPr defaultColWidth="11.25" defaultRowHeight="15" customHeight="1" x14ac:dyDescent="0.35"/>
  <cols>
    <col min="1" max="1" width="20.08203125" customWidth="1"/>
    <col min="2" max="2" width="23.33203125" customWidth="1"/>
    <col min="3" max="3" width="41.58203125" customWidth="1"/>
    <col min="4" max="4" width="36" customWidth="1"/>
    <col min="5" max="5" width="24.25" customWidth="1"/>
    <col min="6" max="6" width="10.75" customWidth="1"/>
    <col min="7" max="7" width="77.08203125" customWidth="1"/>
    <col min="8" max="8" width="77" customWidth="1"/>
    <col min="9" max="9" width="85.08203125" customWidth="1"/>
    <col min="10" max="10" width="76.4140625" customWidth="1"/>
    <col min="11" max="11" width="73.08203125" customWidth="1"/>
    <col min="12" max="12" width="90.58203125" customWidth="1"/>
    <col min="13" max="13" width="10.58203125" customWidth="1"/>
    <col min="14" max="14" width="37.25" customWidth="1"/>
    <col min="15" max="15" width="8.08203125" customWidth="1"/>
    <col min="16" max="16" width="7.75" customWidth="1"/>
    <col min="17" max="17" width="6.9140625" customWidth="1"/>
    <col min="18" max="18" width="6.58203125" customWidth="1"/>
    <col min="19" max="23" width="7.25" customWidth="1"/>
    <col min="24" max="24" width="36.33203125" customWidth="1"/>
    <col min="25" max="25" width="6.9140625" customWidth="1"/>
    <col min="26" max="26" width="6.75" customWidth="1"/>
    <col min="27" max="28" width="6.58203125" customWidth="1"/>
    <col min="29" max="29" width="6.6640625" customWidth="1"/>
    <col min="30" max="30" width="34.6640625" customWidth="1"/>
    <col min="31" max="31" width="7" customWidth="1"/>
    <col min="32" max="32" width="6.75" customWidth="1"/>
    <col min="33" max="33" width="6.4140625" customWidth="1"/>
    <col min="34" max="34" width="7.4140625" customWidth="1"/>
    <col min="35" max="38" width="7" customWidth="1"/>
  </cols>
  <sheetData>
    <row r="1" spans="1:38" ht="15.75" customHeight="1" x14ac:dyDescent="0.35">
      <c r="A1" s="9" t="s">
        <v>0</v>
      </c>
      <c r="B1" s="9" t="s">
        <v>1</v>
      </c>
      <c r="C1" s="9" t="s">
        <v>2</v>
      </c>
      <c r="D1" s="9" t="s">
        <v>3</v>
      </c>
      <c r="E1" s="9" t="s">
        <v>4</v>
      </c>
      <c r="F1" s="3" t="s">
        <v>1749</v>
      </c>
      <c r="G1" s="10" t="s">
        <v>1750</v>
      </c>
      <c r="H1" s="10"/>
      <c r="I1" s="3"/>
      <c r="J1" s="3" t="s">
        <v>1751</v>
      </c>
      <c r="L1" s="3"/>
      <c r="M1" s="3" t="s">
        <v>1752</v>
      </c>
      <c r="N1" s="3"/>
      <c r="O1" s="3"/>
      <c r="P1" s="3"/>
      <c r="Q1" s="3"/>
      <c r="R1" s="3"/>
      <c r="S1" s="3"/>
      <c r="T1" s="3"/>
      <c r="U1" s="3"/>
      <c r="V1" s="3"/>
      <c r="W1" s="3"/>
      <c r="X1" s="3"/>
      <c r="Y1" s="3"/>
      <c r="Z1" s="3"/>
      <c r="AA1" s="3"/>
      <c r="AB1" s="3"/>
      <c r="AC1" s="3"/>
      <c r="AD1" s="3"/>
      <c r="AE1" s="3"/>
      <c r="AF1" s="3"/>
      <c r="AG1" s="3"/>
      <c r="AH1" s="3"/>
      <c r="AI1" s="3"/>
      <c r="AJ1" s="3"/>
      <c r="AK1" s="3"/>
      <c r="AL1" s="3"/>
    </row>
    <row r="2" spans="1:38" ht="15.75" customHeight="1" x14ac:dyDescent="0.35">
      <c r="A2" s="3" t="s">
        <v>23</v>
      </c>
      <c r="B2" s="3" t="s">
        <v>24</v>
      </c>
      <c r="C2" s="3" t="s">
        <v>25</v>
      </c>
      <c r="D2" s="3"/>
      <c r="E2" s="3"/>
      <c r="F2" s="3"/>
      <c r="G2" s="3" t="s">
        <v>1402</v>
      </c>
      <c r="H2" s="3" t="s">
        <v>1402</v>
      </c>
      <c r="I2" s="3" t="s">
        <v>1402</v>
      </c>
      <c r="J2" s="3" t="s">
        <v>26</v>
      </c>
      <c r="K2" s="3" t="s">
        <v>26</v>
      </c>
      <c r="L2" s="3" t="s">
        <v>26</v>
      </c>
      <c r="M2" s="3" t="s">
        <v>1753</v>
      </c>
      <c r="N2" s="3"/>
      <c r="O2" s="3"/>
      <c r="P2" s="3"/>
      <c r="Q2" s="3"/>
      <c r="R2" s="3"/>
      <c r="S2" s="3"/>
      <c r="T2" s="3"/>
      <c r="U2" s="3"/>
      <c r="V2" s="3"/>
      <c r="W2" s="3"/>
      <c r="X2" s="3"/>
      <c r="Y2" s="3"/>
      <c r="Z2" s="3"/>
      <c r="AA2" s="3"/>
      <c r="AB2" s="3"/>
      <c r="AC2" s="3"/>
      <c r="AD2" s="3"/>
      <c r="AE2" s="3"/>
      <c r="AF2" s="3"/>
      <c r="AG2" s="3"/>
      <c r="AH2" s="3"/>
      <c r="AI2" s="3"/>
      <c r="AJ2" s="3"/>
      <c r="AK2" s="3"/>
      <c r="AL2" s="3"/>
    </row>
    <row r="3" spans="1:38" ht="15.75" customHeight="1" x14ac:dyDescent="0.35">
      <c r="A3" s="3"/>
      <c r="B3" s="3"/>
      <c r="C3" s="3" t="s">
        <v>29</v>
      </c>
      <c r="D3" s="3"/>
      <c r="E3" s="3"/>
      <c r="F3" s="3"/>
      <c r="G3" s="3" t="s">
        <v>1754</v>
      </c>
      <c r="H3" s="3" t="s">
        <v>1754</v>
      </c>
      <c r="I3" s="3" t="s">
        <v>1755</v>
      </c>
      <c r="J3" s="3" t="s">
        <v>30</v>
      </c>
      <c r="K3" s="3" t="s">
        <v>30</v>
      </c>
      <c r="L3" s="3" t="s">
        <v>30</v>
      </c>
      <c r="M3" s="3" t="s">
        <v>1753</v>
      </c>
      <c r="N3" s="3"/>
      <c r="O3" s="3"/>
      <c r="P3" s="3"/>
      <c r="Q3" s="3"/>
      <c r="R3" s="3"/>
      <c r="S3" s="3"/>
      <c r="T3" s="3"/>
      <c r="U3" s="3"/>
      <c r="V3" s="3"/>
      <c r="W3" s="3"/>
      <c r="X3" s="3"/>
      <c r="Y3" s="3"/>
      <c r="Z3" s="3"/>
      <c r="AA3" s="3"/>
      <c r="AB3" s="3"/>
      <c r="AC3" s="3"/>
      <c r="AD3" s="3"/>
      <c r="AE3" s="3"/>
      <c r="AF3" s="3"/>
      <c r="AG3" s="3"/>
      <c r="AH3" s="3"/>
      <c r="AI3" s="3"/>
      <c r="AJ3" s="3"/>
      <c r="AK3" s="3"/>
      <c r="AL3" s="3"/>
    </row>
    <row r="4" spans="1:38" ht="15.75" customHeight="1" x14ac:dyDescent="0.35">
      <c r="A4" s="3"/>
      <c r="B4" s="3" t="s">
        <v>32</v>
      </c>
      <c r="C4" s="3" t="s">
        <v>33</v>
      </c>
      <c r="D4" s="3" t="s">
        <v>34</v>
      </c>
      <c r="E4" s="3" t="s">
        <v>35</v>
      </c>
      <c r="F4" s="3"/>
      <c r="G4" s="3" t="s">
        <v>1756</v>
      </c>
      <c r="H4" s="3" t="s">
        <v>1757</v>
      </c>
      <c r="I4" s="3" t="s">
        <v>1756</v>
      </c>
      <c r="J4" s="3" t="s">
        <v>36</v>
      </c>
      <c r="K4" s="3" t="s">
        <v>36</v>
      </c>
      <c r="L4" s="3" t="s">
        <v>1758</v>
      </c>
      <c r="M4" s="3" t="s">
        <v>1753</v>
      </c>
      <c r="N4" s="3"/>
      <c r="O4" s="3"/>
      <c r="P4" s="3"/>
      <c r="Q4" s="3"/>
      <c r="R4" s="3"/>
      <c r="S4" s="3"/>
      <c r="T4" s="3"/>
      <c r="U4" s="3"/>
      <c r="V4" s="3"/>
      <c r="W4" s="3"/>
      <c r="X4" s="3"/>
      <c r="Y4" s="3"/>
      <c r="Z4" s="3"/>
      <c r="AA4" s="3"/>
      <c r="AB4" s="3"/>
      <c r="AC4" s="3"/>
      <c r="AD4" s="3"/>
      <c r="AE4" s="3"/>
      <c r="AF4" s="3"/>
      <c r="AG4" s="3"/>
      <c r="AH4" s="3"/>
      <c r="AI4" s="3"/>
      <c r="AJ4" s="3"/>
      <c r="AK4" s="3"/>
      <c r="AL4" s="3"/>
    </row>
    <row r="5" spans="1:38" ht="15.75" customHeight="1" x14ac:dyDescent="0.35">
      <c r="A5" s="3"/>
      <c r="B5" s="3"/>
      <c r="C5" s="3" t="s">
        <v>1628</v>
      </c>
      <c r="D5" s="3"/>
      <c r="E5" s="3"/>
      <c r="F5" s="3"/>
      <c r="G5" s="3" t="s">
        <v>1759</v>
      </c>
      <c r="H5" s="3" t="s">
        <v>1759</v>
      </c>
      <c r="I5" s="3" t="s">
        <v>1759</v>
      </c>
      <c r="J5" s="3" t="s">
        <v>39</v>
      </c>
      <c r="K5" s="3" t="s">
        <v>1760</v>
      </c>
      <c r="L5" s="3" t="s">
        <v>1761</v>
      </c>
      <c r="M5" s="3" t="s">
        <v>1753</v>
      </c>
      <c r="N5" s="3"/>
      <c r="O5" s="3"/>
      <c r="P5" s="3"/>
      <c r="Q5" s="3"/>
      <c r="R5" s="3"/>
      <c r="S5" s="3"/>
      <c r="T5" s="3"/>
      <c r="U5" s="3"/>
      <c r="V5" s="3"/>
      <c r="W5" s="3"/>
      <c r="X5" s="3"/>
      <c r="Y5" s="3"/>
      <c r="Z5" s="3"/>
      <c r="AA5" s="3"/>
      <c r="AB5" s="3"/>
      <c r="AC5" s="3"/>
      <c r="AD5" s="3"/>
      <c r="AE5" s="3"/>
      <c r="AF5" s="3"/>
      <c r="AG5" s="3"/>
      <c r="AH5" s="3"/>
      <c r="AI5" s="3"/>
      <c r="AJ5" s="3"/>
      <c r="AK5" s="3"/>
      <c r="AL5" s="3"/>
    </row>
    <row r="6" spans="1:38" ht="15.75" customHeight="1" x14ac:dyDescent="0.35">
      <c r="A6" s="3"/>
      <c r="B6" s="3"/>
      <c r="C6" s="3" t="s">
        <v>43</v>
      </c>
      <c r="D6" s="3"/>
      <c r="E6" s="3"/>
      <c r="F6" s="3"/>
      <c r="G6" s="3" t="s">
        <v>1762</v>
      </c>
      <c r="H6" s="3" t="s">
        <v>1762</v>
      </c>
      <c r="I6" s="3" t="s">
        <v>1762</v>
      </c>
      <c r="J6" s="3" t="s">
        <v>44</v>
      </c>
      <c r="K6" s="3" t="s">
        <v>44</v>
      </c>
      <c r="L6" s="3" t="s">
        <v>1763</v>
      </c>
      <c r="M6" s="3" t="s">
        <v>1753</v>
      </c>
      <c r="N6" s="3"/>
      <c r="O6" s="3"/>
      <c r="P6" s="3"/>
      <c r="Q6" s="3"/>
      <c r="R6" s="3"/>
      <c r="S6" s="3"/>
      <c r="T6" s="3"/>
      <c r="U6" s="3"/>
      <c r="V6" s="3"/>
      <c r="W6" s="3"/>
      <c r="X6" s="3"/>
      <c r="Y6" s="3"/>
      <c r="Z6" s="3"/>
      <c r="AA6" s="3"/>
      <c r="AB6" s="3"/>
      <c r="AC6" s="3"/>
      <c r="AD6" s="3"/>
      <c r="AE6" s="3"/>
      <c r="AF6" s="3"/>
      <c r="AG6" s="3"/>
      <c r="AH6" s="3"/>
      <c r="AI6" s="3"/>
      <c r="AJ6" s="3"/>
      <c r="AK6" s="3"/>
      <c r="AL6" s="3"/>
    </row>
    <row r="7" spans="1:38" ht="15.75" customHeight="1" x14ac:dyDescent="0.35">
      <c r="A7" s="3"/>
      <c r="B7" s="3" t="s">
        <v>49</v>
      </c>
      <c r="C7" s="3" t="s">
        <v>50</v>
      </c>
      <c r="D7" s="3" t="s">
        <v>51</v>
      </c>
      <c r="E7" s="3" t="s">
        <v>52</v>
      </c>
      <c r="F7" s="3"/>
      <c r="G7" s="3" t="s">
        <v>53</v>
      </c>
      <c r="H7" s="3" t="s">
        <v>53</v>
      </c>
      <c r="I7" s="3" t="s">
        <v>53</v>
      </c>
      <c r="J7" s="3" t="s">
        <v>53</v>
      </c>
      <c r="K7" s="3" t="s">
        <v>53</v>
      </c>
      <c r="L7" s="3" t="s">
        <v>53</v>
      </c>
      <c r="M7" s="3" t="s">
        <v>1753</v>
      </c>
      <c r="N7" s="3"/>
      <c r="O7" s="3"/>
      <c r="P7" s="3"/>
      <c r="Q7" s="3"/>
      <c r="R7" s="3"/>
      <c r="S7" s="3"/>
      <c r="T7" s="3"/>
      <c r="U7" s="3"/>
      <c r="V7" s="3"/>
      <c r="W7" s="3"/>
      <c r="X7" s="3"/>
      <c r="Y7" s="3"/>
      <c r="Z7" s="3"/>
      <c r="AA7" s="3"/>
      <c r="AB7" s="3"/>
      <c r="AC7" s="3"/>
      <c r="AD7" s="3"/>
      <c r="AE7" s="3"/>
      <c r="AF7" s="3"/>
      <c r="AG7" s="3"/>
      <c r="AH7" s="3"/>
      <c r="AI7" s="3"/>
      <c r="AJ7" s="3"/>
      <c r="AK7" s="3"/>
      <c r="AL7" s="3"/>
    </row>
    <row r="8" spans="1:38" ht="15.75" customHeight="1" x14ac:dyDescent="0.35">
      <c r="A8" s="3"/>
      <c r="B8" s="3"/>
      <c r="C8" s="3" t="s">
        <v>57</v>
      </c>
      <c r="D8" s="3"/>
      <c r="E8" s="3"/>
      <c r="F8" s="3"/>
      <c r="G8" s="3" t="s">
        <v>1764</v>
      </c>
      <c r="H8" s="3" t="s">
        <v>1764</v>
      </c>
      <c r="I8" s="3" t="s">
        <v>1764</v>
      </c>
      <c r="J8" s="3" t="s">
        <v>58</v>
      </c>
      <c r="K8" s="3" t="s">
        <v>58</v>
      </c>
      <c r="L8" s="3" t="s">
        <v>58</v>
      </c>
      <c r="M8" s="3" t="s">
        <v>1753</v>
      </c>
      <c r="N8" s="3"/>
      <c r="O8" s="3"/>
      <c r="P8" s="3"/>
      <c r="Q8" s="3"/>
      <c r="R8" s="3"/>
      <c r="S8" s="3"/>
      <c r="T8" s="3"/>
      <c r="U8" s="3"/>
      <c r="V8" s="3"/>
      <c r="W8" s="3"/>
      <c r="X8" s="3"/>
      <c r="Y8" s="3"/>
      <c r="Z8" s="3"/>
      <c r="AA8" s="3"/>
      <c r="AB8" s="3"/>
      <c r="AC8" s="3"/>
      <c r="AD8" s="3"/>
      <c r="AE8" s="3"/>
      <c r="AF8" s="3"/>
      <c r="AG8" s="3"/>
      <c r="AH8" s="3"/>
      <c r="AI8" s="3"/>
      <c r="AJ8" s="3"/>
      <c r="AK8" s="3"/>
      <c r="AL8" s="3"/>
    </row>
    <row r="9" spans="1:38" ht="15.75" customHeight="1" x14ac:dyDescent="0.35">
      <c r="A9" s="3"/>
      <c r="B9" s="3" t="s">
        <v>60</v>
      </c>
      <c r="C9" s="3" t="s">
        <v>61</v>
      </c>
      <c r="D9" s="3"/>
      <c r="E9" s="3"/>
      <c r="F9" s="3"/>
      <c r="G9" s="3" t="s">
        <v>1765</v>
      </c>
      <c r="H9" s="3" t="s">
        <v>1765</v>
      </c>
      <c r="I9" s="3" t="s">
        <v>1765</v>
      </c>
      <c r="J9" s="3" t="s">
        <v>62</v>
      </c>
      <c r="K9" s="3" t="s">
        <v>1766</v>
      </c>
      <c r="L9" s="3" t="s">
        <v>1767</v>
      </c>
      <c r="M9" s="3" t="s">
        <v>1753</v>
      </c>
      <c r="N9" s="3"/>
      <c r="O9" s="3"/>
      <c r="P9" s="3"/>
      <c r="Q9" s="3"/>
      <c r="R9" s="3"/>
      <c r="S9" s="3"/>
      <c r="T9" s="3"/>
      <c r="U9" s="3"/>
      <c r="V9" s="3"/>
      <c r="W9" s="3"/>
      <c r="X9" s="3"/>
      <c r="Y9" s="3"/>
      <c r="Z9" s="3"/>
      <c r="AA9" s="3"/>
      <c r="AB9" s="3"/>
      <c r="AC9" s="3"/>
      <c r="AD9" s="3"/>
      <c r="AE9" s="3"/>
      <c r="AF9" s="3"/>
      <c r="AG9" s="3"/>
      <c r="AH9" s="3"/>
      <c r="AI9" s="3"/>
      <c r="AJ9" s="3"/>
      <c r="AK9" s="3"/>
      <c r="AL9" s="3"/>
    </row>
    <row r="10" spans="1:38" ht="15.75" customHeight="1" x14ac:dyDescent="0.35">
      <c r="A10" s="3"/>
      <c r="B10" s="3"/>
      <c r="C10" s="3" t="s">
        <v>64</v>
      </c>
      <c r="D10" s="3"/>
      <c r="E10" s="3"/>
      <c r="F10" s="3"/>
      <c r="G10" s="3" t="s">
        <v>1768</v>
      </c>
      <c r="H10" s="3" t="s">
        <v>1769</v>
      </c>
      <c r="I10" s="3" t="s">
        <v>1770</v>
      </c>
      <c r="J10" s="3" t="s">
        <v>65</v>
      </c>
      <c r="K10" s="3" t="s">
        <v>947</v>
      </c>
      <c r="L10" s="3" t="s">
        <v>947</v>
      </c>
      <c r="M10" s="3" t="s">
        <v>1753</v>
      </c>
      <c r="N10" s="3"/>
      <c r="O10" s="3"/>
      <c r="P10" s="3"/>
      <c r="Q10" s="3"/>
      <c r="R10" s="3"/>
      <c r="S10" s="3"/>
      <c r="T10" s="3"/>
      <c r="U10" s="3"/>
      <c r="V10" s="3"/>
      <c r="W10" s="3"/>
      <c r="X10" s="3"/>
      <c r="Y10" s="3"/>
      <c r="Z10" s="3"/>
      <c r="AA10" s="3"/>
      <c r="AB10" s="3"/>
      <c r="AC10" s="3"/>
      <c r="AD10" s="3"/>
      <c r="AE10" s="3"/>
      <c r="AF10" s="3"/>
      <c r="AG10" s="3"/>
      <c r="AH10" s="3"/>
      <c r="AI10" s="3"/>
      <c r="AJ10" s="3"/>
      <c r="AK10" s="3"/>
      <c r="AL10" s="3"/>
    </row>
    <row r="11" spans="1:38" ht="15.75" customHeight="1" x14ac:dyDescent="0.35">
      <c r="A11" s="3"/>
      <c r="B11" s="3"/>
      <c r="C11" s="3" t="s">
        <v>68</v>
      </c>
      <c r="D11" s="3"/>
      <c r="E11" s="3"/>
      <c r="F11" s="3"/>
      <c r="G11" s="3" t="s">
        <v>1771</v>
      </c>
      <c r="H11" s="3" t="s">
        <v>1772</v>
      </c>
      <c r="I11" s="3" t="s">
        <v>1773</v>
      </c>
      <c r="J11" s="3" t="s">
        <v>69</v>
      </c>
      <c r="K11" s="3" t="s">
        <v>1774</v>
      </c>
      <c r="L11" s="3" t="s">
        <v>1775</v>
      </c>
      <c r="M11" s="3" t="s">
        <v>1753</v>
      </c>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5.75" customHeight="1" x14ac:dyDescent="0.35">
      <c r="A12" s="3"/>
      <c r="B12" s="3" t="s">
        <v>74</v>
      </c>
      <c r="C12" s="3" t="s">
        <v>754</v>
      </c>
      <c r="D12" s="3" t="s">
        <v>76</v>
      </c>
      <c r="E12" s="3" t="s">
        <v>77</v>
      </c>
      <c r="F12" s="3"/>
      <c r="G12" s="3" t="s">
        <v>1776</v>
      </c>
      <c r="H12" s="3" t="s">
        <v>1777</v>
      </c>
      <c r="I12" s="3" t="s">
        <v>1778</v>
      </c>
      <c r="J12" s="3" t="s">
        <v>1779</v>
      </c>
      <c r="K12" s="3" t="s">
        <v>1779</v>
      </c>
      <c r="L12" s="3" t="s">
        <v>1779</v>
      </c>
      <c r="M12" s="3" t="s">
        <v>1753</v>
      </c>
      <c r="N12" s="3"/>
      <c r="O12" s="3"/>
      <c r="P12" s="3"/>
      <c r="Q12" s="3"/>
      <c r="R12" s="3"/>
      <c r="S12" s="3"/>
      <c r="T12" s="3"/>
      <c r="U12" s="3"/>
      <c r="V12" s="3"/>
      <c r="W12" s="3"/>
      <c r="X12" s="3"/>
      <c r="Y12" s="3"/>
      <c r="Z12" s="3"/>
      <c r="AA12" s="3"/>
      <c r="AB12" s="3"/>
      <c r="AC12" s="3"/>
      <c r="AD12" s="3"/>
      <c r="AE12" s="3"/>
      <c r="AF12" s="3"/>
      <c r="AG12" s="3"/>
      <c r="AH12" s="3"/>
      <c r="AI12" s="3"/>
      <c r="AJ12" s="3"/>
      <c r="AK12" s="3"/>
      <c r="AL12" s="3"/>
    </row>
    <row r="13" spans="1:38" ht="15.75" customHeight="1" x14ac:dyDescent="0.35">
      <c r="A13" s="3"/>
      <c r="B13" s="3"/>
      <c r="C13" s="3" t="s">
        <v>1780</v>
      </c>
      <c r="D13" s="3"/>
      <c r="E13" s="3"/>
      <c r="F13" s="3"/>
      <c r="G13" s="3" t="s">
        <v>1781</v>
      </c>
      <c r="H13" s="3" t="s">
        <v>1782</v>
      </c>
      <c r="I13" s="3" t="s">
        <v>1781</v>
      </c>
      <c r="J13" s="3" t="s">
        <v>1783</v>
      </c>
      <c r="K13" s="3" t="s">
        <v>1784</v>
      </c>
      <c r="L13" s="3" t="s">
        <v>1785</v>
      </c>
      <c r="M13" s="3" t="s">
        <v>1753</v>
      </c>
      <c r="N13" s="3"/>
      <c r="O13" s="3"/>
      <c r="P13" s="3"/>
      <c r="Q13" s="3"/>
      <c r="R13" s="3"/>
      <c r="S13" s="3"/>
      <c r="T13" s="3"/>
      <c r="U13" s="3"/>
      <c r="V13" s="3"/>
      <c r="W13" s="3"/>
      <c r="X13" s="3"/>
      <c r="Y13" s="3"/>
      <c r="Z13" s="3"/>
      <c r="AA13" s="3"/>
      <c r="AB13" s="3"/>
      <c r="AC13" s="3"/>
      <c r="AD13" s="3"/>
      <c r="AE13" s="3"/>
      <c r="AF13" s="3"/>
      <c r="AG13" s="3"/>
      <c r="AH13" s="3"/>
      <c r="AI13" s="3"/>
      <c r="AJ13" s="3"/>
      <c r="AK13" s="3"/>
      <c r="AL13" s="3"/>
    </row>
    <row r="14" spans="1:38" ht="15.75" customHeight="1" x14ac:dyDescent="0.35">
      <c r="A14" s="3"/>
      <c r="B14" s="3"/>
      <c r="C14" s="3" t="s">
        <v>756</v>
      </c>
      <c r="D14" s="3"/>
      <c r="E14" s="3"/>
      <c r="F14" s="3"/>
      <c r="G14" s="3" t="s">
        <v>1786</v>
      </c>
      <c r="H14" s="3" t="s">
        <v>1787</v>
      </c>
      <c r="I14" s="3" t="s">
        <v>1788</v>
      </c>
      <c r="J14" s="3" t="s">
        <v>1789</v>
      </c>
      <c r="K14" s="3" t="s">
        <v>1790</v>
      </c>
      <c r="L14" s="3" t="s">
        <v>1791</v>
      </c>
      <c r="M14" s="3" t="s">
        <v>1753</v>
      </c>
      <c r="N14" s="3"/>
      <c r="O14" s="3"/>
      <c r="P14" s="3"/>
      <c r="Q14" s="3"/>
      <c r="R14" s="3"/>
      <c r="S14" s="3"/>
      <c r="T14" s="3"/>
      <c r="U14" s="3"/>
      <c r="V14" s="3"/>
      <c r="W14" s="3"/>
      <c r="X14" s="3"/>
      <c r="Y14" s="3"/>
      <c r="Z14" s="3"/>
      <c r="AA14" s="3"/>
      <c r="AB14" s="3"/>
      <c r="AC14" s="3"/>
      <c r="AD14" s="3"/>
      <c r="AE14" s="3"/>
      <c r="AF14" s="3"/>
      <c r="AG14" s="3"/>
      <c r="AH14" s="3"/>
      <c r="AI14" s="3"/>
      <c r="AJ14" s="3"/>
      <c r="AK14" s="3"/>
      <c r="AL14" s="3"/>
    </row>
    <row r="15" spans="1:38" ht="15.75" customHeight="1" x14ac:dyDescent="0.35">
      <c r="A15" s="3"/>
      <c r="B15" s="3"/>
      <c r="C15" s="3" t="s">
        <v>1792</v>
      </c>
      <c r="D15" s="3"/>
      <c r="E15" s="3"/>
      <c r="F15" s="3"/>
      <c r="G15" s="3" t="s">
        <v>1793</v>
      </c>
      <c r="H15" s="3" t="s">
        <v>1794</v>
      </c>
      <c r="I15" s="3" t="s">
        <v>1793</v>
      </c>
      <c r="J15" s="3" t="s">
        <v>1795</v>
      </c>
      <c r="K15" s="3" t="s">
        <v>1796</v>
      </c>
      <c r="L15" s="3" t="s">
        <v>1797</v>
      </c>
      <c r="M15" s="3" t="s">
        <v>1753</v>
      </c>
      <c r="N15" s="3"/>
      <c r="O15" s="3"/>
      <c r="P15" s="3"/>
      <c r="Q15" s="3"/>
      <c r="R15" s="3"/>
      <c r="S15" s="3"/>
      <c r="T15" s="3"/>
      <c r="U15" s="3"/>
      <c r="V15" s="3"/>
      <c r="W15" s="3"/>
      <c r="X15" s="3"/>
      <c r="Y15" s="3"/>
      <c r="Z15" s="3"/>
      <c r="AA15" s="3"/>
      <c r="AB15" s="3"/>
      <c r="AC15" s="3"/>
      <c r="AD15" s="3"/>
      <c r="AE15" s="3"/>
      <c r="AF15" s="3"/>
      <c r="AG15" s="3"/>
      <c r="AH15" s="3"/>
      <c r="AI15" s="3"/>
      <c r="AJ15" s="3"/>
      <c r="AK15" s="3"/>
      <c r="AL15" s="3"/>
    </row>
    <row r="16" spans="1:38" ht="15.75" customHeight="1" x14ac:dyDescent="0.35">
      <c r="A16" s="3"/>
      <c r="B16" s="3" t="s">
        <v>103</v>
      </c>
      <c r="C16" s="3"/>
      <c r="D16" s="3" t="s">
        <v>34</v>
      </c>
      <c r="E16" s="3" t="s">
        <v>35</v>
      </c>
      <c r="F16" s="3"/>
      <c r="G16" s="10"/>
      <c r="H16" s="10"/>
      <c r="I16" s="10"/>
      <c r="J16" s="3"/>
      <c r="K16" s="3"/>
      <c r="L16" s="3"/>
      <c r="M16" s="3" t="s">
        <v>1753</v>
      </c>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15.75" customHeight="1" x14ac:dyDescent="0.35">
      <c r="A17" s="3"/>
      <c r="B17" s="3" t="s">
        <v>104</v>
      </c>
      <c r="C17" s="3"/>
      <c r="D17" s="3" t="s">
        <v>34</v>
      </c>
      <c r="E17" s="3" t="s">
        <v>35</v>
      </c>
      <c r="F17" s="3"/>
      <c r="G17" s="10"/>
      <c r="H17" s="10"/>
      <c r="I17" s="10"/>
      <c r="J17" s="3"/>
      <c r="K17" s="3"/>
      <c r="L17" s="3"/>
      <c r="M17" s="3" t="s">
        <v>1753</v>
      </c>
      <c r="N17" s="3"/>
      <c r="O17" s="3"/>
      <c r="P17" s="3"/>
      <c r="Q17" s="3"/>
      <c r="R17" s="3"/>
      <c r="S17" s="3"/>
      <c r="T17" s="3"/>
      <c r="U17" s="3"/>
      <c r="V17" s="3"/>
      <c r="W17" s="3"/>
      <c r="X17" s="3"/>
      <c r="Y17" s="3"/>
      <c r="Z17" s="3"/>
      <c r="AA17" s="3"/>
      <c r="AB17" s="3"/>
      <c r="AC17" s="3"/>
      <c r="AD17" s="3"/>
      <c r="AE17" s="3"/>
      <c r="AF17" s="3"/>
      <c r="AG17" s="3"/>
      <c r="AH17" s="3"/>
      <c r="AI17" s="3"/>
      <c r="AJ17" s="3"/>
      <c r="AK17" s="3"/>
      <c r="AL17" s="3"/>
    </row>
    <row r="18" spans="1:38" ht="15.75" customHeight="1" x14ac:dyDescent="0.35">
      <c r="A18" s="3"/>
      <c r="B18" s="3"/>
      <c r="C18" s="3"/>
      <c r="D18" s="3" t="s">
        <v>76</v>
      </c>
      <c r="E18" s="3" t="s">
        <v>77</v>
      </c>
      <c r="F18" s="3"/>
      <c r="G18" s="10"/>
      <c r="H18" s="10"/>
      <c r="I18" s="10"/>
      <c r="J18" s="3"/>
      <c r="K18" s="3"/>
      <c r="L18" s="3"/>
      <c r="M18" s="3" t="s">
        <v>1753</v>
      </c>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75" customHeight="1" x14ac:dyDescent="0.35">
      <c r="A19" s="3"/>
      <c r="B19" s="3" t="s">
        <v>105</v>
      </c>
      <c r="C19" s="4" t="s">
        <v>25</v>
      </c>
      <c r="D19" s="3"/>
      <c r="E19" s="3"/>
      <c r="F19" s="3"/>
      <c r="G19" s="3" t="s">
        <v>1798</v>
      </c>
      <c r="H19" s="3" t="s">
        <v>1798</v>
      </c>
      <c r="I19" s="3" t="s">
        <v>1798</v>
      </c>
      <c r="J19" s="3" t="s">
        <v>106</v>
      </c>
      <c r="K19" s="3" t="s">
        <v>106</v>
      </c>
      <c r="L19" s="3" t="s">
        <v>1799</v>
      </c>
      <c r="M19" s="3" t="s">
        <v>1753</v>
      </c>
      <c r="N19" s="3"/>
      <c r="O19" s="3"/>
      <c r="P19" s="3"/>
      <c r="Q19" s="3"/>
      <c r="R19" s="3"/>
      <c r="S19" s="3"/>
      <c r="T19" s="3"/>
      <c r="U19" s="3"/>
      <c r="V19" s="3"/>
      <c r="W19" s="3"/>
      <c r="X19" s="3"/>
      <c r="Y19" s="3"/>
      <c r="Z19" s="3"/>
      <c r="AA19" s="3"/>
      <c r="AB19" s="3"/>
      <c r="AC19" s="3"/>
      <c r="AD19" s="3"/>
      <c r="AE19" s="3"/>
      <c r="AF19" s="3"/>
      <c r="AG19" s="3"/>
      <c r="AH19" s="3"/>
      <c r="AI19" s="3"/>
      <c r="AJ19" s="3"/>
      <c r="AK19" s="3"/>
      <c r="AL19" s="3"/>
    </row>
    <row r="20" spans="1:38" ht="15.75" customHeight="1" x14ac:dyDescent="0.35">
      <c r="A20" s="3"/>
      <c r="B20" s="3"/>
      <c r="C20" s="3" t="s">
        <v>29</v>
      </c>
      <c r="D20" s="3"/>
      <c r="E20" s="3"/>
      <c r="F20" s="3"/>
      <c r="G20" s="3" t="s">
        <v>1800</v>
      </c>
      <c r="H20" s="3" t="s">
        <v>1801</v>
      </c>
      <c r="I20" s="3" t="s">
        <v>1802</v>
      </c>
      <c r="J20" s="3" t="s">
        <v>107</v>
      </c>
      <c r="K20" s="3" t="s">
        <v>1803</v>
      </c>
      <c r="L20" s="3" t="s">
        <v>1804</v>
      </c>
      <c r="M20" s="3" t="s">
        <v>1753</v>
      </c>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ht="15.75" customHeight="1" x14ac:dyDescent="0.35">
      <c r="A21" s="3"/>
      <c r="B21" s="3" t="s">
        <v>108</v>
      </c>
      <c r="C21" s="3" t="s">
        <v>109</v>
      </c>
      <c r="D21" s="3"/>
      <c r="E21" s="3"/>
      <c r="F21" s="3"/>
      <c r="G21" s="3" t="s">
        <v>1805</v>
      </c>
      <c r="H21" s="3" t="s">
        <v>1805</v>
      </c>
      <c r="I21" s="3" t="s">
        <v>1805</v>
      </c>
      <c r="J21" s="3" t="s">
        <v>110</v>
      </c>
      <c r="K21" s="3" t="s">
        <v>339</v>
      </c>
      <c r="L21" s="3" t="s">
        <v>339</v>
      </c>
      <c r="M21" s="3" t="s">
        <v>1753</v>
      </c>
      <c r="N21" s="3"/>
      <c r="O21" s="3"/>
      <c r="P21" s="3"/>
      <c r="Q21" s="3"/>
      <c r="R21" s="3"/>
      <c r="S21" s="3"/>
      <c r="T21" s="3"/>
      <c r="U21" s="3"/>
      <c r="V21" s="3"/>
      <c r="W21" s="3"/>
      <c r="X21" s="3"/>
      <c r="Y21" s="3"/>
      <c r="Z21" s="3"/>
      <c r="AA21" s="3"/>
      <c r="AB21" s="3"/>
      <c r="AC21" s="3"/>
      <c r="AD21" s="3"/>
      <c r="AE21" s="3"/>
      <c r="AF21" s="3"/>
      <c r="AG21" s="3"/>
      <c r="AH21" s="3"/>
      <c r="AI21" s="3"/>
      <c r="AJ21" s="3"/>
      <c r="AK21" s="3"/>
      <c r="AL21" s="3"/>
    </row>
    <row r="22" spans="1:38" ht="15.75" customHeight="1" x14ac:dyDescent="0.35">
      <c r="A22" s="3"/>
      <c r="B22" s="3"/>
      <c r="C22" s="3" t="s">
        <v>113</v>
      </c>
      <c r="D22" s="3"/>
      <c r="E22" s="3"/>
      <c r="F22" s="3"/>
      <c r="G22" s="3" t="s">
        <v>1806</v>
      </c>
      <c r="H22" s="3" t="s">
        <v>1806</v>
      </c>
      <c r="I22" s="3" t="s">
        <v>1806</v>
      </c>
      <c r="J22" s="3" t="s">
        <v>114</v>
      </c>
      <c r="K22" s="3" t="s">
        <v>114</v>
      </c>
      <c r="L22" s="3" t="s">
        <v>114</v>
      </c>
      <c r="M22" s="3" t="s">
        <v>1753</v>
      </c>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ht="15.75" customHeight="1" x14ac:dyDescent="0.35">
      <c r="A23" s="3"/>
      <c r="B23" s="3"/>
      <c r="C23" s="3" t="s">
        <v>237</v>
      </c>
      <c r="D23" s="3"/>
      <c r="E23" s="3"/>
      <c r="F23" s="3"/>
      <c r="G23" s="3" t="s">
        <v>1807</v>
      </c>
      <c r="H23" s="3" t="s">
        <v>1808</v>
      </c>
      <c r="I23" s="3" t="s">
        <v>1807</v>
      </c>
      <c r="J23" s="3" t="s">
        <v>120</v>
      </c>
      <c r="K23" s="3" t="s">
        <v>120</v>
      </c>
      <c r="L23" s="3" t="s">
        <v>120</v>
      </c>
      <c r="M23" s="3" t="s">
        <v>1753</v>
      </c>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ht="15.75" customHeight="1" x14ac:dyDescent="0.35">
      <c r="A24" s="3"/>
      <c r="B24" s="3"/>
      <c r="C24" s="3" t="s">
        <v>1809</v>
      </c>
      <c r="D24" s="3"/>
      <c r="E24" s="3"/>
      <c r="F24" s="3"/>
      <c r="G24" s="3" t="s">
        <v>1810</v>
      </c>
      <c r="H24" s="3" t="s">
        <v>1810</v>
      </c>
      <c r="I24" s="3" t="s">
        <v>1811</v>
      </c>
      <c r="J24" s="3" t="s">
        <v>126</v>
      </c>
      <c r="K24" s="3" t="s">
        <v>126</v>
      </c>
      <c r="L24" s="3" t="s">
        <v>126</v>
      </c>
      <c r="M24" s="3" t="s">
        <v>1753</v>
      </c>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ht="15.75" customHeight="1" x14ac:dyDescent="0.35">
      <c r="A25" s="3"/>
      <c r="B25" s="3"/>
      <c r="C25" s="3" t="s">
        <v>131</v>
      </c>
      <c r="D25" s="3"/>
      <c r="E25" s="3"/>
      <c r="F25" s="3"/>
      <c r="G25" s="3" t="s">
        <v>1812</v>
      </c>
      <c r="H25" s="3" t="s">
        <v>1812</v>
      </c>
      <c r="I25" s="3" t="s">
        <v>1812</v>
      </c>
      <c r="J25" s="3" t="s">
        <v>132</v>
      </c>
      <c r="K25" s="3" t="s">
        <v>1813</v>
      </c>
      <c r="L25" s="3" t="s">
        <v>132</v>
      </c>
      <c r="M25" s="3" t="s">
        <v>1753</v>
      </c>
      <c r="N25" s="3"/>
      <c r="O25" s="3"/>
      <c r="P25" s="3"/>
      <c r="Q25" s="3"/>
      <c r="R25" s="3"/>
      <c r="S25" s="3"/>
      <c r="T25" s="3"/>
      <c r="U25" s="3"/>
      <c r="V25" s="3"/>
      <c r="W25" s="3"/>
      <c r="X25" s="3"/>
      <c r="Y25" s="3"/>
      <c r="Z25" s="3"/>
      <c r="AA25" s="3"/>
      <c r="AB25" s="3"/>
      <c r="AC25" s="3"/>
      <c r="AD25" s="3"/>
      <c r="AE25" s="3"/>
      <c r="AF25" s="3"/>
      <c r="AG25" s="3"/>
      <c r="AH25" s="3"/>
      <c r="AI25" s="3"/>
      <c r="AJ25" s="3"/>
      <c r="AK25" s="3"/>
      <c r="AL25" s="3"/>
    </row>
    <row r="26" spans="1:38" ht="15.75" customHeight="1" x14ac:dyDescent="0.35">
      <c r="A26" s="3"/>
      <c r="B26" s="3" t="s">
        <v>134</v>
      </c>
      <c r="C26" s="3"/>
      <c r="D26" s="3" t="s">
        <v>174</v>
      </c>
      <c r="E26" s="3" t="s">
        <v>175</v>
      </c>
      <c r="F26" s="3"/>
      <c r="G26" s="10"/>
      <c r="H26" s="10"/>
      <c r="I26" s="10"/>
      <c r="J26" s="3"/>
      <c r="K26" s="3"/>
      <c r="L26" s="3"/>
      <c r="M26" s="3" t="s">
        <v>1753</v>
      </c>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ht="15.75" customHeight="1" x14ac:dyDescent="0.35">
      <c r="A27" s="3"/>
      <c r="B27" s="3" t="s">
        <v>135</v>
      </c>
      <c r="C27" s="3" t="s">
        <v>1629</v>
      </c>
      <c r="D27" s="3"/>
      <c r="E27" s="3"/>
      <c r="F27" s="3"/>
      <c r="G27" s="3" t="s">
        <v>1814</v>
      </c>
      <c r="H27" s="3" t="s">
        <v>1814</v>
      </c>
      <c r="I27" s="3" t="s">
        <v>1815</v>
      </c>
      <c r="J27" s="3" t="s">
        <v>1630</v>
      </c>
      <c r="K27" s="3" t="s">
        <v>1630</v>
      </c>
      <c r="L27" s="3" t="s">
        <v>1816</v>
      </c>
      <c r="M27" s="3" t="s">
        <v>1753</v>
      </c>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5.75" customHeight="1" x14ac:dyDescent="0.35">
      <c r="A28" s="3"/>
      <c r="B28" s="3"/>
      <c r="C28" s="3" t="s">
        <v>1631</v>
      </c>
      <c r="D28" s="3"/>
      <c r="E28" s="3"/>
      <c r="F28" s="3"/>
      <c r="G28" s="3" t="s">
        <v>1817</v>
      </c>
      <c r="H28" s="3" t="s">
        <v>1818</v>
      </c>
      <c r="I28" s="3" t="s">
        <v>1818</v>
      </c>
      <c r="J28" s="3" t="s">
        <v>1632</v>
      </c>
      <c r="K28" s="3" t="s">
        <v>1632</v>
      </c>
      <c r="L28" s="3" t="s">
        <v>1819</v>
      </c>
      <c r="M28" s="3" t="s">
        <v>1753</v>
      </c>
      <c r="N28" s="3"/>
      <c r="O28" s="3"/>
      <c r="P28" s="3"/>
      <c r="Q28" s="3"/>
      <c r="R28" s="3"/>
      <c r="S28" s="3"/>
      <c r="T28" s="3"/>
      <c r="U28" s="3"/>
      <c r="V28" s="3"/>
      <c r="W28" s="3"/>
      <c r="X28" s="3"/>
      <c r="Y28" s="3"/>
      <c r="Z28" s="3"/>
      <c r="AA28" s="3"/>
      <c r="AB28" s="3"/>
      <c r="AC28" s="3"/>
      <c r="AD28" s="3"/>
      <c r="AE28" s="3"/>
      <c r="AF28" s="3"/>
      <c r="AG28" s="3"/>
      <c r="AH28" s="3"/>
      <c r="AI28" s="3"/>
      <c r="AJ28" s="3"/>
      <c r="AK28" s="3"/>
      <c r="AL28" s="3"/>
    </row>
    <row r="29" spans="1:38" ht="15.75" customHeight="1" x14ac:dyDescent="0.35">
      <c r="A29" s="3"/>
      <c r="B29" s="3"/>
      <c r="C29" s="3" t="s">
        <v>1633</v>
      </c>
      <c r="D29" s="3"/>
      <c r="E29" s="3"/>
      <c r="F29" s="3"/>
      <c r="G29" s="3" t="s">
        <v>1820</v>
      </c>
      <c r="H29" s="3" t="s">
        <v>1821</v>
      </c>
      <c r="I29" s="3" t="s">
        <v>1822</v>
      </c>
      <c r="J29" s="3" t="s">
        <v>1823</v>
      </c>
      <c r="K29" s="3" t="s">
        <v>1824</v>
      </c>
      <c r="L29" s="3" t="s">
        <v>1825</v>
      </c>
      <c r="M29" s="3" t="s">
        <v>1753</v>
      </c>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8" ht="15.75" customHeight="1" x14ac:dyDescent="0.35">
      <c r="A30" s="3"/>
      <c r="B30" s="3" t="s">
        <v>136</v>
      </c>
      <c r="C30" s="3" t="s">
        <v>1635</v>
      </c>
      <c r="D30" s="3"/>
      <c r="E30" s="3"/>
      <c r="F30" s="3"/>
      <c r="G30" s="3" t="s">
        <v>1826</v>
      </c>
      <c r="H30" s="3" t="s">
        <v>1826</v>
      </c>
      <c r="I30" s="3" t="s">
        <v>1827</v>
      </c>
      <c r="J30" s="3" t="s">
        <v>1636</v>
      </c>
      <c r="K30" s="3" t="s">
        <v>1636</v>
      </c>
      <c r="L30" s="3" t="s">
        <v>1636</v>
      </c>
      <c r="M30" s="3" t="s">
        <v>1753</v>
      </c>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8" ht="15.75" customHeight="1" x14ac:dyDescent="0.35">
      <c r="A31" s="5"/>
      <c r="B31" s="5" t="s">
        <v>137</v>
      </c>
      <c r="C31" s="5" t="s">
        <v>131</v>
      </c>
      <c r="D31" s="5"/>
      <c r="E31" s="5"/>
      <c r="F31" s="5"/>
      <c r="G31" s="10"/>
      <c r="H31" s="10"/>
      <c r="I31" s="10"/>
      <c r="J31" s="5"/>
      <c r="K31" s="5"/>
      <c r="L31" s="5"/>
      <c r="M31" s="3" t="s">
        <v>1753</v>
      </c>
      <c r="N31" s="5"/>
      <c r="O31" s="5"/>
      <c r="P31" s="5"/>
      <c r="Q31" s="5"/>
      <c r="R31" s="5"/>
      <c r="S31" s="5"/>
      <c r="T31" s="3"/>
      <c r="U31" s="3"/>
      <c r="V31" s="3"/>
      <c r="W31" s="3"/>
      <c r="X31" s="5"/>
      <c r="Y31" s="5"/>
      <c r="Z31" s="5"/>
      <c r="AA31" s="5"/>
      <c r="AB31" s="5"/>
      <c r="AC31" s="5"/>
      <c r="AD31" s="5"/>
      <c r="AE31" s="5"/>
      <c r="AF31" s="5"/>
      <c r="AG31" s="5"/>
      <c r="AH31" s="5"/>
      <c r="AI31" s="5"/>
      <c r="AJ31" s="5"/>
      <c r="AK31" s="5"/>
      <c r="AL31" s="5"/>
    </row>
    <row r="32" spans="1:38" ht="15.75" customHeight="1" x14ac:dyDescent="0.35">
      <c r="A32" s="3"/>
      <c r="B32" s="3" t="s">
        <v>138</v>
      </c>
      <c r="C32" s="3" t="s">
        <v>1629</v>
      </c>
      <c r="D32" s="3"/>
      <c r="E32" s="3"/>
      <c r="F32" s="3"/>
      <c r="G32" s="3" t="s">
        <v>1828</v>
      </c>
      <c r="H32" s="3" t="s">
        <v>1829</v>
      </c>
      <c r="I32" s="3" t="s">
        <v>1829</v>
      </c>
      <c r="J32" s="3" t="s">
        <v>1630</v>
      </c>
      <c r="K32" s="3" t="s">
        <v>1630</v>
      </c>
      <c r="L32" s="3" t="s">
        <v>1630</v>
      </c>
      <c r="M32" s="3" t="s">
        <v>1753</v>
      </c>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ht="15.75" customHeight="1" x14ac:dyDescent="0.35">
      <c r="A33" s="3"/>
      <c r="B33" s="3"/>
      <c r="C33" s="3" t="s">
        <v>1631</v>
      </c>
      <c r="D33" s="3"/>
      <c r="E33" s="3"/>
      <c r="F33" s="3"/>
      <c r="G33" s="3" t="s">
        <v>1818</v>
      </c>
      <c r="H33" s="3" t="s">
        <v>1830</v>
      </c>
      <c r="I33" s="3" t="s">
        <v>1831</v>
      </c>
      <c r="J33" s="3" t="s">
        <v>1637</v>
      </c>
      <c r="K33" s="3" t="s">
        <v>1832</v>
      </c>
      <c r="L33" s="3" t="s">
        <v>1637</v>
      </c>
      <c r="M33" s="3" t="s">
        <v>1753</v>
      </c>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8" ht="15.75" customHeight="1" x14ac:dyDescent="0.35">
      <c r="A34" s="3"/>
      <c r="B34" s="3"/>
      <c r="C34" s="3" t="s">
        <v>1638</v>
      </c>
      <c r="D34" s="3"/>
      <c r="E34" s="3"/>
      <c r="F34" s="3"/>
      <c r="G34" s="3" t="s">
        <v>1833</v>
      </c>
      <c r="H34" s="3" t="s">
        <v>1834</v>
      </c>
      <c r="I34" s="3" t="s">
        <v>1835</v>
      </c>
      <c r="J34" s="3" t="s">
        <v>1639</v>
      </c>
      <c r="K34" s="3" t="s">
        <v>1836</v>
      </c>
      <c r="L34" s="3" t="s">
        <v>1639</v>
      </c>
      <c r="M34" s="3" t="s">
        <v>1753</v>
      </c>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ht="15.75" customHeight="1" x14ac:dyDescent="0.35">
      <c r="A35" s="5"/>
      <c r="B35" s="5" t="s">
        <v>139</v>
      </c>
      <c r="C35" s="5" t="s">
        <v>131</v>
      </c>
      <c r="D35" s="5"/>
      <c r="E35" s="5"/>
      <c r="F35" s="5"/>
      <c r="G35" s="10"/>
      <c r="H35" s="10"/>
      <c r="I35" s="10"/>
      <c r="J35" s="5"/>
      <c r="K35" s="5"/>
      <c r="L35" s="5"/>
      <c r="M35" s="3" t="s">
        <v>1753</v>
      </c>
      <c r="N35" s="5"/>
      <c r="O35" s="5"/>
      <c r="P35" s="5"/>
      <c r="Q35" s="5"/>
      <c r="R35" s="5"/>
      <c r="S35" s="5"/>
      <c r="T35" s="3"/>
      <c r="U35" s="3"/>
      <c r="V35" s="3"/>
      <c r="W35" s="3"/>
      <c r="X35" s="5"/>
      <c r="Y35" s="5"/>
      <c r="Z35" s="5"/>
      <c r="AA35" s="5"/>
      <c r="AB35" s="5"/>
      <c r="AC35" s="5"/>
      <c r="AD35" s="5"/>
      <c r="AE35" s="5"/>
      <c r="AF35" s="5"/>
      <c r="AG35" s="5"/>
      <c r="AH35" s="5"/>
      <c r="AI35" s="5"/>
      <c r="AJ35" s="5"/>
      <c r="AK35" s="5"/>
      <c r="AL35" s="5"/>
    </row>
    <row r="36" spans="1:38" ht="15.75" customHeight="1" x14ac:dyDescent="0.35">
      <c r="A36" s="5"/>
      <c r="B36" s="5" t="s">
        <v>140</v>
      </c>
      <c r="C36" s="5" t="s">
        <v>131</v>
      </c>
      <c r="D36" s="5" t="s">
        <v>76</v>
      </c>
      <c r="E36" s="5" t="s">
        <v>77</v>
      </c>
      <c r="F36" s="5"/>
      <c r="G36" s="10"/>
      <c r="H36" s="10"/>
      <c r="I36" s="10"/>
      <c r="J36" s="5"/>
      <c r="K36" s="5"/>
      <c r="L36" s="5"/>
      <c r="M36" s="3" t="s">
        <v>1753</v>
      </c>
      <c r="N36" s="5"/>
      <c r="O36" s="5"/>
      <c r="P36" s="5"/>
      <c r="Q36" s="5"/>
      <c r="R36" s="5"/>
      <c r="S36" s="5"/>
      <c r="T36" s="3"/>
      <c r="U36" s="3"/>
      <c r="V36" s="3"/>
      <c r="W36" s="3"/>
      <c r="X36" s="5"/>
      <c r="Y36" s="5"/>
      <c r="Z36" s="5"/>
      <c r="AA36" s="5"/>
      <c r="AB36" s="5"/>
      <c r="AC36" s="5"/>
      <c r="AD36" s="5"/>
      <c r="AE36" s="5"/>
      <c r="AF36" s="5"/>
      <c r="AG36" s="5"/>
      <c r="AH36" s="5"/>
      <c r="AI36" s="5"/>
      <c r="AJ36" s="5"/>
      <c r="AK36" s="5"/>
      <c r="AL36" s="5"/>
    </row>
    <row r="37" spans="1:38" ht="15.75" customHeight="1" x14ac:dyDescent="0.35">
      <c r="A37" s="3"/>
      <c r="B37" s="3" t="s">
        <v>141</v>
      </c>
      <c r="C37" s="3" t="s">
        <v>777</v>
      </c>
      <c r="D37" s="3" t="s">
        <v>143</v>
      </c>
      <c r="E37" s="3" t="s">
        <v>144</v>
      </c>
      <c r="F37" s="3"/>
      <c r="G37" s="3" t="s">
        <v>1837</v>
      </c>
      <c r="H37" s="3" t="s">
        <v>1837</v>
      </c>
      <c r="I37" s="3" t="s">
        <v>1837</v>
      </c>
      <c r="J37" s="3" t="s">
        <v>1838</v>
      </c>
      <c r="K37" s="3" t="s">
        <v>1839</v>
      </c>
      <c r="L37" s="3" t="s">
        <v>1839</v>
      </c>
      <c r="M37" s="3" t="s">
        <v>1753</v>
      </c>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ht="15.75" customHeight="1" x14ac:dyDescent="0.35">
      <c r="A38" s="3"/>
      <c r="B38" s="3"/>
      <c r="C38" s="3" t="s">
        <v>779</v>
      </c>
      <c r="D38" s="3"/>
      <c r="E38" s="3"/>
      <c r="F38" s="3"/>
      <c r="G38" s="3" t="s">
        <v>1840</v>
      </c>
      <c r="H38" s="3" t="s">
        <v>1841</v>
      </c>
      <c r="I38" s="3" t="s">
        <v>1840</v>
      </c>
      <c r="J38" s="3" t="s">
        <v>1842</v>
      </c>
      <c r="K38" s="3" t="s">
        <v>1843</v>
      </c>
      <c r="L38" s="3" t="s">
        <v>1844</v>
      </c>
      <c r="M38" s="3" t="s">
        <v>1753</v>
      </c>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5.75" customHeight="1" x14ac:dyDescent="0.35">
      <c r="A39" s="3"/>
      <c r="B39" s="3"/>
      <c r="C39" s="3" t="s">
        <v>1845</v>
      </c>
      <c r="D39" s="3"/>
      <c r="E39" s="3"/>
      <c r="F39" s="3"/>
      <c r="G39" s="3" t="s">
        <v>1846</v>
      </c>
      <c r="H39" s="3" t="s">
        <v>1847</v>
      </c>
      <c r="I39" s="3" t="s">
        <v>1848</v>
      </c>
      <c r="J39" s="3" t="s">
        <v>1849</v>
      </c>
      <c r="K39" s="3" t="s">
        <v>1850</v>
      </c>
      <c r="L39" s="3" t="s">
        <v>1851</v>
      </c>
      <c r="M39" s="3" t="s">
        <v>1753</v>
      </c>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5.75" customHeight="1" x14ac:dyDescent="0.35">
      <c r="A40" s="3"/>
      <c r="B40" s="3" t="s">
        <v>162</v>
      </c>
      <c r="C40" s="3" t="s">
        <v>163</v>
      </c>
      <c r="D40" s="3"/>
      <c r="E40" s="3"/>
      <c r="F40" s="3"/>
      <c r="G40" s="3" t="s">
        <v>1852</v>
      </c>
      <c r="H40" s="3" t="s">
        <v>1853</v>
      </c>
      <c r="I40" s="3" t="s">
        <v>1854</v>
      </c>
      <c r="J40" s="3" t="s">
        <v>164</v>
      </c>
      <c r="K40" s="3" t="s">
        <v>1855</v>
      </c>
      <c r="L40" s="3" t="s">
        <v>1856</v>
      </c>
      <c r="M40" s="3" t="s">
        <v>1753</v>
      </c>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5.75" customHeight="1" x14ac:dyDescent="0.35">
      <c r="A41" s="3"/>
      <c r="B41" s="3" t="s">
        <v>168</v>
      </c>
      <c r="C41" s="3"/>
      <c r="D41" s="3" t="s">
        <v>34</v>
      </c>
      <c r="E41" s="3" t="s">
        <v>35</v>
      </c>
      <c r="F41" s="3"/>
      <c r="G41" s="10"/>
      <c r="H41" s="10"/>
      <c r="I41" s="10"/>
      <c r="J41" s="3"/>
      <c r="K41" s="3"/>
      <c r="L41" s="3"/>
      <c r="M41" s="3" t="s">
        <v>1753</v>
      </c>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5.75" customHeight="1" x14ac:dyDescent="0.35">
      <c r="A42" s="3"/>
      <c r="B42" s="3" t="s">
        <v>169</v>
      </c>
      <c r="C42" s="3"/>
      <c r="D42" s="3" t="s">
        <v>170</v>
      </c>
      <c r="E42" s="3" t="s">
        <v>171</v>
      </c>
      <c r="F42" s="3"/>
      <c r="G42" s="10"/>
      <c r="H42" s="10"/>
      <c r="I42" s="10"/>
      <c r="J42" s="3"/>
      <c r="K42" s="3"/>
      <c r="L42" s="3"/>
      <c r="M42" s="3" t="s">
        <v>1753</v>
      </c>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5.75" customHeight="1" x14ac:dyDescent="0.35">
      <c r="A43" s="3"/>
      <c r="B43" s="3" t="s">
        <v>172</v>
      </c>
      <c r="C43" s="3"/>
      <c r="D43" s="3" t="s">
        <v>34</v>
      </c>
      <c r="E43" s="3" t="s">
        <v>35</v>
      </c>
      <c r="F43" s="3"/>
      <c r="G43" s="10"/>
      <c r="H43" s="10"/>
      <c r="I43" s="10"/>
      <c r="J43" s="3"/>
      <c r="K43" s="3"/>
      <c r="L43" s="3"/>
      <c r="M43" s="3" t="s">
        <v>1753</v>
      </c>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5.75" customHeight="1" x14ac:dyDescent="0.35">
      <c r="A44" s="3"/>
      <c r="B44" s="3" t="s">
        <v>173</v>
      </c>
      <c r="C44" s="3" t="s">
        <v>777</v>
      </c>
      <c r="D44" s="3" t="s">
        <v>174</v>
      </c>
      <c r="E44" s="3" t="s">
        <v>175</v>
      </c>
      <c r="F44" s="3"/>
      <c r="G44" s="3" t="s">
        <v>1857</v>
      </c>
      <c r="H44" s="3" t="s">
        <v>1858</v>
      </c>
      <c r="I44" s="3" t="s">
        <v>1859</v>
      </c>
      <c r="J44" s="3" t="s">
        <v>1860</v>
      </c>
      <c r="K44" s="3" t="s">
        <v>1861</v>
      </c>
      <c r="L44" s="3" t="s">
        <v>1862</v>
      </c>
      <c r="M44" s="3" t="s">
        <v>1753</v>
      </c>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5.75" customHeight="1" x14ac:dyDescent="0.35">
      <c r="A45" s="3"/>
      <c r="B45" s="3"/>
      <c r="C45" s="3" t="s">
        <v>779</v>
      </c>
      <c r="D45" s="3"/>
      <c r="E45" s="3"/>
      <c r="F45" s="3"/>
      <c r="G45" s="3" t="s">
        <v>1863</v>
      </c>
      <c r="H45" s="3" t="s">
        <v>1863</v>
      </c>
      <c r="I45" s="3" t="s">
        <v>1864</v>
      </c>
      <c r="J45" s="3" t="s">
        <v>1865</v>
      </c>
      <c r="K45" s="3" t="s">
        <v>1866</v>
      </c>
      <c r="L45" s="3" t="s">
        <v>1867</v>
      </c>
      <c r="M45" s="3" t="s">
        <v>1753</v>
      </c>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5.75" customHeight="1" x14ac:dyDescent="0.35">
      <c r="A46" s="3"/>
      <c r="B46" s="3"/>
      <c r="C46" s="3" t="s">
        <v>780</v>
      </c>
      <c r="D46" s="3"/>
      <c r="E46" s="3"/>
      <c r="F46" s="3"/>
      <c r="G46" s="3" t="s">
        <v>1868</v>
      </c>
      <c r="H46" s="3" t="s">
        <v>1869</v>
      </c>
      <c r="I46" s="3" t="s">
        <v>1870</v>
      </c>
      <c r="J46" s="3" t="s">
        <v>1871</v>
      </c>
      <c r="K46" s="3" t="s">
        <v>1872</v>
      </c>
      <c r="L46" s="3" t="s">
        <v>1873</v>
      </c>
      <c r="M46" s="3" t="s">
        <v>1753</v>
      </c>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5.75" customHeight="1" x14ac:dyDescent="0.35">
      <c r="A47" s="3"/>
      <c r="B47" s="3" t="s">
        <v>188</v>
      </c>
      <c r="C47" s="3" t="s">
        <v>1105</v>
      </c>
      <c r="D47" s="3"/>
      <c r="E47" s="3"/>
      <c r="F47" s="3"/>
      <c r="G47" s="3" t="s">
        <v>1874</v>
      </c>
      <c r="H47" s="3" t="s">
        <v>1874</v>
      </c>
      <c r="I47" s="3" t="s">
        <v>1874</v>
      </c>
      <c r="J47" s="3" t="s">
        <v>1640</v>
      </c>
      <c r="K47" s="3" t="s">
        <v>1640</v>
      </c>
      <c r="L47" s="3" t="s">
        <v>1875</v>
      </c>
      <c r="M47" s="3" t="s">
        <v>1753</v>
      </c>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5.75" customHeight="1" x14ac:dyDescent="0.35">
      <c r="A48" s="5"/>
      <c r="B48" s="5" t="s">
        <v>189</v>
      </c>
      <c r="C48" s="5" t="s">
        <v>131</v>
      </c>
      <c r="D48" s="5"/>
      <c r="E48" s="5"/>
      <c r="F48" s="5"/>
      <c r="G48" s="10"/>
      <c r="H48" s="10"/>
      <c r="I48" s="10"/>
      <c r="J48" s="5"/>
      <c r="K48" s="5"/>
      <c r="L48" s="5"/>
      <c r="M48" s="3" t="s">
        <v>1753</v>
      </c>
      <c r="N48" s="5"/>
      <c r="O48" s="5"/>
      <c r="P48" s="5"/>
      <c r="Q48" s="5"/>
      <c r="R48" s="5"/>
      <c r="S48" s="5"/>
      <c r="T48" s="3"/>
      <c r="U48" s="3"/>
      <c r="V48" s="3"/>
      <c r="W48" s="3"/>
      <c r="X48" s="5"/>
      <c r="Y48" s="5"/>
      <c r="Z48" s="5"/>
      <c r="AA48" s="5"/>
      <c r="AB48" s="5"/>
      <c r="AC48" s="5"/>
      <c r="AD48" s="5"/>
      <c r="AE48" s="5"/>
      <c r="AF48" s="5"/>
      <c r="AG48" s="5"/>
      <c r="AH48" s="5"/>
      <c r="AI48" s="5"/>
      <c r="AJ48" s="5"/>
      <c r="AK48" s="5"/>
      <c r="AL48" s="5"/>
    </row>
    <row r="49" spans="1:38" ht="15.75" customHeight="1" x14ac:dyDescent="0.35">
      <c r="A49" s="5"/>
      <c r="B49" s="5" t="s">
        <v>190</v>
      </c>
      <c r="C49" s="5" t="s">
        <v>131</v>
      </c>
      <c r="D49" s="5" t="s">
        <v>191</v>
      </c>
      <c r="E49" s="5" t="s">
        <v>192</v>
      </c>
      <c r="F49" s="5"/>
      <c r="G49" s="10"/>
      <c r="H49" s="10"/>
      <c r="I49" s="10"/>
      <c r="J49" s="5"/>
      <c r="K49" s="5"/>
      <c r="L49" s="5"/>
      <c r="M49" s="3" t="s">
        <v>1753</v>
      </c>
      <c r="N49" s="5"/>
      <c r="O49" s="5"/>
      <c r="P49" s="5"/>
      <c r="Q49" s="5"/>
      <c r="R49" s="5"/>
      <c r="S49" s="5"/>
      <c r="T49" s="3"/>
      <c r="U49" s="3"/>
      <c r="V49" s="3"/>
      <c r="W49" s="3"/>
      <c r="X49" s="5"/>
      <c r="Y49" s="5"/>
      <c r="Z49" s="5"/>
      <c r="AA49" s="5"/>
      <c r="AB49" s="5"/>
      <c r="AC49" s="5"/>
      <c r="AD49" s="5"/>
      <c r="AE49" s="5"/>
      <c r="AF49" s="5"/>
      <c r="AG49" s="5"/>
      <c r="AH49" s="5"/>
      <c r="AI49" s="5"/>
      <c r="AJ49" s="5"/>
      <c r="AK49" s="5"/>
      <c r="AL49" s="5"/>
    </row>
    <row r="50" spans="1:38" ht="15.75" customHeight="1" x14ac:dyDescent="0.35">
      <c r="A50" s="3"/>
      <c r="B50" s="3"/>
      <c r="C50" s="3"/>
      <c r="D50" s="5" t="s">
        <v>193</v>
      </c>
      <c r="E50" s="5" t="s">
        <v>194</v>
      </c>
      <c r="F50" s="3"/>
      <c r="G50" s="10"/>
      <c r="H50" s="10"/>
      <c r="I50" s="10"/>
      <c r="J50" s="3"/>
      <c r="K50" s="3"/>
      <c r="L50" s="3"/>
      <c r="M50" s="3" t="s">
        <v>1753</v>
      </c>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5.75" customHeight="1" x14ac:dyDescent="0.35">
      <c r="A51" s="3"/>
      <c r="B51" s="3" t="s">
        <v>195</v>
      </c>
      <c r="C51" s="3" t="s">
        <v>131</v>
      </c>
      <c r="D51" s="3"/>
      <c r="E51" s="3"/>
      <c r="F51" s="3"/>
      <c r="G51" s="3" t="s">
        <v>1876</v>
      </c>
      <c r="H51" s="3" t="s">
        <v>1876</v>
      </c>
      <c r="I51" s="3" t="s">
        <v>1876</v>
      </c>
      <c r="J51" s="3" t="s">
        <v>196</v>
      </c>
      <c r="K51" s="3" t="s">
        <v>196</v>
      </c>
      <c r="L51" s="3" t="s">
        <v>196</v>
      </c>
      <c r="M51" s="3" t="s">
        <v>1753</v>
      </c>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5.75" customHeight="1" x14ac:dyDescent="0.35">
      <c r="A52" s="3"/>
      <c r="B52" s="3"/>
      <c r="C52" s="3" t="s">
        <v>197</v>
      </c>
      <c r="D52" s="3"/>
      <c r="E52" s="3"/>
      <c r="F52" s="3"/>
      <c r="G52" s="3" t="s">
        <v>1877</v>
      </c>
      <c r="H52" s="3" t="s">
        <v>1877</v>
      </c>
      <c r="I52" s="3" t="s">
        <v>1877</v>
      </c>
      <c r="J52" s="3" t="s">
        <v>198</v>
      </c>
      <c r="K52" s="3" t="s">
        <v>198</v>
      </c>
      <c r="L52" s="3" t="s">
        <v>198</v>
      </c>
      <c r="M52" s="3" t="s">
        <v>1753</v>
      </c>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75" customHeight="1" x14ac:dyDescent="0.35">
      <c r="A53" s="3"/>
      <c r="B53" s="3"/>
      <c r="C53" s="3" t="s">
        <v>200</v>
      </c>
      <c r="D53" s="3"/>
      <c r="E53" s="3"/>
      <c r="F53" s="3"/>
      <c r="G53" s="3" t="s">
        <v>1878</v>
      </c>
      <c r="H53" s="3" t="s">
        <v>1879</v>
      </c>
      <c r="I53" s="3" t="s">
        <v>1879</v>
      </c>
      <c r="J53" s="3" t="s">
        <v>201</v>
      </c>
      <c r="K53" s="3" t="s">
        <v>1880</v>
      </c>
      <c r="L53" s="3" t="s">
        <v>1881</v>
      </c>
      <c r="M53" s="3" t="s">
        <v>1753</v>
      </c>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5.75" customHeight="1" x14ac:dyDescent="0.35">
      <c r="A54" s="3"/>
      <c r="B54" s="3" t="s">
        <v>206</v>
      </c>
      <c r="C54" s="3" t="s">
        <v>1641</v>
      </c>
      <c r="D54" s="3" t="s">
        <v>208</v>
      </c>
      <c r="E54" s="3" t="s">
        <v>209</v>
      </c>
      <c r="F54" s="3"/>
      <c r="G54" s="3" t="s">
        <v>1882</v>
      </c>
      <c r="H54" s="3" t="s">
        <v>1882</v>
      </c>
      <c r="I54" s="3" t="s">
        <v>1882</v>
      </c>
      <c r="J54" s="3" t="s">
        <v>1642</v>
      </c>
      <c r="K54" s="3" t="s">
        <v>1883</v>
      </c>
      <c r="L54" s="3" t="s">
        <v>1884</v>
      </c>
      <c r="M54" s="3" t="s">
        <v>1753</v>
      </c>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5.75" customHeight="1" x14ac:dyDescent="0.35">
      <c r="A55" s="3"/>
      <c r="B55" s="3"/>
      <c r="C55" s="3"/>
      <c r="D55" s="3"/>
      <c r="E55" s="3"/>
      <c r="F55" s="3"/>
      <c r="G55" s="10"/>
      <c r="H55" s="10"/>
      <c r="I55" s="10"/>
      <c r="J55" s="3"/>
      <c r="K55" s="3"/>
      <c r="L55" s="3"/>
      <c r="M55" s="3" t="s">
        <v>1753</v>
      </c>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5.75" customHeight="1" x14ac:dyDescent="0.35">
      <c r="A56" s="3" t="s">
        <v>211</v>
      </c>
      <c r="B56" s="3" t="s">
        <v>212</v>
      </c>
      <c r="C56" s="3" t="s">
        <v>25</v>
      </c>
      <c r="D56" s="3"/>
      <c r="E56" s="3"/>
      <c r="F56" s="3"/>
      <c r="G56" s="3" t="s">
        <v>1885</v>
      </c>
      <c r="H56" s="3" t="s">
        <v>1885</v>
      </c>
      <c r="I56" s="3" t="s">
        <v>1886</v>
      </c>
      <c r="J56" s="3" t="s">
        <v>213</v>
      </c>
      <c r="K56" s="3" t="s">
        <v>213</v>
      </c>
      <c r="L56" s="3" t="s">
        <v>213</v>
      </c>
      <c r="M56" s="3" t="s">
        <v>1753</v>
      </c>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5.75" customHeight="1" x14ac:dyDescent="0.35">
      <c r="A57" s="3"/>
      <c r="B57" s="3"/>
      <c r="C57" s="3" t="s">
        <v>29</v>
      </c>
      <c r="D57" s="3"/>
      <c r="E57" s="3"/>
      <c r="F57" s="3"/>
      <c r="G57" s="3" t="s">
        <v>1887</v>
      </c>
      <c r="H57" s="3" t="s">
        <v>1887</v>
      </c>
      <c r="I57" s="3" t="s">
        <v>1887</v>
      </c>
      <c r="J57" s="3" t="s">
        <v>214</v>
      </c>
      <c r="K57" s="3" t="s">
        <v>1888</v>
      </c>
      <c r="L57" s="3" t="s">
        <v>1888</v>
      </c>
      <c r="M57" s="3" t="s">
        <v>1753</v>
      </c>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5.75" customHeight="1" x14ac:dyDescent="0.35">
      <c r="A58" s="3"/>
      <c r="B58" s="3" t="s">
        <v>215</v>
      </c>
      <c r="C58" s="3" t="s">
        <v>33</v>
      </c>
      <c r="D58" s="3" t="s">
        <v>34</v>
      </c>
      <c r="E58" s="3" t="s">
        <v>35</v>
      </c>
      <c r="F58" s="3"/>
      <c r="G58" s="3" t="s">
        <v>1889</v>
      </c>
      <c r="H58" s="3" t="s">
        <v>1889</v>
      </c>
      <c r="I58" s="3" t="s">
        <v>1890</v>
      </c>
      <c r="J58" s="3" t="s">
        <v>216</v>
      </c>
      <c r="K58" s="3" t="s">
        <v>1891</v>
      </c>
      <c r="L58" s="3" t="s">
        <v>1891</v>
      </c>
      <c r="M58" s="3" t="s">
        <v>1753</v>
      </c>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5.75" customHeight="1" x14ac:dyDescent="0.35">
      <c r="A59" s="3"/>
      <c r="B59" s="3" t="s">
        <v>218</v>
      </c>
      <c r="C59" s="3" t="s">
        <v>25</v>
      </c>
      <c r="D59" s="3"/>
      <c r="E59" s="3"/>
      <c r="F59" s="3"/>
      <c r="G59" s="3" t="s">
        <v>1885</v>
      </c>
      <c r="H59" s="3" t="s">
        <v>1885</v>
      </c>
      <c r="I59" s="3" t="s">
        <v>1885</v>
      </c>
      <c r="J59" s="3" t="s">
        <v>219</v>
      </c>
      <c r="K59" s="3" t="s">
        <v>1886</v>
      </c>
      <c r="L59" s="3" t="s">
        <v>213</v>
      </c>
      <c r="M59" s="3" t="s">
        <v>1753</v>
      </c>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5.75" customHeight="1" x14ac:dyDescent="0.35">
      <c r="A60" s="3"/>
      <c r="B60" s="3"/>
      <c r="C60" s="3" t="s">
        <v>29</v>
      </c>
      <c r="D60" s="3"/>
      <c r="E60" s="3"/>
      <c r="F60" s="3"/>
      <c r="G60" s="3" t="s">
        <v>1887</v>
      </c>
      <c r="H60" s="3" t="s">
        <v>1887</v>
      </c>
      <c r="I60" s="3" t="s">
        <v>1887</v>
      </c>
      <c r="J60" s="3" t="s">
        <v>220</v>
      </c>
      <c r="K60" s="3" t="s">
        <v>220</v>
      </c>
      <c r="L60" s="3" t="s">
        <v>1892</v>
      </c>
      <c r="M60" s="3" t="s">
        <v>1753</v>
      </c>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5.75" customHeight="1" x14ac:dyDescent="0.35">
      <c r="A61" s="3"/>
      <c r="B61" s="3" t="s">
        <v>60</v>
      </c>
      <c r="C61" s="3" t="s">
        <v>221</v>
      </c>
      <c r="D61" s="3" t="s">
        <v>222</v>
      </c>
      <c r="E61" s="3" t="s">
        <v>223</v>
      </c>
      <c r="F61" s="3"/>
      <c r="G61" s="3" t="s">
        <v>1893</v>
      </c>
      <c r="H61" s="3" t="s">
        <v>1894</v>
      </c>
      <c r="I61" s="3" t="s">
        <v>1895</v>
      </c>
      <c r="J61" s="3" t="s">
        <v>224</v>
      </c>
      <c r="K61" s="3" t="s">
        <v>224</v>
      </c>
      <c r="L61" s="3" t="s">
        <v>224</v>
      </c>
      <c r="M61" s="3" t="s">
        <v>1753</v>
      </c>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5.75" customHeight="1" x14ac:dyDescent="0.35">
      <c r="A62" s="3"/>
      <c r="B62" s="3"/>
      <c r="C62" s="3" t="s">
        <v>226</v>
      </c>
      <c r="D62" s="3"/>
      <c r="E62" s="3"/>
      <c r="F62" s="3"/>
      <c r="G62" s="3" t="s">
        <v>1896</v>
      </c>
      <c r="H62" s="3" t="s">
        <v>1896</v>
      </c>
      <c r="I62" s="3" t="s">
        <v>1896</v>
      </c>
      <c r="J62" s="3" t="s">
        <v>227</v>
      </c>
      <c r="K62" s="3" t="s">
        <v>248</v>
      </c>
      <c r="L62" s="3" t="s">
        <v>248</v>
      </c>
      <c r="M62" s="3" t="s">
        <v>1753</v>
      </c>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5.75" customHeight="1" x14ac:dyDescent="0.35">
      <c r="A63" s="3"/>
      <c r="B63" s="3" t="s">
        <v>230</v>
      </c>
      <c r="C63" s="3" t="s">
        <v>221</v>
      </c>
      <c r="D63" s="3" t="s">
        <v>222</v>
      </c>
      <c r="E63" s="3" t="s">
        <v>223</v>
      </c>
      <c r="F63" s="3"/>
      <c r="G63" s="3" t="s">
        <v>1897</v>
      </c>
      <c r="H63" s="3" t="s">
        <v>1898</v>
      </c>
      <c r="I63" s="3" t="s">
        <v>1899</v>
      </c>
      <c r="J63" s="3" t="s">
        <v>224</v>
      </c>
      <c r="K63" s="3" t="s">
        <v>250</v>
      </c>
      <c r="L63" s="3" t="s">
        <v>1900</v>
      </c>
      <c r="M63" s="3" t="s">
        <v>1753</v>
      </c>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5.75" customHeight="1" x14ac:dyDescent="0.35">
      <c r="A64" s="3"/>
      <c r="B64" s="3" t="s">
        <v>232</v>
      </c>
      <c r="C64" s="3" t="s">
        <v>221</v>
      </c>
      <c r="D64" s="3" t="s">
        <v>222</v>
      </c>
      <c r="E64" s="3" t="s">
        <v>223</v>
      </c>
      <c r="F64" s="3"/>
      <c r="G64" s="3" t="s">
        <v>1901</v>
      </c>
      <c r="H64" s="3" t="s">
        <v>1902</v>
      </c>
      <c r="I64" s="3" t="s">
        <v>1903</v>
      </c>
      <c r="J64" s="3" t="s">
        <v>224</v>
      </c>
      <c r="K64" s="3" t="s">
        <v>1904</v>
      </c>
      <c r="L64" s="3" t="s">
        <v>1904</v>
      </c>
      <c r="M64" s="3" t="s">
        <v>1753</v>
      </c>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5.75" customHeight="1" x14ac:dyDescent="0.35">
      <c r="A65" s="3"/>
      <c r="B65" s="3" t="s">
        <v>105</v>
      </c>
      <c r="C65" s="3" t="s">
        <v>25</v>
      </c>
      <c r="D65" s="3"/>
      <c r="E65" s="3"/>
      <c r="F65" s="3"/>
      <c r="G65" s="3" t="s">
        <v>1905</v>
      </c>
      <c r="H65" s="3" t="s">
        <v>1905</v>
      </c>
      <c r="I65" s="3" t="s">
        <v>1905</v>
      </c>
      <c r="J65" s="3" t="s">
        <v>233</v>
      </c>
      <c r="K65" s="3" t="s">
        <v>1906</v>
      </c>
      <c r="L65" s="3" t="s">
        <v>233</v>
      </c>
      <c r="M65" s="3" t="s">
        <v>1753</v>
      </c>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5.75" customHeight="1" x14ac:dyDescent="0.35">
      <c r="A66" s="3"/>
      <c r="B66" s="3"/>
      <c r="C66" s="3" t="s">
        <v>29</v>
      </c>
      <c r="D66" s="3"/>
      <c r="E66" s="3"/>
      <c r="F66" s="3"/>
      <c r="G66" s="3" t="s">
        <v>1907</v>
      </c>
      <c r="H66" s="3" t="s">
        <v>1908</v>
      </c>
      <c r="I66" s="3" t="s">
        <v>1908</v>
      </c>
      <c r="J66" s="3" t="s">
        <v>234</v>
      </c>
      <c r="K66" s="3" t="s">
        <v>1909</v>
      </c>
      <c r="L66" s="3" t="s">
        <v>234</v>
      </c>
      <c r="M66" s="3" t="s">
        <v>1753</v>
      </c>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5.75" customHeight="1" x14ac:dyDescent="0.35">
      <c r="A67" s="3"/>
      <c r="B67" s="3" t="s">
        <v>108</v>
      </c>
      <c r="C67" s="3" t="s">
        <v>109</v>
      </c>
      <c r="D67" s="3"/>
      <c r="E67" s="3"/>
      <c r="F67" s="3"/>
      <c r="G67" s="3" t="s">
        <v>1910</v>
      </c>
      <c r="H67" s="3" t="s">
        <v>1911</v>
      </c>
      <c r="I67" s="3" t="s">
        <v>1910</v>
      </c>
      <c r="J67" s="3" t="s">
        <v>235</v>
      </c>
      <c r="K67" s="3" t="s">
        <v>1912</v>
      </c>
      <c r="L67" s="3" t="s">
        <v>1913</v>
      </c>
      <c r="M67" s="3" t="s">
        <v>1753</v>
      </c>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5.75" customHeight="1" x14ac:dyDescent="0.35">
      <c r="A68" s="3"/>
      <c r="B68" s="3"/>
      <c r="C68" s="3" t="s">
        <v>237</v>
      </c>
      <c r="D68" s="3"/>
      <c r="E68" s="3"/>
      <c r="F68" s="3"/>
      <c r="G68" s="3" t="s">
        <v>1914</v>
      </c>
      <c r="H68" s="3" t="s">
        <v>1915</v>
      </c>
      <c r="I68" s="3" t="s">
        <v>1915</v>
      </c>
      <c r="J68" s="3" t="s">
        <v>238</v>
      </c>
      <c r="K68" s="3" t="s">
        <v>238</v>
      </c>
      <c r="L68" s="3" t="s">
        <v>238</v>
      </c>
      <c r="M68" s="3" t="s">
        <v>1753</v>
      </c>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5.75" customHeight="1" x14ac:dyDescent="0.35">
      <c r="A69" s="3"/>
      <c r="B69" s="3"/>
      <c r="C69" s="3" t="s">
        <v>131</v>
      </c>
      <c r="D69" s="3"/>
      <c r="E69" s="3"/>
      <c r="F69" s="3"/>
      <c r="G69" s="3" t="s">
        <v>1916</v>
      </c>
      <c r="H69" s="3" t="s">
        <v>1917</v>
      </c>
      <c r="I69" s="3" t="s">
        <v>1918</v>
      </c>
      <c r="J69" s="3" t="s">
        <v>241</v>
      </c>
      <c r="K69" s="3" t="s">
        <v>1919</v>
      </c>
      <c r="L69" s="3" t="s">
        <v>241</v>
      </c>
      <c r="M69" s="3" t="s">
        <v>1753</v>
      </c>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75" customHeight="1" x14ac:dyDescent="0.35">
      <c r="A70" s="5"/>
      <c r="B70" s="5" t="s">
        <v>242</v>
      </c>
      <c r="C70" s="5" t="s">
        <v>131</v>
      </c>
      <c r="D70" s="5"/>
      <c r="E70" s="5"/>
      <c r="F70" s="5"/>
      <c r="G70" s="10"/>
      <c r="H70" s="10"/>
      <c r="I70" s="10"/>
      <c r="J70" s="5"/>
      <c r="K70" s="5"/>
      <c r="L70" s="5"/>
      <c r="M70" s="3" t="s">
        <v>1753</v>
      </c>
      <c r="N70" s="5"/>
      <c r="O70" s="5"/>
      <c r="P70" s="5"/>
      <c r="Q70" s="5"/>
      <c r="R70" s="5"/>
      <c r="S70" s="5"/>
      <c r="T70" s="3"/>
      <c r="U70" s="3"/>
      <c r="V70" s="3"/>
      <c r="W70" s="3"/>
      <c r="X70" s="5"/>
      <c r="Y70" s="5"/>
      <c r="Z70" s="5"/>
      <c r="AA70" s="5"/>
      <c r="AB70" s="5"/>
      <c r="AC70" s="5"/>
      <c r="AD70" s="5"/>
      <c r="AE70" s="5"/>
      <c r="AF70" s="5"/>
      <c r="AG70" s="5"/>
      <c r="AH70" s="5"/>
      <c r="AI70" s="5"/>
      <c r="AJ70" s="5"/>
      <c r="AK70" s="5"/>
      <c r="AL70" s="5"/>
    </row>
    <row r="71" spans="1:38" ht="15.75" customHeight="1" x14ac:dyDescent="0.35">
      <c r="A71" s="3"/>
      <c r="B71" s="3" t="s">
        <v>243</v>
      </c>
      <c r="C71" s="3"/>
      <c r="D71" s="3" t="s">
        <v>265</v>
      </c>
      <c r="E71" s="3" t="s">
        <v>266</v>
      </c>
      <c r="F71" s="3"/>
      <c r="G71" s="10"/>
      <c r="H71" s="10"/>
      <c r="I71" s="10"/>
      <c r="J71" s="3"/>
      <c r="K71" s="3"/>
      <c r="L71" s="3"/>
      <c r="M71" s="3" t="s">
        <v>1753</v>
      </c>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5.75" customHeight="1" x14ac:dyDescent="0.35">
      <c r="A72" s="3"/>
      <c r="B72" s="3" t="s">
        <v>244</v>
      </c>
      <c r="C72" s="3"/>
      <c r="D72" s="3" t="s">
        <v>265</v>
      </c>
      <c r="E72" s="3" t="s">
        <v>266</v>
      </c>
      <c r="F72" s="3"/>
      <c r="G72" s="10"/>
      <c r="H72" s="10"/>
      <c r="I72" s="10"/>
      <c r="J72" s="3"/>
      <c r="K72" s="3"/>
      <c r="L72" s="3"/>
      <c r="M72" s="3" t="s">
        <v>1753</v>
      </c>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5.75" customHeight="1" x14ac:dyDescent="0.35">
      <c r="A73" s="3"/>
      <c r="B73" s="3" t="s">
        <v>245</v>
      </c>
      <c r="C73" s="3"/>
      <c r="D73" s="3" t="s">
        <v>265</v>
      </c>
      <c r="E73" s="3" t="s">
        <v>266</v>
      </c>
      <c r="F73" s="3"/>
      <c r="G73" s="10"/>
      <c r="H73" s="10"/>
      <c r="I73" s="10"/>
      <c r="J73" s="3"/>
      <c r="K73" s="3"/>
      <c r="L73" s="3"/>
      <c r="M73" s="3" t="s">
        <v>1753</v>
      </c>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5.75" customHeight="1" x14ac:dyDescent="0.35">
      <c r="A74" s="3"/>
      <c r="B74" s="3" t="s">
        <v>136</v>
      </c>
      <c r="C74" s="3" t="s">
        <v>1635</v>
      </c>
      <c r="D74" s="3"/>
      <c r="E74" s="3"/>
      <c r="F74" s="3"/>
      <c r="G74" s="3" t="s">
        <v>1920</v>
      </c>
      <c r="H74" s="3" t="s">
        <v>1920</v>
      </c>
      <c r="I74" s="3" t="s">
        <v>1920</v>
      </c>
      <c r="J74" s="3" t="s">
        <v>1643</v>
      </c>
      <c r="K74" s="3" t="s">
        <v>1643</v>
      </c>
      <c r="L74" s="3" t="s">
        <v>1643</v>
      </c>
      <c r="M74" s="3" t="s">
        <v>1753</v>
      </c>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5.75" customHeight="1" x14ac:dyDescent="0.35">
      <c r="A75" s="5"/>
      <c r="B75" s="5" t="s">
        <v>137</v>
      </c>
      <c r="C75" s="5" t="s">
        <v>131</v>
      </c>
      <c r="D75" s="5"/>
      <c r="E75" s="5"/>
      <c r="F75" s="5"/>
      <c r="G75" s="10"/>
      <c r="H75" s="10"/>
      <c r="I75" s="10"/>
      <c r="J75" s="5"/>
      <c r="K75" s="5"/>
      <c r="L75" s="5"/>
      <c r="M75" s="3" t="s">
        <v>1753</v>
      </c>
      <c r="N75" s="5"/>
      <c r="O75" s="5"/>
      <c r="P75" s="5"/>
      <c r="Q75" s="5"/>
      <c r="R75" s="5"/>
      <c r="S75" s="5"/>
      <c r="T75" s="3"/>
      <c r="U75" s="3"/>
      <c r="V75" s="3"/>
      <c r="W75" s="3"/>
      <c r="X75" s="5"/>
      <c r="Y75" s="5"/>
      <c r="Z75" s="5"/>
      <c r="AA75" s="5"/>
      <c r="AB75" s="5"/>
      <c r="AC75" s="5"/>
      <c r="AD75" s="5"/>
      <c r="AE75" s="5"/>
      <c r="AF75" s="5"/>
      <c r="AG75" s="5"/>
      <c r="AH75" s="5"/>
      <c r="AI75" s="5"/>
      <c r="AJ75" s="5"/>
      <c r="AK75" s="5"/>
      <c r="AL75" s="5"/>
    </row>
    <row r="76" spans="1:38" ht="15.75" customHeight="1" x14ac:dyDescent="0.35">
      <c r="A76" s="3"/>
      <c r="B76" s="3" t="s">
        <v>246</v>
      </c>
      <c r="C76" s="3" t="s">
        <v>221</v>
      </c>
      <c r="D76" s="3" t="s">
        <v>222</v>
      </c>
      <c r="E76" s="3" t="s">
        <v>223</v>
      </c>
      <c r="F76" s="3"/>
      <c r="G76" s="3" t="s">
        <v>1921</v>
      </c>
      <c r="H76" s="3" t="s">
        <v>1921</v>
      </c>
      <c r="I76" s="3" t="s">
        <v>1922</v>
      </c>
      <c r="J76" s="3" t="s">
        <v>224</v>
      </c>
      <c r="K76" s="3" t="s">
        <v>224</v>
      </c>
      <c r="L76" s="3" t="s">
        <v>224</v>
      </c>
      <c r="M76" s="3" t="s">
        <v>1753</v>
      </c>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5.75" customHeight="1" x14ac:dyDescent="0.35">
      <c r="A77" s="3"/>
      <c r="B77" s="3"/>
      <c r="C77" s="3" t="s">
        <v>247</v>
      </c>
      <c r="D77" s="3"/>
      <c r="E77" s="3"/>
      <c r="F77" s="3"/>
      <c r="G77" s="3" t="s">
        <v>1896</v>
      </c>
      <c r="H77" s="3" t="s">
        <v>1896</v>
      </c>
      <c r="I77" s="3" t="s">
        <v>1896</v>
      </c>
      <c r="J77" s="3" t="s">
        <v>248</v>
      </c>
      <c r="K77" s="3" t="s">
        <v>248</v>
      </c>
      <c r="L77" s="3" t="s">
        <v>1923</v>
      </c>
      <c r="M77" s="3" t="s">
        <v>1753</v>
      </c>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5.75" customHeight="1" x14ac:dyDescent="0.35">
      <c r="A78" s="3"/>
      <c r="B78" s="3" t="s">
        <v>249</v>
      </c>
      <c r="C78" s="3" t="s">
        <v>221</v>
      </c>
      <c r="D78" s="3" t="s">
        <v>222</v>
      </c>
      <c r="E78" s="3" t="s">
        <v>223</v>
      </c>
      <c r="F78" s="3"/>
      <c r="G78" s="3" t="s">
        <v>1924</v>
      </c>
      <c r="H78" s="3" t="s">
        <v>1924</v>
      </c>
      <c r="I78" s="3" t="s">
        <v>1924</v>
      </c>
      <c r="J78" s="3" t="s">
        <v>250</v>
      </c>
      <c r="K78" s="3" t="s">
        <v>250</v>
      </c>
      <c r="L78" s="3" t="s">
        <v>1925</v>
      </c>
      <c r="M78" s="3" t="s">
        <v>1753</v>
      </c>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5.75" customHeight="1" x14ac:dyDescent="0.35">
      <c r="A79" s="3"/>
      <c r="B79" s="3"/>
      <c r="C79" s="3" t="s">
        <v>247</v>
      </c>
      <c r="D79" s="3"/>
      <c r="E79" s="3"/>
      <c r="F79" s="3"/>
      <c r="G79" s="3" t="s">
        <v>1896</v>
      </c>
      <c r="H79" s="3" t="s">
        <v>1896</v>
      </c>
      <c r="I79" s="3" t="s">
        <v>1896</v>
      </c>
      <c r="J79" s="3" t="s">
        <v>248</v>
      </c>
      <c r="K79" s="3" t="s">
        <v>248</v>
      </c>
      <c r="L79" s="3" t="s">
        <v>248</v>
      </c>
      <c r="M79" s="3" t="s">
        <v>1753</v>
      </c>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5.75" customHeight="1" x14ac:dyDescent="0.35">
      <c r="A80" s="3"/>
      <c r="B80" s="3" t="s">
        <v>253</v>
      </c>
      <c r="C80" s="3" t="s">
        <v>221</v>
      </c>
      <c r="D80" s="3" t="s">
        <v>222</v>
      </c>
      <c r="E80" s="3" t="s">
        <v>223</v>
      </c>
      <c r="F80" s="3"/>
      <c r="G80" s="3" t="s">
        <v>1893</v>
      </c>
      <c r="H80" s="3" t="s">
        <v>1899</v>
      </c>
      <c r="I80" s="3" t="s">
        <v>1899</v>
      </c>
      <c r="J80" s="3" t="s">
        <v>224</v>
      </c>
      <c r="K80" s="3" t="s">
        <v>224</v>
      </c>
      <c r="L80" s="3" t="s">
        <v>224</v>
      </c>
      <c r="M80" s="3" t="s">
        <v>1753</v>
      </c>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5.75" customHeight="1" x14ac:dyDescent="0.35">
      <c r="A81" s="3"/>
      <c r="B81" s="3"/>
      <c r="C81" s="3" t="s">
        <v>247</v>
      </c>
      <c r="D81" s="3"/>
      <c r="E81" s="3"/>
      <c r="F81" s="3"/>
      <c r="G81" s="3" t="s">
        <v>1926</v>
      </c>
      <c r="H81" s="3" t="s">
        <v>1896</v>
      </c>
      <c r="I81" s="3" t="s">
        <v>1896</v>
      </c>
      <c r="J81" s="3" t="s">
        <v>248</v>
      </c>
      <c r="K81" s="3" t="s">
        <v>1927</v>
      </c>
      <c r="L81" s="3" t="s">
        <v>248</v>
      </c>
      <c r="M81" s="3" t="s">
        <v>1753</v>
      </c>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5.75" customHeight="1" x14ac:dyDescent="0.35">
      <c r="A82" s="3"/>
      <c r="B82" s="3" t="s">
        <v>254</v>
      </c>
      <c r="C82" s="3" t="s">
        <v>1644</v>
      </c>
      <c r="D82" s="3"/>
      <c r="E82" s="3"/>
      <c r="F82" s="3"/>
      <c r="G82" s="3" t="s">
        <v>1928</v>
      </c>
      <c r="H82" s="3" t="s">
        <v>1929</v>
      </c>
      <c r="I82" s="3" t="s">
        <v>1929</v>
      </c>
      <c r="J82" s="3" t="s">
        <v>1645</v>
      </c>
      <c r="K82" s="3" t="s">
        <v>1645</v>
      </c>
      <c r="L82" s="3" t="s">
        <v>1645</v>
      </c>
      <c r="M82" s="3" t="s">
        <v>1753</v>
      </c>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5.75" customHeight="1" x14ac:dyDescent="0.35">
      <c r="A83" s="3"/>
      <c r="B83" s="3" t="s">
        <v>255</v>
      </c>
      <c r="C83" s="3" t="s">
        <v>1644</v>
      </c>
      <c r="D83" s="3"/>
      <c r="E83" s="3"/>
      <c r="F83" s="3"/>
      <c r="G83" s="3" t="s">
        <v>1929</v>
      </c>
      <c r="H83" s="3" t="s">
        <v>1929</v>
      </c>
      <c r="I83" s="3" t="s">
        <v>1929</v>
      </c>
      <c r="J83" s="3" t="s">
        <v>1645</v>
      </c>
      <c r="K83" s="3" t="s">
        <v>1645</v>
      </c>
      <c r="L83" s="3" t="s">
        <v>1645</v>
      </c>
      <c r="M83" s="3" t="s">
        <v>1753</v>
      </c>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5.75" customHeight="1" x14ac:dyDescent="0.35">
      <c r="A84" s="3"/>
      <c r="B84" s="3" t="s">
        <v>256</v>
      </c>
      <c r="C84" s="3" t="s">
        <v>1644</v>
      </c>
      <c r="D84" s="3"/>
      <c r="E84" s="3"/>
      <c r="F84" s="3"/>
      <c r="G84" s="3" t="s">
        <v>1929</v>
      </c>
      <c r="H84" s="3" t="s">
        <v>1929</v>
      </c>
      <c r="I84" s="3" t="s">
        <v>1929</v>
      </c>
      <c r="J84" s="3" t="s">
        <v>1645</v>
      </c>
      <c r="K84" s="3" t="s">
        <v>1645</v>
      </c>
      <c r="L84" s="3" t="s">
        <v>1645</v>
      </c>
      <c r="M84" s="3" t="s">
        <v>1753</v>
      </c>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75" customHeight="1" x14ac:dyDescent="0.35">
      <c r="A85" s="3"/>
      <c r="B85" s="3" t="s">
        <v>257</v>
      </c>
      <c r="C85" s="3" t="s">
        <v>1644</v>
      </c>
      <c r="D85" s="3"/>
      <c r="E85" s="3"/>
      <c r="F85" s="3"/>
      <c r="G85" s="3" t="s">
        <v>1929</v>
      </c>
      <c r="H85" s="3" t="s">
        <v>1928</v>
      </c>
      <c r="I85" s="3" t="s">
        <v>1928</v>
      </c>
      <c r="J85" s="3" t="s">
        <v>1645</v>
      </c>
      <c r="K85" s="3" t="s">
        <v>1645</v>
      </c>
      <c r="L85" s="3" t="s">
        <v>1645</v>
      </c>
      <c r="M85" s="3" t="s">
        <v>1753</v>
      </c>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5.75" customHeight="1" x14ac:dyDescent="0.35">
      <c r="A86" s="3"/>
      <c r="B86" s="3" t="s">
        <v>261</v>
      </c>
      <c r="C86" s="3" t="s">
        <v>1644</v>
      </c>
      <c r="D86" s="3"/>
      <c r="E86" s="3"/>
      <c r="F86" s="3"/>
      <c r="G86" s="3" t="s">
        <v>1929</v>
      </c>
      <c r="H86" s="3" t="s">
        <v>1929</v>
      </c>
      <c r="I86" s="3" t="s">
        <v>1929</v>
      </c>
      <c r="J86" s="3" t="s">
        <v>1645</v>
      </c>
      <c r="K86" s="3" t="s">
        <v>1645</v>
      </c>
      <c r="L86" s="3" t="s">
        <v>1645</v>
      </c>
      <c r="M86" s="3" t="s">
        <v>1753</v>
      </c>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5.75" customHeight="1" x14ac:dyDescent="0.35">
      <c r="A87" s="3"/>
      <c r="B87" s="3" t="s">
        <v>263</v>
      </c>
      <c r="C87" s="3" t="s">
        <v>1644</v>
      </c>
      <c r="D87" s="3"/>
      <c r="E87" s="3"/>
      <c r="F87" s="3"/>
      <c r="G87" s="3" t="s">
        <v>1929</v>
      </c>
      <c r="H87" s="3" t="s">
        <v>1929</v>
      </c>
      <c r="I87" s="3" t="s">
        <v>1929</v>
      </c>
      <c r="J87" s="3" t="s">
        <v>1645</v>
      </c>
      <c r="K87" s="3" t="s">
        <v>1645</v>
      </c>
      <c r="L87" s="3" t="s">
        <v>1645</v>
      </c>
      <c r="M87" s="3" t="s">
        <v>1753</v>
      </c>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5.75" customHeight="1" x14ac:dyDescent="0.35">
      <c r="A88" s="3"/>
      <c r="B88" s="3" t="s">
        <v>264</v>
      </c>
      <c r="C88" s="3"/>
      <c r="D88" s="3" t="s">
        <v>265</v>
      </c>
      <c r="E88" s="3" t="s">
        <v>266</v>
      </c>
      <c r="F88" s="3"/>
      <c r="G88" s="10"/>
      <c r="H88" s="10"/>
      <c r="I88" s="10"/>
      <c r="J88" s="3"/>
      <c r="K88" s="3"/>
      <c r="L88" s="3"/>
      <c r="M88" s="3" t="s">
        <v>1753</v>
      </c>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5.75" customHeight="1" x14ac:dyDescent="0.35">
      <c r="A89" s="3"/>
      <c r="B89" s="3" t="s">
        <v>267</v>
      </c>
      <c r="C89" s="3" t="s">
        <v>221</v>
      </c>
      <c r="D89" s="3" t="s">
        <v>222</v>
      </c>
      <c r="E89" s="3" t="s">
        <v>223</v>
      </c>
      <c r="F89" s="3"/>
      <c r="G89" s="3" t="s">
        <v>1930</v>
      </c>
      <c r="H89" s="3" t="s">
        <v>1931</v>
      </c>
      <c r="I89" s="3" t="s">
        <v>1931</v>
      </c>
      <c r="J89" s="3" t="s">
        <v>250</v>
      </c>
      <c r="K89" s="3" t="s">
        <v>224</v>
      </c>
      <c r="L89" s="3" t="s">
        <v>250</v>
      </c>
      <c r="M89" s="3" t="s">
        <v>1753</v>
      </c>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5.75" customHeight="1" x14ac:dyDescent="0.35">
      <c r="A90" s="3"/>
      <c r="B90" s="3" t="s">
        <v>268</v>
      </c>
      <c r="C90" s="3"/>
      <c r="D90" s="3" t="s">
        <v>265</v>
      </c>
      <c r="E90" s="3" t="s">
        <v>266</v>
      </c>
      <c r="F90" s="3"/>
      <c r="G90" s="10"/>
      <c r="H90" s="10"/>
      <c r="I90" s="10"/>
      <c r="J90" s="3"/>
      <c r="K90" s="3"/>
      <c r="L90" s="3"/>
      <c r="M90" s="3" t="s">
        <v>1753</v>
      </c>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5.75" customHeight="1" x14ac:dyDescent="0.35">
      <c r="A91" s="3"/>
      <c r="B91" s="3" t="s">
        <v>162</v>
      </c>
      <c r="C91" s="3" t="s">
        <v>163</v>
      </c>
      <c r="D91" s="3"/>
      <c r="E91" s="3"/>
      <c r="F91" s="3"/>
      <c r="G91" s="3" t="s">
        <v>1932</v>
      </c>
      <c r="H91" s="3" t="s">
        <v>1933</v>
      </c>
      <c r="I91" s="3" t="s">
        <v>1934</v>
      </c>
      <c r="J91" s="3" t="s">
        <v>269</v>
      </c>
      <c r="K91" s="3" t="s">
        <v>277</v>
      </c>
      <c r="L91" s="3" t="s">
        <v>277</v>
      </c>
      <c r="M91" s="3" t="s">
        <v>1753</v>
      </c>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5.75" customHeight="1" x14ac:dyDescent="0.35">
      <c r="A92" s="3"/>
      <c r="B92" s="3" t="s">
        <v>270</v>
      </c>
      <c r="C92" s="3"/>
      <c r="D92" s="3" t="s">
        <v>265</v>
      </c>
      <c r="E92" s="3" t="s">
        <v>266</v>
      </c>
      <c r="F92" s="3"/>
      <c r="G92" s="10"/>
      <c r="H92" s="10"/>
      <c r="I92" s="10"/>
      <c r="J92" s="3"/>
      <c r="K92" s="3"/>
      <c r="L92" s="3"/>
      <c r="M92" s="3" t="s">
        <v>1753</v>
      </c>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5.75" customHeight="1" x14ac:dyDescent="0.35">
      <c r="A93" s="3"/>
      <c r="B93" s="3" t="s">
        <v>271</v>
      </c>
      <c r="C93" s="3" t="s">
        <v>163</v>
      </c>
      <c r="D93" s="3"/>
      <c r="E93" s="3"/>
      <c r="F93" s="3"/>
      <c r="G93" s="3" t="s">
        <v>1935</v>
      </c>
      <c r="H93" s="3" t="s">
        <v>1935</v>
      </c>
      <c r="I93" s="3" t="s">
        <v>1935</v>
      </c>
      <c r="J93" s="3" t="s">
        <v>272</v>
      </c>
      <c r="K93" s="3" t="s">
        <v>1936</v>
      </c>
      <c r="L93" s="3" t="s">
        <v>272</v>
      </c>
      <c r="M93" s="3" t="s">
        <v>1753</v>
      </c>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5.75" customHeight="1" x14ac:dyDescent="0.35">
      <c r="A94" s="3"/>
      <c r="B94" s="3" t="s">
        <v>275</v>
      </c>
      <c r="C94" s="3"/>
      <c r="D94" s="3" t="s">
        <v>265</v>
      </c>
      <c r="E94" s="3" t="s">
        <v>266</v>
      </c>
      <c r="F94" s="3"/>
      <c r="G94" s="10"/>
      <c r="H94" s="10"/>
      <c r="I94" s="10"/>
      <c r="J94" s="3"/>
      <c r="K94" s="3"/>
      <c r="L94" s="3"/>
      <c r="M94" s="3" t="s">
        <v>1753</v>
      </c>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5.75" customHeight="1" x14ac:dyDescent="0.35">
      <c r="A95" s="3"/>
      <c r="B95" s="3" t="s">
        <v>276</v>
      </c>
      <c r="C95" s="3" t="s">
        <v>163</v>
      </c>
      <c r="D95" s="3"/>
      <c r="E95" s="3"/>
      <c r="F95" s="3"/>
      <c r="G95" s="3" t="s">
        <v>1935</v>
      </c>
      <c r="H95" s="3" t="s">
        <v>1935</v>
      </c>
      <c r="I95" s="3" t="s">
        <v>1935</v>
      </c>
      <c r="J95" s="3" t="s">
        <v>277</v>
      </c>
      <c r="K95" s="3" t="s">
        <v>1937</v>
      </c>
      <c r="L95" s="3" t="s">
        <v>1938</v>
      </c>
      <c r="M95" s="3" t="s">
        <v>1753</v>
      </c>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5.75" customHeight="1" x14ac:dyDescent="0.35">
      <c r="A96" s="3"/>
      <c r="B96" s="3" t="s">
        <v>188</v>
      </c>
      <c r="C96" s="3" t="s">
        <v>1105</v>
      </c>
      <c r="D96" s="3"/>
      <c r="E96" s="3"/>
      <c r="F96" s="3"/>
      <c r="G96" s="3" t="s">
        <v>1939</v>
      </c>
      <c r="H96" s="3" t="s">
        <v>1939</v>
      </c>
      <c r="I96" s="3" t="s">
        <v>1939</v>
      </c>
      <c r="J96" s="3" t="s">
        <v>1646</v>
      </c>
      <c r="K96" s="3" t="s">
        <v>1646</v>
      </c>
      <c r="L96" s="3" t="s">
        <v>1940</v>
      </c>
      <c r="M96" s="3" t="s">
        <v>1753</v>
      </c>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5.75" customHeight="1" x14ac:dyDescent="0.35">
      <c r="A97" s="5"/>
      <c r="B97" s="5" t="s">
        <v>189</v>
      </c>
      <c r="C97" s="5" t="s">
        <v>131</v>
      </c>
      <c r="D97" s="5"/>
      <c r="E97" s="5"/>
      <c r="F97" s="5"/>
      <c r="G97" s="10"/>
      <c r="H97" s="10"/>
      <c r="I97" s="10"/>
      <c r="J97" s="5"/>
      <c r="K97" s="5"/>
      <c r="L97" s="5"/>
      <c r="M97" s="3" t="s">
        <v>1753</v>
      </c>
      <c r="N97" s="5"/>
      <c r="O97" s="5"/>
      <c r="P97" s="5"/>
      <c r="Q97" s="5"/>
      <c r="R97" s="5"/>
      <c r="S97" s="5"/>
      <c r="T97" s="3"/>
      <c r="U97" s="3"/>
      <c r="V97" s="3"/>
      <c r="W97" s="3"/>
      <c r="X97" s="5"/>
      <c r="Y97" s="5"/>
      <c r="Z97" s="5"/>
      <c r="AA97" s="5"/>
      <c r="AB97" s="5"/>
      <c r="AC97" s="5"/>
      <c r="AD97" s="5"/>
      <c r="AE97" s="5"/>
      <c r="AF97" s="5"/>
      <c r="AG97" s="5"/>
      <c r="AH97" s="5"/>
      <c r="AI97" s="5"/>
      <c r="AJ97" s="5"/>
      <c r="AK97" s="5"/>
      <c r="AL97" s="5"/>
    </row>
    <row r="98" spans="1:38" ht="15.75" customHeight="1" x14ac:dyDescent="0.35">
      <c r="A98" s="3"/>
      <c r="B98" s="3" t="s">
        <v>195</v>
      </c>
      <c r="C98" s="3" t="s">
        <v>131</v>
      </c>
      <c r="D98" s="3"/>
      <c r="E98" s="3"/>
      <c r="F98" s="3"/>
      <c r="G98" s="3" t="s">
        <v>1876</v>
      </c>
      <c r="H98" s="3" t="s">
        <v>1876</v>
      </c>
      <c r="I98" s="3" t="s">
        <v>1876</v>
      </c>
      <c r="J98" s="3" t="s">
        <v>196</v>
      </c>
      <c r="K98" s="3" t="s">
        <v>1941</v>
      </c>
      <c r="L98" s="3" t="s">
        <v>196</v>
      </c>
      <c r="M98" s="3" t="s">
        <v>1753</v>
      </c>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5.75" customHeight="1" x14ac:dyDescent="0.35">
      <c r="A99" s="3"/>
      <c r="B99" s="3"/>
      <c r="C99" s="3" t="s">
        <v>197</v>
      </c>
      <c r="D99" s="3"/>
      <c r="E99" s="3"/>
      <c r="F99" s="3"/>
      <c r="G99" s="3" t="s">
        <v>1942</v>
      </c>
      <c r="H99" s="3" t="s">
        <v>1943</v>
      </c>
      <c r="I99" s="3" t="s">
        <v>1943</v>
      </c>
      <c r="J99" s="3" t="s">
        <v>278</v>
      </c>
      <c r="K99" s="3" t="s">
        <v>1944</v>
      </c>
      <c r="L99" s="3" t="s">
        <v>1944</v>
      </c>
      <c r="M99" s="3" t="s">
        <v>1753</v>
      </c>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5.75" customHeight="1" x14ac:dyDescent="0.35">
      <c r="A100" s="3"/>
      <c r="B100" s="3" t="s">
        <v>206</v>
      </c>
      <c r="C100" s="3" t="s">
        <v>1641</v>
      </c>
      <c r="D100" s="3" t="s">
        <v>208</v>
      </c>
      <c r="E100" s="3" t="s">
        <v>209</v>
      </c>
      <c r="F100" s="3"/>
      <c r="G100" s="3" t="s">
        <v>1945</v>
      </c>
      <c r="H100" s="3" t="s">
        <v>1882</v>
      </c>
      <c r="I100" s="3" t="s">
        <v>1882</v>
      </c>
      <c r="J100" s="3" t="s">
        <v>1647</v>
      </c>
      <c r="K100" s="3" t="s">
        <v>1946</v>
      </c>
      <c r="L100" s="3" t="s">
        <v>1647</v>
      </c>
      <c r="M100" s="3" t="s">
        <v>1753</v>
      </c>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5.75" customHeight="1" x14ac:dyDescent="0.35">
      <c r="A101" s="3"/>
      <c r="B101" s="3"/>
      <c r="C101" s="3"/>
      <c r="D101" s="3"/>
      <c r="E101" s="3"/>
      <c r="F101" s="3"/>
      <c r="G101" s="3"/>
      <c r="H101" s="3"/>
      <c r="I101" s="3"/>
      <c r="J101" s="3"/>
      <c r="K101" s="3"/>
      <c r="L101" s="3"/>
      <c r="M101" s="3" t="s">
        <v>1753</v>
      </c>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5.75" customHeight="1" x14ac:dyDescent="0.35">
      <c r="A102" s="3" t="s">
        <v>280</v>
      </c>
      <c r="B102" s="3" t="s">
        <v>281</v>
      </c>
      <c r="C102" s="3" t="s">
        <v>25</v>
      </c>
      <c r="D102" s="3"/>
      <c r="E102" s="3"/>
      <c r="F102" s="3"/>
      <c r="G102" s="3" t="s">
        <v>1947</v>
      </c>
      <c r="H102" s="3" t="s">
        <v>1947</v>
      </c>
      <c r="I102" s="3" t="s">
        <v>1948</v>
      </c>
      <c r="J102" s="3" t="s">
        <v>282</v>
      </c>
      <c r="K102" s="3" t="s">
        <v>1949</v>
      </c>
      <c r="L102" s="3" t="s">
        <v>1949</v>
      </c>
      <c r="M102" s="3" t="s">
        <v>1753</v>
      </c>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5.75" customHeight="1" x14ac:dyDescent="0.35">
      <c r="A103" s="3"/>
      <c r="B103" s="3"/>
      <c r="C103" s="3" t="s">
        <v>29</v>
      </c>
      <c r="D103" s="3"/>
      <c r="E103" s="3"/>
      <c r="F103" s="3"/>
      <c r="G103" s="3" t="s">
        <v>1950</v>
      </c>
      <c r="H103" s="3" t="s">
        <v>1950</v>
      </c>
      <c r="I103" s="3" t="s">
        <v>1950</v>
      </c>
      <c r="J103" s="3" t="s">
        <v>283</v>
      </c>
      <c r="K103" s="3" t="s">
        <v>1951</v>
      </c>
      <c r="L103" s="3" t="s">
        <v>1952</v>
      </c>
      <c r="M103" s="3" t="s">
        <v>1753</v>
      </c>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5.75" customHeight="1" x14ac:dyDescent="0.35">
      <c r="A104" s="3"/>
      <c r="B104" s="3" t="s">
        <v>284</v>
      </c>
      <c r="C104" s="3" t="s">
        <v>33</v>
      </c>
      <c r="D104" s="3" t="s">
        <v>34</v>
      </c>
      <c r="E104" s="3" t="s">
        <v>35</v>
      </c>
      <c r="F104" s="3"/>
      <c r="G104" s="3" t="s">
        <v>1953</v>
      </c>
      <c r="H104" s="3" t="s">
        <v>1953</v>
      </c>
      <c r="I104" s="3" t="s">
        <v>1953</v>
      </c>
      <c r="J104" s="3" t="s">
        <v>285</v>
      </c>
      <c r="K104" s="3" t="s">
        <v>285</v>
      </c>
      <c r="L104" s="3" t="s">
        <v>285</v>
      </c>
      <c r="M104" s="3" t="s">
        <v>1753</v>
      </c>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5.75" customHeight="1" x14ac:dyDescent="0.35">
      <c r="A105" s="3"/>
      <c r="B105" s="3"/>
      <c r="C105" s="3" t="s">
        <v>1628</v>
      </c>
      <c r="D105" s="3"/>
      <c r="E105" s="3"/>
      <c r="F105" s="3"/>
      <c r="G105" s="3" t="s">
        <v>1954</v>
      </c>
      <c r="H105" s="3" t="s">
        <v>1955</v>
      </c>
      <c r="I105" s="3" t="s">
        <v>1956</v>
      </c>
      <c r="J105" s="3" t="s">
        <v>288</v>
      </c>
      <c r="K105" s="3" t="s">
        <v>1957</v>
      </c>
      <c r="L105" s="3" t="s">
        <v>288</v>
      </c>
      <c r="M105" s="3" t="s">
        <v>1753</v>
      </c>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5.75" customHeight="1" x14ac:dyDescent="0.35">
      <c r="A106" s="3"/>
      <c r="B106" s="3"/>
      <c r="C106" s="3" t="s">
        <v>43</v>
      </c>
      <c r="D106" s="3"/>
      <c r="E106" s="3"/>
      <c r="F106" s="3"/>
      <c r="G106" s="3" t="s">
        <v>1958</v>
      </c>
      <c r="H106" s="3" t="s">
        <v>1958</v>
      </c>
      <c r="I106" s="3" t="s">
        <v>1958</v>
      </c>
      <c r="J106" s="3" t="s">
        <v>292</v>
      </c>
      <c r="K106" s="3" t="s">
        <v>292</v>
      </c>
      <c r="L106" s="3" t="s">
        <v>292</v>
      </c>
      <c r="M106" s="3" t="s">
        <v>1753</v>
      </c>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5.75" customHeight="1" x14ac:dyDescent="0.35">
      <c r="A107" s="3"/>
      <c r="B107" s="3" t="s">
        <v>295</v>
      </c>
      <c r="C107" s="3" t="s">
        <v>50</v>
      </c>
      <c r="D107" s="3" t="s">
        <v>51</v>
      </c>
      <c r="E107" s="3" t="s">
        <v>52</v>
      </c>
      <c r="F107" s="3"/>
      <c r="G107" s="3" t="s">
        <v>296</v>
      </c>
      <c r="H107" s="3" t="s">
        <v>1959</v>
      </c>
      <c r="I107" s="3" t="s">
        <v>1959</v>
      </c>
      <c r="J107" s="3" t="s">
        <v>296</v>
      </c>
      <c r="K107" s="3" t="s">
        <v>296</v>
      </c>
      <c r="L107" s="3" t="s">
        <v>296</v>
      </c>
      <c r="M107" s="3" t="s">
        <v>1753</v>
      </c>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5.75" customHeight="1" x14ac:dyDescent="0.35">
      <c r="A108" s="3"/>
      <c r="B108" s="3"/>
      <c r="C108" s="3" t="s">
        <v>57</v>
      </c>
      <c r="D108" s="3"/>
      <c r="E108" s="3"/>
      <c r="F108" s="3"/>
      <c r="G108" s="3" t="s">
        <v>1960</v>
      </c>
      <c r="H108" s="3" t="s">
        <v>1960</v>
      </c>
      <c r="I108" s="3" t="s">
        <v>1960</v>
      </c>
      <c r="J108" s="3" t="s">
        <v>298</v>
      </c>
      <c r="K108" s="3" t="s">
        <v>298</v>
      </c>
      <c r="L108" s="3" t="s">
        <v>1961</v>
      </c>
      <c r="M108" s="3" t="s">
        <v>1753</v>
      </c>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5.75" customHeight="1" x14ac:dyDescent="0.35">
      <c r="A109" s="3"/>
      <c r="B109" s="3" t="s">
        <v>300</v>
      </c>
      <c r="C109" s="3" t="s">
        <v>301</v>
      </c>
      <c r="D109" s="3" t="s">
        <v>51</v>
      </c>
      <c r="E109" s="3" t="s">
        <v>52</v>
      </c>
      <c r="F109" s="3"/>
      <c r="G109" s="3" t="s">
        <v>1962</v>
      </c>
      <c r="H109" s="3" t="s">
        <v>1962</v>
      </c>
      <c r="I109" s="3" t="s">
        <v>1962</v>
      </c>
      <c r="J109" s="3" t="s">
        <v>302</v>
      </c>
      <c r="K109" s="3" t="s">
        <v>1963</v>
      </c>
      <c r="L109" s="3" t="s">
        <v>1962</v>
      </c>
      <c r="M109" s="3" t="s">
        <v>1753</v>
      </c>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5.75" customHeight="1" x14ac:dyDescent="0.35">
      <c r="A110" s="3"/>
      <c r="B110" s="3"/>
      <c r="C110" s="3" t="s">
        <v>306</v>
      </c>
      <c r="D110" s="3"/>
      <c r="E110" s="3" t="s">
        <v>307</v>
      </c>
      <c r="F110" s="3"/>
      <c r="G110" s="3" t="s">
        <v>1964</v>
      </c>
      <c r="H110" s="3" t="s">
        <v>1964</v>
      </c>
      <c r="I110" s="3" t="s">
        <v>1964</v>
      </c>
      <c r="J110" s="3" t="s">
        <v>308</v>
      </c>
      <c r="K110" s="3" t="s">
        <v>308</v>
      </c>
      <c r="L110" s="3" t="s">
        <v>308</v>
      </c>
      <c r="M110" s="3" t="s">
        <v>1753</v>
      </c>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5.75" customHeight="1" x14ac:dyDescent="0.35">
      <c r="A111" s="3"/>
      <c r="B111" s="3" t="s">
        <v>60</v>
      </c>
      <c r="C111" s="3" t="s">
        <v>61</v>
      </c>
      <c r="D111" s="3"/>
      <c r="E111" s="3"/>
      <c r="F111" s="3"/>
      <c r="G111" s="3" t="s">
        <v>1965</v>
      </c>
      <c r="H111" s="3" t="s">
        <v>1965</v>
      </c>
      <c r="I111" s="3" t="s">
        <v>1966</v>
      </c>
      <c r="J111" s="3" t="s">
        <v>310</v>
      </c>
      <c r="K111" s="3" t="s">
        <v>310</v>
      </c>
      <c r="L111" s="3" t="s">
        <v>310</v>
      </c>
      <c r="M111" s="3" t="s">
        <v>1753</v>
      </c>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5.75" customHeight="1" x14ac:dyDescent="0.35">
      <c r="A112" s="3"/>
      <c r="B112" s="3"/>
      <c r="C112" s="3" t="s">
        <v>64</v>
      </c>
      <c r="D112" s="3"/>
      <c r="E112" s="3"/>
      <c r="F112" s="3"/>
      <c r="G112" s="3" t="s">
        <v>1967</v>
      </c>
      <c r="H112" s="3" t="s">
        <v>1968</v>
      </c>
      <c r="I112" s="3" t="s">
        <v>1967</v>
      </c>
      <c r="J112" s="3" t="s">
        <v>65</v>
      </c>
      <c r="K112" s="3" t="s">
        <v>947</v>
      </c>
      <c r="L112" s="3" t="s">
        <v>947</v>
      </c>
      <c r="M112" s="3" t="s">
        <v>1753</v>
      </c>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5.75" customHeight="1" x14ac:dyDescent="0.35">
      <c r="A113" s="3"/>
      <c r="B113" s="3"/>
      <c r="C113" s="3" t="s">
        <v>68</v>
      </c>
      <c r="D113" s="3"/>
      <c r="E113" s="3"/>
      <c r="F113" s="3"/>
      <c r="G113" s="3" t="s">
        <v>1969</v>
      </c>
      <c r="H113" s="3" t="s">
        <v>1969</v>
      </c>
      <c r="I113" s="3" t="s">
        <v>1969</v>
      </c>
      <c r="J113" s="3" t="s">
        <v>311</v>
      </c>
      <c r="K113" s="3" t="s">
        <v>1970</v>
      </c>
      <c r="L113" s="3" t="s">
        <v>1970</v>
      </c>
      <c r="M113" s="3" t="s">
        <v>1753</v>
      </c>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5.75" customHeight="1" x14ac:dyDescent="0.35">
      <c r="A114" s="3"/>
      <c r="B114" s="3" t="s">
        <v>74</v>
      </c>
      <c r="C114" s="3" t="s">
        <v>754</v>
      </c>
      <c r="D114" s="3" t="s">
        <v>315</v>
      </c>
      <c r="E114" s="3" t="s">
        <v>77</v>
      </c>
      <c r="F114" s="3"/>
      <c r="G114" s="3" t="s">
        <v>1971</v>
      </c>
      <c r="H114" s="3" t="s">
        <v>1971</v>
      </c>
      <c r="I114" s="3" t="s">
        <v>1971</v>
      </c>
      <c r="J114" s="3" t="s">
        <v>1972</v>
      </c>
      <c r="K114" s="3" t="s">
        <v>1972</v>
      </c>
      <c r="L114" s="3" t="s">
        <v>1972</v>
      </c>
      <c r="M114" s="3" t="s">
        <v>1753</v>
      </c>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5.75" customHeight="1" x14ac:dyDescent="0.35">
      <c r="A115" s="3"/>
      <c r="B115" s="3"/>
      <c r="C115" s="3" t="s">
        <v>755</v>
      </c>
      <c r="D115" s="3"/>
      <c r="E115" s="3"/>
      <c r="F115" s="3"/>
      <c r="G115" s="3" t="s">
        <v>1973</v>
      </c>
      <c r="H115" s="3" t="s">
        <v>1974</v>
      </c>
      <c r="I115" s="3" t="s">
        <v>1973</v>
      </c>
      <c r="J115" s="3" t="s">
        <v>1975</v>
      </c>
      <c r="K115" s="3" t="s">
        <v>1976</v>
      </c>
      <c r="L115" s="3" t="s">
        <v>1977</v>
      </c>
      <c r="M115" s="3" t="s">
        <v>1753</v>
      </c>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5.75" customHeight="1" x14ac:dyDescent="0.35">
      <c r="A116" s="3"/>
      <c r="B116" s="3"/>
      <c r="C116" s="3" t="s">
        <v>756</v>
      </c>
      <c r="D116" s="3"/>
      <c r="E116" s="3"/>
      <c r="F116" s="3"/>
      <c r="G116" s="3" t="s">
        <v>1978</v>
      </c>
      <c r="H116" s="3" t="s">
        <v>1979</v>
      </c>
      <c r="I116" s="3" t="s">
        <v>1980</v>
      </c>
      <c r="J116" s="3" t="s">
        <v>1981</v>
      </c>
      <c r="K116" s="3" t="s">
        <v>1982</v>
      </c>
      <c r="L116" s="3" t="s">
        <v>1983</v>
      </c>
      <c r="M116" s="3" t="s">
        <v>1753</v>
      </c>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5.75" customHeight="1" x14ac:dyDescent="0.35">
      <c r="A117" s="3"/>
      <c r="B117" s="3"/>
      <c r="C117" s="3" t="s">
        <v>1792</v>
      </c>
      <c r="D117" s="3"/>
      <c r="E117" s="3"/>
      <c r="F117" s="3"/>
      <c r="G117" s="3" t="s">
        <v>1984</v>
      </c>
      <c r="H117" s="3" t="s">
        <v>1985</v>
      </c>
      <c r="I117" s="3" t="s">
        <v>1986</v>
      </c>
      <c r="J117" s="3" t="s">
        <v>1987</v>
      </c>
      <c r="K117" s="3" t="s">
        <v>1988</v>
      </c>
      <c r="L117" s="3" t="s">
        <v>1989</v>
      </c>
      <c r="M117" s="3" t="s">
        <v>1753</v>
      </c>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5.75" customHeight="1" x14ac:dyDescent="0.35">
      <c r="A118" s="3"/>
      <c r="B118" s="3" t="s">
        <v>103</v>
      </c>
      <c r="C118" s="3"/>
      <c r="D118" s="3" t="s">
        <v>34</v>
      </c>
      <c r="E118" s="3" t="s">
        <v>35</v>
      </c>
      <c r="F118" s="3"/>
      <c r="G118" s="3"/>
      <c r="H118" s="3"/>
      <c r="I118" s="3"/>
      <c r="J118" s="3"/>
      <c r="K118" s="3"/>
      <c r="L118" s="3"/>
      <c r="M118" s="3" t="s">
        <v>1753</v>
      </c>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5.75" customHeight="1" x14ac:dyDescent="0.35">
      <c r="A119" s="3"/>
      <c r="B119" s="3" t="s">
        <v>104</v>
      </c>
      <c r="C119" s="3"/>
      <c r="D119" s="3" t="s">
        <v>34</v>
      </c>
      <c r="E119" s="3" t="s">
        <v>35</v>
      </c>
      <c r="F119" s="3"/>
      <c r="G119" s="3"/>
      <c r="H119" s="3"/>
      <c r="I119" s="3"/>
      <c r="J119" s="3"/>
      <c r="K119" s="3"/>
      <c r="L119" s="3"/>
      <c r="M119" s="3" t="s">
        <v>1753</v>
      </c>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5.75" customHeight="1" x14ac:dyDescent="0.35">
      <c r="A120" s="3"/>
      <c r="B120" s="3"/>
      <c r="C120" s="3"/>
      <c r="D120" s="3" t="s">
        <v>315</v>
      </c>
      <c r="E120" s="3" t="s">
        <v>77</v>
      </c>
      <c r="F120" s="3"/>
      <c r="G120" s="3"/>
      <c r="H120" s="3"/>
      <c r="I120" s="3"/>
      <c r="J120" s="3"/>
      <c r="K120" s="3"/>
      <c r="L120" s="3"/>
      <c r="M120" s="3" t="s">
        <v>1753</v>
      </c>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5.75" customHeight="1" x14ac:dyDescent="0.35">
      <c r="A121" s="3"/>
      <c r="B121" s="3" t="s">
        <v>333</v>
      </c>
      <c r="C121" s="3" t="s">
        <v>334</v>
      </c>
      <c r="D121" s="3"/>
      <c r="E121" s="3"/>
      <c r="F121" s="3"/>
      <c r="G121" s="3" t="s">
        <v>1965</v>
      </c>
      <c r="H121" s="3" t="s">
        <v>1965</v>
      </c>
      <c r="I121" s="3" t="s">
        <v>1965</v>
      </c>
      <c r="J121" s="3" t="s">
        <v>335</v>
      </c>
      <c r="K121" s="3" t="s">
        <v>335</v>
      </c>
      <c r="L121" s="3" t="s">
        <v>310</v>
      </c>
      <c r="M121" s="3" t="s">
        <v>1753</v>
      </c>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5.75" customHeight="1" x14ac:dyDescent="0.35">
      <c r="A122" s="3"/>
      <c r="B122" s="3" t="s">
        <v>105</v>
      </c>
      <c r="C122" s="3" t="s">
        <v>25</v>
      </c>
      <c r="D122" s="3"/>
      <c r="E122" s="3"/>
      <c r="F122" s="3"/>
      <c r="G122" s="3" t="s">
        <v>401</v>
      </c>
      <c r="H122" s="3" t="s">
        <v>1990</v>
      </c>
      <c r="I122" s="3" t="s">
        <v>1991</v>
      </c>
      <c r="J122" s="3" t="s">
        <v>337</v>
      </c>
      <c r="K122" s="3" t="s">
        <v>1992</v>
      </c>
      <c r="L122" s="3" t="s">
        <v>1993</v>
      </c>
      <c r="M122" s="3" t="s">
        <v>1753</v>
      </c>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5.75" customHeight="1" x14ac:dyDescent="0.35">
      <c r="A123" s="3"/>
      <c r="B123" s="3"/>
      <c r="C123" s="3" t="s">
        <v>29</v>
      </c>
      <c r="D123" s="3"/>
      <c r="E123" s="3"/>
      <c r="F123" s="3"/>
      <c r="G123" s="3" t="s">
        <v>1994</v>
      </c>
      <c r="H123" s="3" t="s">
        <v>1995</v>
      </c>
      <c r="I123" s="3" t="s">
        <v>1996</v>
      </c>
      <c r="J123" s="3" t="s">
        <v>338</v>
      </c>
      <c r="K123" s="3" t="s">
        <v>1997</v>
      </c>
      <c r="L123" s="3" t="s">
        <v>338</v>
      </c>
      <c r="M123" s="3" t="s">
        <v>1753</v>
      </c>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5.75" customHeight="1" x14ac:dyDescent="0.35">
      <c r="A124" s="3"/>
      <c r="B124" s="3" t="s">
        <v>108</v>
      </c>
      <c r="C124" s="3" t="s">
        <v>109</v>
      </c>
      <c r="D124" s="3"/>
      <c r="E124" s="3"/>
      <c r="F124" s="3"/>
      <c r="G124" s="3" t="s">
        <v>1998</v>
      </c>
      <c r="H124" s="3" t="s">
        <v>1998</v>
      </c>
      <c r="I124" s="3" t="s">
        <v>1998</v>
      </c>
      <c r="J124" s="3" t="s">
        <v>339</v>
      </c>
      <c r="K124" s="3" t="s">
        <v>1999</v>
      </c>
      <c r="L124" s="3" t="s">
        <v>1913</v>
      </c>
      <c r="M124" s="3" t="s">
        <v>1753</v>
      </c>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5.75" customHeight="1" x14ac:dyDescent="0.35">
      <c r="A125" s="3"/>
      <c r="B125" s="3"/>
      <c r="C125" s="3" t="s">
        <v>113</v>
      </c>
      <c r="D125" s="3"/>
      <c r="E125" s="3"/>
      <c r="F125" s="3"/>
      <c r="G125" s="3" t="s">
        <v>2000</v>
      </c>
      <c r="H125" s="3" t="s">
        <v>2000</v>
      </c>
      <c r="I125" s="3" t="s">
        <v>2000</v>
      </c>
      <c r="J125" s="3" t="s">
        <v>340</v>
      </c>
      <c r="K125" s="3" t="s">
        <v>2001</v>
      </c>
      <c r="L125" s="3" t="s">
        <v>2001</v>
      </c>
      <c r="M125" s="3" t="s">
        <v>1753</v>
      </c>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5.75" customHeight="1" x14ac:dyDescent="0.35">
      <c r="A126" s="3"/>
      <c r="B126" s="3"/>
      <c r="C126" s="3" t="s">
        <v>237</v>
      </c>
      <c r="D126" s="3"/>
      <c r="E126" s="3"/>
      <c r="F126" s="3"/>
      <c r="G126" s="3" t="s">
        <v>2002</v>
      </c>
      <c r="H126" s="3" t="s">
        <v>2002</v>
      </c>
      <c r="I126" s="3" t="s">
        <v>2003</v>
      </c>
      <c r="J126" s="3" t="s">
        <v>342</v>
      </c>
      <c r="K126" s="3" t="s">
        <v>342</v>
      </c>
      <c r="L126" s="3" t="s">
        <v>342</v>
      </c>
      <c r="M126" s="3" t="s">
        <v>1753</v>
      </c>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5.75" customHeight="1" x14ac:dyDescent="0.35">
      <c r="A127" s="3"/>
      <c r="B127" s="3"/>
      <c r="C127" s="3" t="s">
        <v>2004</v>
      </c>
      <c r="D127" s="3"/>
      <c r="E127" s="3"/>
      <c r="F127" s="3"/>
      <c r="G127" s="3" t="s">
        <v>2005</v>
      </c>
      <c r="H127" s="3" t="s">
        <v>2006</v>
      </c>
      <c r="I127" s="3" t="s">
        <v>2005</v>
      </c>
      <c r="J127" s="3" t="s">
        <v>345</v>
      </c>
      <c r="K127" s="3" t="s">
        <v>2007</v>
      </c>
      <c r="L127" s="3" t="s">
        <v>2007</v>
      </c>
      <c r="M127" s="3" t="s">
        <v>1753</v>
      </c>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5.75" customHeight="1" x14ac:dyDescent="0.35">
      <c r="A128" s="3"/>
      <c r="B128" s="3"/>
      <c r="C128" s="3" t="s">
        <v>131</v>
      </c>
      <c r="D128" s="3"/>
      <c r="E128" s="3"/>
      <c r="F128" s="3"/>
      <c r="G128" s="3" t="s">
        <v>2008</v>
      </c>
      <c r="H128" s="3" t="s">
        <v>2009</v>
      </c>
      <c r="I128" s="3" t="s">
        <v>2009</v>
      </c>
      <c r="J128" s="3" t="s">
        <v>349</v>
      </c>
      <c r="K128" s="3" t="s">
        <v>2010</v>
      </c>
      <c r="L128" s="3" t="s">
        <v>2010</v>
      </c>
      <c r="M128" s="3" t="s">
        <v>1753</v>
      </c>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5.75" customHeight="1" x14ac:dyDescent="0.35">
      <c r="A129" s="3"/>
      <c r="B129" s="3" t="s">
        <v>350</v>
      </c>
      <c r="C129" s="3"/>
      <c r="D129" s="3" t="s">
        <v>34</v>
      </c>
      <c r="E129" s="3" t="s">
        <v>35</v>
      </c>
      <c r="F129" s="3"/>
      <c r="G129" s="3"/>
      <c r="H129" s="3"/>
      <c r="I129" s="3"/>
      <c r="J129" s="3"/>
      <c r="K129" s="3"/>
      <c r="L129" s="3"/>
      <c r="M129" s="3" t="s">
        <v>1753</v>
      </c>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5.75" customHeight="1" x14ac:dyDescent="0.35">
      <c r="A130" s="3"/>
      <c r="B130" s="3" t="s">
        <v>351</v>
      </c>
      <c r="C130" s="3"/>
      <c r="D130" s="3" t="s">
        <v>352</v>
      </c>
      <c r="E130" s="3" t="s">
        <v>353</v>
      </c>
      <c r="F130" s="3"/>
      <c r="G130" s="3"/>
      <c r="H130" s="3"/>
      <c r="I130" s="3"/>
      <c r="J130" s="3"/>
      <c r="K130" s="3"/>
      <c r="L130" s="3"/>
      <c r="M130" s="3" t="s">
        <v>1753</v>
      </c>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5.75" customHeight="1" x14ac:dyDescent="0.35">
      <c r="A131" s="3"/>
      <c r="B131" s="3" t="s">
        <v>354</v>
      </c>
      <c r="C131" s="3" t="s">
        <v>2011</v>
      </c>
      <c r="D131" s="3" t="s">
        <v>423</v>
      </c>
      <c r="E131" s="3" t="s">
        <v>175</v>
      </c>
      <c r="F131" s="3"/>
      <c r="G131" s="3" t="s">
        <v>2012</v>
      </c>
      <c r="H131" s="3" t="s">
        <v>2012</v>
      </c>
      <c r="I131" s="3" t="s">
        <v>2012</v>
      </c>
      <c r="J131" s="3" t="s">
        <v>2013</v>
      </c>
      <c r="K131" s="3" t="s">
        <v>2013</v>
      </c>
      <c r="L131" s="3" t="s">
        <v>2014</v>
      </c>
      <c r="M131" s="3" t="s">
        <v>1753</v>
      </c>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5.75" customHeight="1" x14ac:dyDescent="0.35">
      <c r="A132" s="3"/>
      <c r="B132" s="5" t="s">
        <v>355</v>
      </c>
      <c r="C132" s="5" t="s">
        <v>131</v>
      </c>
      <c r="D132" s="3"/>
      <c r="E132" s="3"/>
      <c r="F132" s="3"/>
      <c r="G132" s="3"/>
      <c r="H132" s="3"/>
      <c r="I132" s="3"/>
      <c r="J132" s="3"/>
      <c r="K132" s="3"/>
      <c r="L132" s="3"/>
      <c r="M132" s="3" t="s">
        <v>1753</v>
      </c>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5.75" customHeight="1" x14ac:dyDescent="0.35">
      <c r="A133" s="3"/>
      <c r="B133" s="3" t="s">
        <v>356</v>
      </c>
      <c r="C133" s="3" t="s">
        <v>2015</v>
      </c>
      <c r="D133" s="3" t="s">
        <v>1651</v>
      </c>
      <c r="E133" s="3" t="s">
        <v>1652</v>
      </c>
      <c r="F133" s="3"/>
      <c r="G133" s="3" t="s">
        <v>2016</v>
      </c>
      <c r="H133" s="3" t="s">
        <v>2017</v>
      </c>
      <c r="I133" s="3" t="s">
        <v>2016</v>
      </c>
      <c r="J133" s="3" t="s">
        <v>2018</v>
      </c>
      <c r="K133" s="3" t="s">
        <v>2018</v>
      </c>
      <c r="L133" s="3" t="s">
        <v>2018</v>
      </c>
      <c r="M133" s="3" t="s">
        <v>1753</v>
      </c>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5.75" customHeight="1" x14ac:dyDescent="0.35">
      <c r="A134" s="3"/>
      <c r="B134" s="3" t="s">
        <v>134</v>
      </c>
      <c r="C134" s="3"/>
      <c r="D134" s="3" t="s">
        <v>423</v>
      </c>
      <c r="E134" s="3" t="s">
        <v>175</v>
      </c>
      <c r="F134" s="3"/>
      <c r="G134" s="3"/>
      <c r="H134" s="3"/>
      <c r="I134" s="3"/>
      <c r="J134" s="3"/>
      <c r="K134" s="3"/>
      <c r="L134" s="3"/>
      <c r="M134" s="3" t="s">
        <v>1753</v>
      </c>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5.75" customHeight="1" x14ac:dyDescent="0.35">
      <c r="A135" s="3"/>
      <c r="B135" s="3" t="s">
        <v>135</v>
      </c>
      <c r="C135" s="3" t="s">
        <v>1629</v>
      </c>
      <c r="D135" s="3"/>
      <c r="E135" s="3"/>
      <c r="F135" s="3"/>
      <c r="G135" s="3" t="s">
        <v>1814</v>
      </c>
      <c r="H135" s="3" t="s">
        <v>1814</v>
      </c>
      <c r="I135" s="3" t="s">
        <v>1814</v>
      </c>
      <c r="J135" s="3" t="s">
        <v>1654</v>
      </c>
      <c r="K135" s="3" t="s">
        <v>1654</v>
      </c>
      <c r="L135" s="3" t="s">
        <v>1630</v>
      </c>
      <c r="M135" s="3" t="s">
        <v>1753</v>
      </c>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5.75" customHeight="1" x14ac:dyDescent="0.35">
      <c r="A136" s="3"/>
      <c r="B136" s="3"/>
      <c r="C136" s="3" t="s">
        <v>1631</v>
      </c>
      <c r="D136" s="3"/>
      <c r="E136" s="3"/>
      <c r="F136" s="3"/>
      <c r="G136" s="3" t="s">
        <v>2019</v>
      </c>
      <c r="H136" s="3" t="s">
        <v>2020</v>
      </c>
      <c r="I136" s="3" t="s">
        <v>2019</v>
      </c>
      <c r="J136" s="3" t="s">
        <v>2021</v>
      </c>
      <c r="K136" s="3" t="s">
        <v>2022</v>
      </c>
      <c r="L136" s="3" t="s">
        <v>2023</v>
      </c>
      <c r="M136" s="3" t="s">
        <v>1753</v>
      </c>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5.75" customHeight="1" x14ac:dyDescent="0.35">
      <c r="A137" s="3"/>
      <c r="B137" s="3"/>
      <c r="C137" s="3" t="s">
        <v>2024</v>
      </c>
      <c r="D137" s="3"/>
      <c r="E137" s="3"/>
      <c r="F137" s="3"/>
      <c r="G137" s="3" t="s">
        <v>1821</v>
      </c>
      <c r="H137" s="3" t="s">
        <v>1821</v>
      </c>
      <c r="I137" s="3" t="s">
        <v>1821</v>
      </c>
      <c r="J137" s="3" t="s">
        <v>1656</v>
      </c>
      <c r="K137" s="3" t="s">
        <v>1823</v>
      </c>
      <c r="L137" s="3" t="s">
        <v>2025</v>
      </c>
      <c r="M137" s="3" t="s">
        <v>1753</v>
      </c>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5.75" customHeight="1" x14ac:dyDescent="0.35">
      <c r="A138" s="3"/>
      <c r="B138" s="3" t="s">
        <v>357</v>
      </c>
      <c r="C138" s="3" t="s">
        <v>1629</v>
      </c>
      <c r="D138" s="3" t="s">
        <v>1657</v>
      </c>
      <c r="E138" s="3" t="s">
        <v>1658</v>
      </c>
      <c r="F138" s="3"/>
      <c r="G138" s="3" t="s">
        <v>2026</v>
      </c>
      <c r="H138" s="3" t="s">
        <v>2026</v>
      </c>
      <c r="I138" s="3" t="s">
        <v>2026</v>
      </c>
      <c r="J138" s="3" t="s">
        <v>1680</v>
      </c>
      <c r="K138" s="3" t="s">
        <v>1630</v>
      </c>
      <c r="L138" s="3" t="s">
        <v>1665</v>
      </c>
      <c r="M138" s="3" t="s">
        <v>1753</v>
      </c>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5.75" customHeight="1" x14ac:dyDescent="0.35">
      <c r="A139" s="3"/>
      <c r="B139" s="3"/>
      <c r="C139" s="3" t="s">
        <v>1631</v>
      </c>
      <c r="D139" s="3"/>
      <c r="E139" s="3"/>
      <c r="F139" s="3"/>
      <c r="G139" s="3" t="s">
        <v>1818</v>
      </c>
      <c r="H139" s="3" t="s">
        <v>1818</v>
      </c>
      <c r="I139" s="3" t="s">
        <v>1818</v>
      </c>
      <c r="J139" s="3" t="s">
        <v>1659</v>
      </c>
      <c r="K139" s="3" t="s">
        <v>2027</v>
      </c>
      <c r="L139" s="3" t="s">
        <v>2028</v>
      </c>
      <c r="M139" s="3" t="s">
        <v>1753</v>
      </c>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5.75" customHeight="1" x14ac:dyDescent="0.35">
      <c r="A140" s="3"/>
      <c r="B140" s="3" t="s">
        <v>358</v>
      </c>
      <c r="C140" s="3" t="s">
        <v>2029</v>
      </c>
      <c r="D140" s="3" t="s">
        <v>315</v>
      </c>
      <c r="E140" s="3" t="s">
        <v>77</v>
      </c>
      <c r="F140" s="3"/>
      <c r="G140" s="3" t="s">
        <v>360</v>
      </c>
      <c r="H140" s="3" t="s">
        <v>2030</v>
      </c>
      <c r="I140" s="3" t="s">
        <v>2030</v>
      </c>
      <c r="J140" s="3" t="s">
        <v>360</v>
      </c>
      <c r="K140" s="3" t="s">
        <v>360</v>
      </c>
      <c r="L140" s="3" t="s">
        <v>360</v>
      </c>
      <c r="M140" s="3" t="s">
        <v>1753</v>
      </c>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5.75" customHeight="1" x14ac:dyDescent="0.35">
      <c r="A141" s="3"/>
      <c r="B141" s="3"/>
      <c r="C141" s="3" t="s">
        <v>2031</v>
      </c>
      <c r="D141" s="3"/>
      <c r="E141" s="3"/>
      <c r="F141" s="3"/>
      <c r="G141" s="3" t="s">
        <v>365</v>
      </c>
      <c r="H141" s="3" t="s">
        <v>365</v>
      </c>
      <c r="I141" s="3" t="s">
        <v>365</v>
      </c>
      <c r="J141" s="3" t="s">
        <v>365</v>
      </c>
      <c r="K141" s="3" t="s">
        <v>365</v>
      </c>
      <c r="L141" s="3" t="s">
        <v>365</v>
      </c>
      <c r="M141" s="3" t="s">
        <v>1753</v>
      </c>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5.75" customHeight="1" x14ac:dyDescent="0.35">
      <c r="A142" s="3"/>
      <c r="B142" s="3"/>
      <c r="C142" s="3" t="s">
        <v>756</v>
      </c>
      <c r="D142" s="3"/>
      <c r="E142" s="3"/>
      <c r="F142" s="3"/>
      <c r="G142" s="3" t="s">
        <v>371</v>
      </c>
      <c r="H142" s="3" t="s">
        <v>371</v>
      </c>
      <c r="I142" s="3" t="s">
        <v>2032</v>
      </c>
      <c r="J142" s="3" t="s">
        <v>371</v>
      </c>
      <c r="K142" s="3" t="s">
        <v>371</v>
      </c>
      <c r="L142" s="3" t="s">
        <v>371</v>
      </c>
      <c r="M142" s="3" t="s">
        <v>1753</v>
      </c>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5.75" customHeight="1" x14ac:dyDescent="0.35">
      <c r="A143" s="3"/>
      <c r="B143" s="3"/>
      <c r="C143" s="3" t="s">
        <v>1792</v>
      </c>
      <c r="D143" s="3"/>
      <c r="E143" s="3"/>
      <c r="F143" s="3"/>
      <c r="G143" s="3" t="s">
        <v>2033</v>
      </c>
      <c r="H143" s="3" t="s">
        <v>2034</v>
      </c>
      <c r="I143" s="3" t="s">
        <v>2033</v>
      </c>
      <c r="J143" s="3" t="s">
        <v>375</v>
      </c>
      <c r="K143" s="3" t="s">
        <v>2035</v>
      </c>
      <c r="L143" s="3" t="s">
        <v>1987</v>
      </c>
      <c r="M143" s="3" t="s">
        <v>1753</v>
      </c>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5.75" customHeight="1" x14ac:dyDescent="0.35">
      <c r="A144" s="3"/>
      <c r="B144" s="3" t="s">
        <v>136</v>
      </c>
      <c r="C144" s="3" t="s">
        <v>1635</v>
      </c>
      <c r="D144" s="3"/>
      <c r="E144" s="3"/>
      <c r="F144" s="3"/>
      <c r="G144" s="3" t="s">
        <v>2036</v>
      </c>
      <c r="H144" s="3" t="s">
        <v>1660</v>
      </c>
      <c r="I144" s="3" t="s">
        <v>2037</v>
      </c>
      <c r="J144" s="3" t="s">
        <v>1660</v>
      </c>
      <c r="K144" s="3" t="s">
        <v>1660</v>
      </c>
      <c r="L144" s="3" t="s">
        <v>1660</v>
      </c>
      <c r="M144" s="3" t="s">
        <v>1753</v>
      </c>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5.75" customHeight="1" x14ac:dyDescent="0.35">
      <c r="A145" s="3"/>
      <c r="B145" s="5" t="s">
        <v>137</v>
      </c>
      <c r="C145" s="5" t="s">
        <v>131</v>
      </c>
      <c r="D145" s="3"/>
      <c r="E145" s="3"/>
      <c r="F145" s="3"/>
      <c r="G145" s="3"/>
      <c r="H145" s="3"/>
      <c r="I145" s="3"/>
      <c r="J145" s="3"/>
      <c r="K145" s="3"/>
      <c r="L145" s="3"/>
      <c r="M145" s="3" t="s">
        <v>1753</v>
      </c>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5.75" customHeight="1" x14ac:dyDescent="0.35">
      <c r="A146" s="3"/>
      <c r="B146" s="3" t="s">
        <v>378</v>
      </c>
      <c r="C146" s="3" t="s">
        <v>2038</v>
      </c>
      <c r="D146" s="3" t="s">
        <v>1651</v>
      </c>
      <c r="E146" s="3" t="s">
        <v>1652</v>
      </c>
      <c r="F146" s="3"/>
      <c r="G146" s="3" t="s">
        <v>2039</v>
      </c>
      <c r="H146" s="3" t="s">
        <v>2039</v>
      </c>
      <c r="I146" s="3" t="s">
        <v>2040</v>
      </c>
      <c r="J146" s="3" t="s">
        <v>2041</v>
      </c>
      <c r="K146" s="3" t="s">
        <v>2042</v>
      </c>
      <c r="L146" s="3" t="s">
        <v>2043</v>
      </c>
      <c r="M146" s="3" t="s">
        <v>1753</v>
      </c>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5.75" customHeight="1" x14ac:dyDescent="0.35">
      <c r="A147" s="3"/>
      <c r="B147" s="3" t="s">
        <v>138</v>
      </c>
      <c r="C147" s="3" t="s">
        <v>1629</v>
      </c>
      <c r="D147" s="3"/>
      <c r="E147" s="3"/>
      <c r="F147" s="3"/>
      <c r="G147" s="3" t="s">
        <v>1828</v>
      </c>
      <c r="H147" s="3" t="s">
        <v>1828</v>
      </c>
      <c r="I147" s="3" t="s">
        <v>1828</v>
      </c>
      <c r="J147" s="3" t="s">
        <v>1630</v>
      </c>
      <c r="K147" s="3" t="s">
        <v>1680</v>
      </c>
      <c r="L147" s="3" t="s">
        <v>1654</v>
      </c>
      <c r="M147" s="3" t="s">
        <v>1753</v>
      </c>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5.75" customHeight="1" x14ac:dyDescent="0.35">
      <c r="A148" s="3"/>
      <c r="B148" s="3"/>
      <c r="C148" s="3" t="s">
        <v>1631</v>
      </c>
      <c r="D148" s="3"/>
      <c r="E148" s="3"/>
      <c r="F148" s="3"/>
      <c r="G148" s="3" t="s">
        <v>2044</v>
      </c>
      <c r="H148" s="3" t="s">
        <v>2020</v>
      </c>
      <c r="I148" s="3" t="s">
        <v>2019</v>
      </c>
      <c r="J148" s="3" t="s">
        <v>1663</v>
      </c>
      <c r="K148" s="3" t="s">
        <v>1663</v>
      </c>
      <c r="L148" s="3" t="s">
        <v>1663</v>
      </c>
      <c r="M148" s="3" t="s">
        <v>1753</v>
      </c>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5.75" customHeight="1" x14ac:dyDescent="0.35">
      <c r="A149" s="3"/>
      <c r="B149" s="3"/>
      <c r="C149" s="3" t="s">
        <v>1638</v>
      </c>
      <c r="D149" s="3"/>
      <c r="E149" s="3"/>
      <c r="F149" s="3"/>
      <c r="G149" s="3" t="s">
        <v>2045</v>
      </c>
      <c r="H149" s="3" t="s">
        <v>2045</v>
      </c>
      <c r="I149" s="3" t="s">
        <v>2046</v>
      </c>
      <c r="J149" s="3" t="s">
        <v>1664</v>
      </c>
      <c r="K149" s="3" t="s">
        <v>1664</v>
      </c>
      <c r="L149" s="3" t="s">
        <v>2047</v>
      </c>
      <c r="M149" s="3" t="s">
        <v>1753</v>
      </c>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5.75" customHeight="1" x14ac:dyDescent="0.35">
      <c r="A150" s="3"/>
      <c r="B150" s="3" t="s">
        <v>379</v>
      </c>
      <c r="C150" s="3" t="s">
        <v>1629</v>
      </c>
      <c r="D150" s="3" t="s">
        <v>174</v>
      </c>
      <c r="E150" s="3" t="s">
        <v>175</v>
      </c>
      <c r="F150" s="3"/>
      <c r="G150" s="3" t="s">
        <v>2026</v>
      </c>
      <c r="H150" s="3" t="s">
        <v>2026</v>
      </c>
      <c r="I150" s="3" t="s">
        <v>2026</v>
      </c>
      <c r="J150" s="3" t="s">
        <v>1665</v>
      </c>
      <c r="K150" s="3" t="s">
        <v>1665</v>
      </c>
      <c r="L150" s="3" t="s">
        <v>1665</v>
      </c>
      <c r="M150" s="3" t="s">
        <v>1753</v>
      </c>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5.75" customHeight="1" x14ac:dyDescent="0.35">
      <c r="A151" s="3"/>
      <c r="B151" s="3"/>
      <c r="C151" s="3" t="s">
        <v>1631</v>
      </c>
      <c r="D151" s="3"/>
      <c r="E151" s="3"/>
      <c r="F151" s="3"/>
      <c r="G151" s="3" t="s">
        <v>1818</v>
      </c>
      <c r="H151" s="3" t="s">
        <v>2048</v>
      </c>
      <c r="I151" s="3" t="s">
        <v>1831</v>
      </c>
      <c r="J151" s="3" t="s">
        <v>1666</v>
      </c>
      <c r="K151" s="3" t="s">
        <v>2049</v>
      </c>
      <c r="L151" s="3" t="s">
        <v>2020</v>
      </c>
      <c r="M151" s="3" t="s">
        <v>1753</v>
      </c>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5.75" customHeight="1" x14ac:dyDescent="0.35">
      <c r="A152" s="3"/>
      <c r="B152" s="5" t="s">
        <v>139</v>
      </c>
      <c r="C152" s="5" t="s">
        <v>131</v>
      </c>
      <c r="D152" s="5"/>
      <c r="E152" s="3"/>
      <c r="F152" s="3"/>
      <c r="G152" s="3"/>
      <c r="H152" s="3"/>
      <c r="I152" s="3"/>
      <c r="J152" s="3"/>
      <c r="K152" s="3"/>
      <c r="L152" s="3"/>
      <c r="M152" s="3" t="s">
        <v>1753</v>
      </c>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5.75" customHeight="1" x14ac:dyDescent="0.35">
      <c r="A153" s="3"/>
      <c r="B153" s="5" t="s">
        <v>140</v>
      </c>
      <c r="C153" s="5" t="s">
        <v>131</v>
      </c>
      <c r="D153" s="5" t="s">
        <v>76</v>
      </c>
      <c r="E153" s="3" t="s">
        <v>77</v>
      </c>
      <c r="F153" s="3"/>
      <c r="G153" s="3"/>
      <c r="H153" s="3"/>
      <c r="I153" s="3"/>
      <c r="J153" s="3"/>
      <c r="K153" s="3"/>
      <c r="L153" s="3"/>
      <c r="M153" s="3" t="s">
        <v>1753</v>
      </c>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5.75" customHeight="1" x14ac:dyDescent="0.35">
      <c r="A154" s="3"/>
      <c r="B154" s="3" t="s">
        <v>141</v>
      </c>
      <c r="C154" s="3" t="s">
        <v>777</v>
      </c>
      <c r="D154" s="3" t="s">
        <v>380</v>
      </c>
      <c r="E154" s="3" t="s">
        <v>144</v>
      </c>
      <c r="F154" s="3"/>
      <c r="G154" s="3" t="s">
        <v>2050</v>
      </c>
      <c r="H154" s="3" t="s">
        <v>2051</v>
      </c>
      <c r="I154" s="3" t="s">
        <v>2052</v>
      </c>
      <c r="J154" s="3" t="s">
        <v>2053</v>
      </c>
      <c r="K154" s="3" t="s">
        <v>2054</v>
      </c>
      <c r="L154" s="3" t="s">
        <v>2054</v>
      </c>
      <c r="M154" s="3" t="s">
        <v>1753</v>
      </c>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5.75" customHeight="1" x14ac:dyDescent="0.35">
      <c r="A155" s="3"/>
      <c r="B155" s="3"/>
      <c r="C155" s="3" t="s">
        <v>779</v>
      </c>
      <c r="D155" s="3"/>
      <c r="E155" s="3"/>
      <c r="F155" s="3"/>
      <c r="G155" s="3" t="s">
        <v>2055</v>
      </c>
      <c r="H155" s="3" t="s">
        <v>2056</v>
      </c>
      <c r="I155" s="3" t="s">
        <v>2057</v>
      </c>
      <c r="J155" s="3" t="s">
        <v>1841</v>
      </c>
      <c r="K155" s="3" t="s">
        <v>1841</v>
      </c>
      <c r="L155" s="3" t="s">
        <v>2058</v>
      </c>
      <c r="M155" s="3" t="s">
        <v>1753</v>
      </c>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5.75" customHeight="1" x14ac:dyDescent="0.35">
      <c r="A156" s="3"/>
      <c r="B156" s="3"/>
      <c r="C156" s="3" t="s">
        <v>1845</v>
      </c>
      <c r="D156" s="3"/>
      <c r="E156" s="3"/>
      <c r="F156" s="3"/>
      <c r="G156" s="3" t="s">
        <v>2059</v>
      </c>
      <c r="H156" s="3" t="s">
        <v>2059</v>
      </c>
      <c r="I156" s="3" t="s">
        <v>2060</v>
      </c>
      <c r="J156" s="3" t="s">
        <v>2061</v>
      </c>
      <c r="K156" s="3" t="s">
        <v>2062</v>
      </c>
      <c r="L156" s="3" t="s">
        <v>2063</v>
      </c>
      <c r="M156" s="3" t="s">
        <v>1753</v>
      </c>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5.75" customHeight="1" x14ac:dyDescent="0.35">
      <c r="A157" s="3"/>
      <c r="B157" s="3" t="s">
        <v>162</v>
      </c>
      <c r="C157" s="3" t="s">
        <v>163</v>
      </c>
      <c r="D157" s="3"/>
      <c r="E157" s="3"/>
      <c r="F157" s="3"/>
      <c r="G157" s="3" t="s">
        <v>2064</v>
      </c>
      <c r="H157" s="3" t="s">
        <v>2065</v>
      </c>
      <c r="I157" s="3" t="s">
        <v>2066</v>
      </c>
      <c r="J157" s="3" t="s">
        <v>398</v>
      </c>
      <c r="K157" s="3" t="s">
        <v>2067</v>
      </c>
      <c r="L157" s="3" t="s">
        <v>2068</v>
      </c>
      <c r="M157" s="3" t="s">
        <v>1753</v>
      </c>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5.75" customHeight="1" x14ac:dyDescent="0.35">
      <c r="A158" s="3"/>
      <c r="B158" s="3" t="s">
        <v>168</v>
      </c>
      <c r="C158" s="3"/>
      <c r="D158" s="3" t="s">
        <v>34</v>
      </c>
      <c r="E158" s="3" t="s">
        <v>35</v>
      </c>
      <c r="F158" s="3"/>
      <c r="G158" s="3"/>
      <c r="H158" s="3"/>
      <c r="I158" s="3"/>
      <c r="J158" s="3"/>
      <c r="K158" s="3"/>
      <c r="L158" s="3"/>
      <c r="M158" s="3" t="s">
        <v>1753</v>
      </c>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5.75" customHeight="1" x14ac:dyDescent="0.35">
      <c r="A159" s="3"/>
      <c r="B159" s="3" t="s">
        <v>400</v>
      </c>
      <c r="C159" s="3" t="s">
        <v>25</v>
      </c>
      <c r="D159" s="3"/>
      <c r="E159" s="3"/>
      <c r="F159" s="3"/>
      <c r="G159" s="3" t="s">
        <v>401</v>
      </c>
      <c r="H159" s="3" t="s">
        <v>1990</v>
      </c>
      <c r="I159" s="3" t="s">
        <v>401</v>
      </c>
      <c r="J159" s="3" t="s">
        <v>401</v>
      </c>
      <c r="K159" s="3" t="s">
        <v>1990</v>
      </c>
      <c r="L159" s="3" t="s">
        <v>1990</v>
      </c>
      <c r="M159" s="3" t="s">
        <v>1753</v>
      </c>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5.75" customHeight="1" x14ac:dyDescent="0.35">
      <c r="A160" s="3"/>
      <c r="B160" s="3"/>
      <c r="C160" s="3" t="s">
        <v>29</v>
      </c>
      <c r="D160" s="3"/>
      <c r="E160" s="3"/>
      <c r="F160" s="3"/>
      <c r="G160" s="3" t="s">
        <v>2069</v>
      </c>
      <c r="H160" s="3" t="s">
        <v>2070</v>
      </c>
      <c r="I160" s="3" t="s">
        <v>2069</v>
      </c>
      <c r="J160" s="3" t="s">
        <v>402</v>
      </c>
      <c r="K160" s="3" t="s">
        <v>2071</v>
      </c>
      <c r="L160" s="3" t="s">
        <v>402</v>
      </c>
      <c r="M160" s="3" t="s">
        <v>1753</v>
      </c>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5.75" customHeight="1" x14ac:dyDescent="0.35">
      <c r="A161" s="3"/>
      <c r="B161" s="3" t="s">
        <v>403</v>
      </c>
      <c r="C161" s="3" t="s">
        <v>163</v>
      </c>
      <c r="D161" s="3"/>
      <c r="E161" s="3"/>
      <c r="F161" s="3"/>
      <c r="G161" s="3" t="s">
        <v>2072</v>
      </c>
      <c r="H161" s="3" t="s">
        <v>2073</v>
      </c>
      <c r="I161" s="3" t="s">
        <v>2074</v>
      </c>
      <c r="J161" s="3" t="s">
        <v>405</v>
      </c>
      <c r="K161" s="3" t="s">
        <v>405</v>
      </c>
      <c r="L161" s="3" t="s">
        <v>2075</v>
      </c>
      <c r="M161" s="3" t="s">
        <v>1753</v>
      </c>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5.75" customHeight="1" x14ac:dyDescent="0.35">
      <c r="A162" s="3"/>
      <c r="B162" s="3" t="s">
        <v>409</v>
      </c>
      <c r="C162" s="3" t="s">
        <v>777</v>
      </c>
      <c r="D162" s="3" t="s">
        <v>380</v>
      </c>
      <c r="E162" s="3" t="s">
        <v>144</v>
      </c>
      <c r="F162" s="3"/>
      <c r="G162" s="3" t="s">
        <v>2076</v>
      </c>
      <c r="H162" s="3" t="s">
        <v>2077</v>
      </c>
      <c r="I162" s="3" t="s">
        <v>2050</v>
      </c>
      <c r="J162" s="3" t="s">
        <v>2078</v>
      </c>
      <c r="K162" s="3" t="s">
        <v>2079</v>
      </c>
      <c r="L162" s="3" t="s">
        <v>2079</v>
      </c>
      <c r="M162" s="3" t="s">
        <v>1753</v>
      </c>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5.75" customHeight="1" x14ac:dyDescent="0.35">
      <c r="A163" s="3"/>
      <c r="B163" s="3"/>
      <c r="C163" s="3" t="s">
        <v>779</v>
      </c>
      <c r="D163" s="3"/>
      <c r="E163" s="3"/>
      <c r="F163" s="3"/>
      <c r="G163" s="3" t="s">
        <v>2080</v>
      </c>
      <c r="H163" s="3" t="s">
        <v>2081</v>
      </c>
      <c r="I163" s="3" t="s">
        <v>1840</v>
      </c>
      <c r="J163" s="3" t="s">
        <v>2082</v>
      </c>
      <c r="K163" s="3" t="s">
        <v>2083</v>
      </c>
      <c r="L163" s="3" t="s">
        <v>2084</v>
      </c>
      <c r="M163" s="3" t="s">
        <v>1753</v>
      </c>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5.75" customHeight="1" x14ac:dyDescent="0.35">
      <c r="A164" s="3"/>
      <c r="B164" s="3"/>
      <c r="C164" s="3" t="s">
        <v>1845</v>
      </c>
      <c r="D164" s="3"/>
      <c r="E164" s="3"/>
      <c r="F164" s="3"/>
      <c r="G164" s="3" t="s">
        <v>2085</v>
      </c>
      <c r="H164" s="3" t="s">
        <v>2086</v>
      </c>
      <c r="I164" s="3" t="s">
        <v>2060</v>
      </c>
      <c r="J164" s="3" t="s">
        <v>2087</v>
      </c>
      <c r="K164" s="3" t="s">
        <v>2088</v>
      </c>
      <c r="L164" s="3" t="s">
        <v>2089</v>
      </c>
      <c r="M164" s="3" t="s">
        <v>1753</v>
      </c>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5.75" customHeight="1" x14ac:dyDescent="0.35">
      <c r="A165" s="3"/>
      <c r="B165" s="3" t="s">
        <v>169</v>
      </c>
      <c r="C165" s="3"/>
      <c r="D165" s="3" t="s">
        <v>170</v>
      </c>
      <c r="E165" s="3" t="s">
        <v>171</v>
      </c>
      <c r="F165" s="3"/>
      <c r="G165" s="3"/>
      <c r="H165" s="3"/>
      <c r="I165" s="3"/>
      <c r="J165" s="3"/>
      <c r="K165" s="3"/>
      <c r="L165" s="3"/>
      <c r="M165" s="3" t="s">
        <v>1753</v>
      </c>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5.75" customHeight="1" x14ac:dyDescent="0.35">
      <c r="A166" s="3"/>
      <c r="B166" s="3" t="s">
        <v>172</v>
      </c>
      <c r="C166" s="3"/>
      <c r="D166" s="3" t="s">
        <v>34</v>
      </c>
      <c r="E166" s="3" t="s">
        <v>35</v>
      </c>
      <c r="F166" s="3"/>
      <c r="G166" s="3"/>
      <c r="H166" s="3"/>
      <c r="I166" s="3"/>
      <c r="J166" s="3"/>
      <c r="K166" s="3"/>
      <c r="L166" s="3"/>
      <c r="M166" s="3" t="s">
        <v>1753</v>
      </c>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5.75" customHeight="1" x14ac:dyDescent="0.35">
      <c r="A167" s="3"/>
      <c r="B167" s="3" t="s">
        <v>173</v>
      </c>
      <c r="C167" s="3" t="s">
        <v>777</v>
      </c>
      <c r="D167" s="3" t="s">
        <v>423</v>
      </c>
      <c r="E167" s="3" t="s">
        <v>175</v>
      </c>
      <c r="F167" s="3"/>
      <c r="G167" s="3" t="s">
        <v>1858</v>
      </c>
      <c r="H167" s="3" t="s">
        <v>2090</v>
      </c>
      <c r="I167" s="3" t="s">
        <v>2091</v>
      </c>
      <c r="J167" s="3" t="s">
        <v>2079</v>
      </c>
      <c r="K167" s="3" t="s">
        <v>2079</v>
      </c>
      <c r="L167" s="3" t="s">
        <v>2079</v>
      </c>
      <c r="M167" s="3" t="s">
        <v>1753</v>
      </c>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5.75" customHeight="1" x14ac:dyDescent="0.35">
      <c r="A168" s="3"/>
      <c r="B168" s="3"/>
      <c r="C168" s="3" t="s">
        <v>779</v>
      </c>
      <c r="D168" s="3"/>
      <c r="E168" s="3"/>
      <c r="F168" s="3"/>
      <c r="G168" s="3" t="s">
        <v>2092</v>
      </c>
      <c r="H168" s="3" t="s">
        <v>2093</v>
      </c>
      <c r="I168" s="3" t="s">
        <v>2094</v>
      </c>
      <c r="J168" s="3" t="s">
        <v>2095</v>
      </c>
      <c r="K168" s="3" t="s">
        <v>2096</v>
      </c>
      <c r="L168" s="3" t="s">
        <v>2097</v>
      </c>
      <c r="M168" s="3" t="s">
        <v>1753</v>
      </c>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5.75" customHeight="1" x14ac:dyDescent="0.35">
      <c r="A169" s="3"/>
      <c r="B169" s="3"/>
      <c r="C169" s="3" t="s">
        <v>780</v>
      </c>
      <c r="D169" s="3"/>
      <c r="E169" s="3"/>
      <c r="F169" s="3"/>
      <c r="G169" s="3" t="s">
        <v>2098</v>
      </c>
      <c r="H169" s="3" t="s">
        <v>2099</v>
      </c>
      <c r="I169" s="3" t="s">
        <v>2100</v>
      </c>
      <c r="J169" s="3" t="s">
        <v>2101</v>
      </c>
      <c r="K169" s="3" t="s">
        <v>2102</v>
      </c>
      <c r="L169" s="3" t="s">
        <v>2103</v>
      </c>
      <c r="M169" s="3" t="s">
        <v>1753</v>
      </c>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5.75" customHeight="1" x14ac:dyDescent="0.35">
      <c r="A170" s="3"/>
      <c r="B170" s="3" t="s">
        <v>436</v>
      </c>
      <c r="C170" s="3" t="s">
        <v>777</v>
      </c>
      <c r="D170" s="3" t="s">
        <v>423</v>
      </c>
      <c r="E170" s="3" t="s">
        <v>175</v>
      </c>
      <c r="F170" s="3"/>
      <c r="G170" s="3" t="s">
        <v>2104</v>
      </c>
      <c r="H170" s="3" t="s">
        <v>2091</v>
      </c>
      <c r="I170" s="3" t="s">
        <v>2091</v>
      </c>
      <c r="J170" s="3" t="s">
        <v>2079</v>
      </c>
      <c r="K170" s="3" t="s">
        <v>2079</v>
      </c>
      <c r="L170" s="3" t="s">
        <v>2079</v>
      </c>
      <c r="M170" s="3" t="s">
        <v>1753</v>
      </c>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5.75" customHeight="1" x14ac:dyDescent="0.35">
      <c r="A171" s="3"/>
      <c r="B171" s="3"/>
      <c r="C171" s="3" t="s">
        <v>779</v>
      </c>
      <c r="D171" s="3"/>
      <c r="E171" s="3"/>
      <c r="F171" s="3"/>
      <c r="G171" s="3" t="s">
        <v>2105</v>
      </c>
      <c r="H171" s="3" t="s">
        <v>2106</v>
      </c>
      <c r="I171" s="3" t="s">
        <v>2094</v>
      </c>
      <c r="J171" s="3" t="s">
        <v>2107</v>
      </c>
      <c r="K171" s="3" t="s">
        <v>2108</v>
      </c>
      <c r="L171" s="3" t="s">
        <v>2109</v>
      </c>
      <c r="M171" s="3" t="s">
        <v>1753</v>
      </c>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5.75" customHeight="1" x14ac:dyDescent="0.35">
      <c r="A172" s="3"/>
      <c r="B172" s="3"/>
      <c r="C172" s="3" t="s">
        <v>780</v>
      </c>
      <c r="D172" s="3"/>
      <c r="E172" s="3"/>
      <c r="F172" s="3"/>
      <c r="G172" s="3" t="s">
        <v>2110</v>
      </c>
      <c r="H172" s="3" t="s">
        <v>2111</v>
      </c>
      <c r="I172" s="3" t="s">
        <v>2112</v>
      </c>
      <c r="J172" s="3" t="s">
        <v>2113</v>
      </c>
      <c r="K172" s="3" t="s">
        <v>2114</v>
      </c>
      <c r="L172" s="3" t="s">
        <v>2115</v>
      </c>
      <c r="M172" s="3" t="s">
        <v>1753</v>
      </c>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5.75" customHeight="1" x14ac:dyDescent="0.35">
      <c r="A173" s="3"/>
      <c r="B173" s="3" t="s">
        <v>446</v>
      </c>
      <c r="C173" s="3"/>
      <c r="D173" s="3" t="s">
        <v>447</v>
      </c>
      <c r="E173" s="3" t="s">
        <v>448</v>
      </c>
      <c r="F173" s="3"/>
      <c r="G173" s="3"/>
      <c r="H173" s="3"/>
      <c r="I173" s="3"/>
      <c r="J173" s="3"/>
      <c r="K173" s="3"/>
      <c r="L173" s="3"/>
      <c r="M173" s="3" t="s">
        <v>1753</v>
      </c>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5.75" customHeight="1" x14ac:dyDescent="0.35">
      <c r="A174" s="3"/>
      <c r="B174" s="3" t="s">
        <v>188</v>
      </c>
      <c r="C174" s="3" t="s">
        <v>1105</v>
      </c>
      <c r="D174" s="3"/>
      <c r="E174" s="3"/>
      <c r="F174" s="3"/>
      <c r="G174" s="3" t="s">
        <v>2116</v>
      </c>
      <c r="H174" s="3" t="s">
        <v>2117</v>
      </c>
      <c r="I174" s="3" t="s">
        <v>2117</v>
      </c>
      <c r="J174" s="3" t="s">
        <v>1668</v>
      </c>
      <c r="K174" s="3" t="s">
        <v>2118</v>
      </c>
      <c r="L174" s="3" t="s">
        <v>2118</v>
      </c>
      <c r="M174" s="3" t="s">
        <v>1753</v>
      </c>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5.75" customHeight="1" x14ac:dyDescent="0.35">
      <c r="A175" s="3"/>
      <c r="B175" s="5" t="s">
        <v>189</v>
      </c>
      <c r="C175" s="5" t="s">
        <v>131</v>
      </c>
      <c r="D175" s="5"/>
      <c r="E175" s="5"/>
      <c r="F175" s="3"/>
      <c r="G175" s="3"/>
      <c r="H175" s="3"/>
      <c r="I175" s="3"/>
      <c r="J175" s="3"/>
      <c r="K175" s="3"/>
      <c r="L175" s="3"/>
      <c r="M175" s="3" t="s">
        <v>1753</v>
      </c>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5.75" customHeight="1" x14ac:dyDescent="0.35">
      <c r="A176" s="3"/>
      <c r="B176" s="5" t="s">
        <v>190</v>
      </c>
      <c r="C176" s="5" t="s">
        <v>131</v>
      </c>
      <c r="D176" s="5" t="s">
        <v>191</v>
      </c>
      <c r="E176" s="5" t="s">
        <v>192</v>
      </c>
      <c r="F176" s="3"/>
      <c r="G176" s="3"/>
      <c r="H176" s="3"/>
      <c r="I176" s="3"/>
      <c r="J176" s="3"/>
      <c r="K176" s="3"/>
      <c r="L176" s="3"/>
      <c r="M176" s="3" t="s">
        <v>1753</v>
      </c>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5.75" customHeight="1" x14ac:dyDescent="0.35">
      <c r="A177" s="3"/>
      <c r="B177" s="5"/>
      <c r="C177" s="5"/>
      <c r="D177" s="5" t="s">
        <v>193</v>
      </c>
      <c r="E177" s="5" t="s">
        <v>194</v>
      </c>
      <c r="F177" s="3"/>
      <c r="G177" s="3"/>
      <c r="H177" s="3"/>
      <c r="I177" s="3"/>
      <c r="J177" s="3"/>
      <c r="K177" s="3"/>
      <c r="L177" s="3"/>
      <c r="M177" s="3" t="s">
        <v>1753</v>
      </c>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5.75" customHeight="1" x14ac:dyDescent="0.35">
      <c r="A178" s="3"/>
      <c r="B178" s="3" t="s">
        <v>195</v>
      </c>
      <c r="C178" s="3" t="s">
        <v>131</v>
      </c>
      <c r="D178" s="3"/>
      <c r="E178" s="3"/>
      <c r="F178" s="3"/>
      <c r="G178" s="3" t="s">
        <v>2119</v>
      </c>
      <c r="H178" s="3" t="s">
        <v>2119</v>
      </c>
      <c r="I178" s="3" t="s">
        <v>2119</v>
      </c>
      <c r="J178" s="3" t="s">
        <v>196</v>
      </c>
      <c r="K178" s="3" t="s">
        <v>196</v>
      </c>
      <c r="L178" s="3" t="s">
        <v>196</v>
      </c>
      <c r="M178" s="3" t="s">
        <v>1753</v>
      </c>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5.75" customHeight="1" x14ac:dyDescent="0.35">
      <c r="A179" s="3"/>
      <c r="B179" s="3"/>
      <c r="C179" s="3" t="s">
        <v>197</v>
      </c>
      <c r="D179" s="3"/>
      <c r="E179" s="3"/>
      <c r="F179" s="3"/>
      <c r="G179" s="3" t="s">
        <v>2120</v>
      </c>
      <c r="H179" s="3" t="s">
        <v>2121</v>
      </c>
      <c r="I179" s="3" t="s">
        <v>2122</v>
      </c>
      <c r="J179" s="3" t="s">
        <v>449</v>
      </c>
      <c r="K179" s="3" t="s">
        <v>449</v>
      </c>
      <c r="L179" s="3" t="s">
        <v>2123</v>
      </c>
      <c r="M179" s="3" t="s">
        <v>1753</v>
      </c>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5.75" customHeight="1" x14ac:dyDescent="0.35">
      <c r="A180" s="3"/>
      <c r="B180" s="3"/>
      <c r="C180" s="3" t="s">
        <v>200</v>
      </c>
      <c r="D180" s="3"/>
      <c r="E180" s="3"/>
      <c r="F180" s="3"/>
      <c r="G180" s="3" t="s">
        <v>2124</v>
      </c>
      <c r="H180" s="3" t="s">
        <v>2125</v>
      </c>
      <c r="I180" s="3" t="s">
        <v>2124</v>
      </c>
      <c r="J180" s="3" t="s">
        <v>450</v>
      </c>
      <c r="K180" s="3" t="s">
        <v>2126</v>
      </c>
      <c r="L180" s="3" t="s">
        <v>2127</v>
      </c>
      <c r="M180" s="3" t="s">
        <v>1753</v>
      </c>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5.75" customHeight="1" x14ac:dyDescent="0.35">
      <c r="A181" s="3"/>
      <c r="B181" s="3" t="s">
        <v>206</v>
      </c>
      <c r="C181" s="3" t="s">
        <v>1641</v>
      </c>
      <c r="D181" s="3" t="s">
        <v>208</v>
      </c>
      <c r="E181" s="3" t="s">
        <v>209</v>
      </c>
      <c r="F181" s="3"/>
      <c r="G181" s="3" t="s">
        <v>1669</v>
      </c>
      <c r="H181" s="3" t="s">
        <v>1669</v>
      </c>
      <c r="I181" s="3" t="s">
        <v>2128</v>
      </c>
      <c r="J181" s="3" t="s">
        <v>1669</v>
      </c>
      <c r="K181" s="3" t="s">
        <v>1669</v>
      </c>
      <c r="L181" s="3" t="s">
        <v>1669</v>
      </c>
      <c r="M181" s="3" t="s">
        <v>1753</v>
      </c>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5.75" customHeight="1" x14ac:dyDescent="0.35">
      <c r="A182" s="3"/>
      <c r="B182" s="5" t="s">
        <v>456</v>
      </c>
      <c r="C182" s="5" t="s">
        <v>131</v>
      </c>
      <c r="D182" s="3"/>
      <c r="E182" s="3"/>
      <c r="F182" s="3"/>
      <c r="G182" s="3"/>
      <c r="H182" s="3"/>
      <c r="I182" s="3"/>
      <c r="J182" s="3"/>
      <c r="K182" s="3"/>
      <c r="L182" s="3"/>
      <c r="M182" s="3" t="s">
        <v>1753</v>
      </c>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5.75" customHeight="1" x14ac:dyDescent="0.35">
      <c r="A183" s="3"/>
      <c r="B183" s="3"/>
      <c r="C183" s="3"/>
      <c r="D183" s="3"/>
      <c r="E183" s="3"/>
      <c r="F183" s="3"/>
      <c r="G183" s="3"/>
      <c r="H183" s="3"/>
      <c r="I183" s="3"/>
      <c r="J183" s="3"/>
      <c r="K183" s="3"/>
      <c r="L183" s="3"/>
      <c r="M183" s="3" t="s">
        <v>1753</v>
      </c>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5.75" customHeight="1" x14ac:dyDescent="0.35">
      <c r="A184" s="3" t="s">
        <v>457</v>
      </c>
      <c r="B184" s="3" t="s">
        <v>458</v>
      </c>
      <c r="C184" s="3" t="s">
        <v>25</v>
      </c>
      <c r="D184" s="3"/>
      <c r="E184" s="3"/>
      <c r="F184" s="3"/>
      <c r="G184" s="3" t="s">
        <v>1402</v>
      </c>
      <c r="H184" s="3" t="s">
        <v>1402</v>
      </c>
      <c r="I184" s="3" t="s">
        <v>1402</v>
      </c>
      <c r="J184" s="3" t="s">
        <v>459</v>
      </c>
      <c r="K184" s="3" t="s">
        <v>459</v>
      </c>
      <c r="L184" s="3" t="s">
        <v>1436</v>
      </c>
      <c r="M184" s="3" t="s">
        <v>1753</v>
      </c>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5.75" customHeight="1" x14ac:dyDescent="0.35">
      <c r="A185" s="3"/>
      <c r="B185" s="3"/>
      <c r="C185" s="3" t="s">
        <v>29</v>
      </c>
      <c r="D185" s="3"/>
      <c r="E185" s="3"/>
      <c r="F185" s="3"/>
      <c r="G185" s="3" t="s">
        <v>461</v>
      </c>
      <c r="H185" s="3" t="s">
        <v>2129</v>
      </c>
      <c r="I185" s="3" t="s">
        <v>461</v>
      </c>
      <c r="J185" s="3" t="s">
        <v>461</v>
      </c>
      <c r="K185" s="3" t="s">
        <v>461</v>
      </c>
      <c r="L185" s="3" t="s">
        <v>461</v>
      </c>
      <c r="M185" s="3" t="s">
        <v>1753</v>
      </c>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5.75" customHeight="1" x14ac:dyDescent="0.35">
      <c r="A186" s="3"/>
      <c r="B186" s="3" t="s">
        <v>462</v>
      </c>
      <c r="C186" s="3" t="s">
        <v>33</v>
      </c>
      <c r="D186" s="3" t="s">
        <v>34</v>
      </c>
      <c r="E186" s="3" t="s">
        <v>35</v>
      </c>
      <c r="F186" s="3"/>
      <c r="G186" s="3" t="s">
        <v>2130</v>
      </c>
      <c r="H186" s="3" t="s">
        <v>2131</v>
      </c>
      <c r="I186" s="3" t="s">
        <v>2132</v>
      </c>
      <c r="J186" s="3" t="s">
        <v>463</v>
      </c>
      <c r="K186" s="3" t="s">
        <v>2133</v>
      </c>
      <c r="L186" s="3" t="s">
        <v>463</v>
      </c>
      <c r="M186" s="3" t="s">
        <v>1753</v>
      </c>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5.75" customHeight="1" x14ac:dyDescent="0.35">
      <c r="A187" s="3"/>
      <c r="B187" s="3"/>
      <c r="C187" s="3" t="s">
        <v>1628</v>
      </c>
      <c r="D187" s="3"/>
      <c r="E187" s="3"/>
      <c r="F187" s="3"/>
      <c r="G187" s="3" t="s">
        <v>2134</v>
      </c>
      <c r="H187" s="3" t="s">
        <v>2135</v>
      </c>
      <c r="I187" s="3" t="s">
        <v>2135</v>
      </c>
      <c r="J187" s="3" t="s">
        <v>1670</v>
      </c>
      <c r="K187" s="3" t="s">
        <v>2136</v>
      </c>
      <c r="L187" s="3" t="s">
        <v>2137</v>
      </c>
      <c r="M187" s="3" t="s">
        <v>1753</v>
      </c>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5.75" customHeight="1" x14ac:dyDescent="0.35">
      <c r="A188" s="3"/>
      <c r="B188" s="3"/>
      <c r="C188" s="3" t="s">
        <v>43</v>
      </c>
      <c r="D188" s="3"/>
      <c r="E188" s="3"/>
      <c r="F188" s="3"/>
      <c r="G188" s="3" t="s">
        <v>2138</v>
      </c>
      <c r="H188" s="3" t="s">
        <v>2139</v>
      </c>
      <c r="I188" s="3" t="s">
        <v>2139</v>
      </c>
      <c r="J188" s="3" t="s">
        <v>471</v>
      </c>
      <c r="K188" s="3" t="s">
        <v>2140</v>
      </c>
      <c r="L188" s="3" t="s">
        <v>2140</v>
      </c>
      <c r="M188" s="3" t="s">
        <v>1753</v>
      </c>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5.75" customHeight="1" x14ac:dyDescent="0.35">
      <c r="A189" s="3"/>
      <c r="B189" s="3" t="s">
        <v>60</v>
      </c>
      <c r="C189" s="3" t="s">
        <v>61</v>
      </c>
      <c r="D189" s="3"/>
      <c r="E189" s="3"/>
      <c r="F189" s="3"/>
      <c r="G189" s="3" t="s">
        <v>1765</v>
      </c>
      <c r="H189" s="3" t="s">
        <v>1765</v>
      </c>
      <c r="I189" s="3" t="s">
        <v>1765</v>
      </c>
      <c r="J189" s="3" t="s">
        <v>62</v>
      </c>
      <c r="K189" s="3" t="s">
        <v>62</v>
      </c>
      <c r="L189" s="3" t="s">
        <v>62</v>
      </c>
      <c r="M189" s="3" t="s">
        <v>1753</v>
      </c>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5.75" customHeight="1" x14ac:dyDescent="0.35">
      <c r="A190" s="3"/>
      <c r="B190" s="3"/>
      <c r="C190" s="3" t="s">
        <v>68</v>
      </c>
      <c r="D190" s="3"/>
      <c r="E190" s="3"/>
      <c r="F190" s="3"/>
      <c r="G190" s="3" t="s">
        <v>2141</v>
      </c>
      <c r="H190" s="3" t="s">
        <v>2142</v>
      </c>
      <c r="I190" s="3" t="s">
        <v>2143</v>
      </c>
      <c r="J190" s="3" t="s">
        <v>476</v>
      </c>
      <c r="K190" s="3" t="s">
        <v>2144</v>
      </c>
      <c r="L190" s="3" t="s">
        <v>2145</v>
      </c>
      <c r="M190" s="3" t="s">
        <v>1753</v>
      </c>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5.75" customHeight="1" x14ac:dyDescent="0.35">
      <c r="A191" s="3"/>
      <c r="B191" s="3"/>
      <c r="C191" s="3" t="s">
        <v>64</v>
      </c>
      <c r="D191" s="3"/>
      <c r="E191" s="3"/>
      <c r="F191" s="3"/>
      <c r="G191" s="3" t="s">
        <v>2146</v>
      </c>
      <c r="H191" s="3" t="s">
        <v>2146</v>
      </c>
      <c r="I191" s="3" t="s">
        <v>1768</v>
      </c>
      <c r="J191" s="3" t="s">
        <v>481</v>
      </c>
      <c r="K191" s="3" t="s">
        <v>65</v>
      </c>
      <c r="L191" s="3" t="s">
        <v>481</v>
      </c>
      <c r="M191" s="3" t="s">
        <v>1753</v>
      </c>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5.75" customHeight="1" x14ac:dyDescent="0.35">
      <c r="A192" s="3"/>
      <c r="B192" s="3" t="s">
        <v>74</v>
      </c>
      <c r="C192" s="3" t="s">
        <v>754</v>
      </c>
      <c r="D192" s="3" t="s">
        <v>76</v>
      </c>
      <c r="E192" s="3" t="s">
        <v>77</v>
      </c>
      <c r="F192" s="3"/>
      <c r="G192" s="3" t="s">
        <v>2147</v>
      </c>
      <c r="H192" s="3" t="s">
        <v>2147</v>
      </c>
      <c r="I192" s="3" t="s">
        <v>1776</v>
      </c>
      <c r="J192" s="3" t="s">
        <v>2148</v>
      </c>
      <c r="K192" s="3" t="s">
        <v>1779</v>
      </c>
      <c r="L192" s="3" t="s">
        <v>1779</v>
      </c>
      <c r="M192" s="3" t="s">
        <v>1753</v>
      </c>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5.75" customHeight="1" x14ac:dyDescent="0.35">
      <c r="A193" s="3"/>
      <c r="B193" s="3"/>
      <c r="C193" s="3" t="s">
        <v>755</v>
      </c>
      <c r="D193" s="3"/>
      <c r="E193" s="3"/>
      <c r="F193" s="3"/>
      <c r="G193" s="3" t="s">
        <v>2149</v>
      </c>
      <c r="H193" s="3" t="s">
        <v>1782</v>
      </c>
      <c r="I193" s="3" t="s">
        <v>1782</v>
      </c>
      <c r="J193" s="3" t="s">
        <v>2150</v>
      </c>
      <c r="K193" s="3" t="s">
        <v>2151</v>
      </c>
      <c r="L193" s="3" t="s">
        <v>2152</v>
      </c>
      <c r="M193" s="3" t="s">
        <v>1753</v>
      </c>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5.75" customHeight="1" x14ac:dyDescent="0.35">
      <c r="A194" s="3"/>
      <c r="B194" s="3"/>
      <c r="C194" s="3" t="s">
        <v>756</v>
      </c>
      <c r="D194" s="3"/>
      <c r="E194" s="3"/>
      <c r="F194" s="3"/>
      <c r="G194" s="3" t="s">
        <v>2153</v>
      </c>
      <c r="H194" s="3" t="s">
        <v>2154</v>
      </c>
      <c r="I194" s="3" t="s">
        <v>2155</v>
      </c>
      <c r="J194" s="3" t="s">
        <v>2156</v>
      </c>
      <c r="K194" s="3" t="s">
        <v>2157</v>
      </c>
      <c r="L194" s="3" t="s">
        <v>2158</v>
      </c>
      <c r="M194" s="3" t="s">
        <v>1753</v>
      </c>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5.75" customHeight="1" x14ac:dyDescent="0.35">
      <c r="A195" s="3"/>
      <c r="B195" s="3"/>
      <c r="C195" s="3" t="s">
        <v>1792</v>
      </c>
      <c r="D195" s="3"/>
      <c r="E195" s="3"/>
      <c r="F195" s="3"/>
      <c r="G195" s="3" t="s">
        <v>2159</v>
      </c>
      <c r="H195" s="3" t="s">
        <v>2160</v>
      </c>
      <c r="I195" s="3" t="s">
        <v>2161</v>
      </c>
      <c r="J195" s="3" t="s">
        <v>2162</v>
      </c>
      <c r="K195" s="3" t="s">
        <v>2163</v>
      </c>
      <c r="L195" s="3" t="s">
        <v>2164</v>
      </c>
      <c r="M195" s="3" t="s">
        <v>1753</v>
      </c>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5.75" customHeight="1" x14ac:dyDescent="0.35">
      <c r="A196" s="3"/>
      <c r="B196" s="3" t="s">
        <v>103</v>
      </c>
      <c r="C196" s="3"/>
      <c r="D196" s="3" t="s">
        <v>34</v>
      </c>
      <c r="E196" s="3" t="s">
        <v>35</v>
      </c>
      <c r="F196" s="3"/>
      <c r="G196" s="3"/>
      <c r="H196" s="3"/>
      <c r="I196" s="3"/>
      <c r="J196" s="3"/>
      <c r="K196" s="3"/>
      <c r="L196" s="3"/>
      <c r="M196" s="3" t="s">
        <v>1753</v>
      </c>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5.75" customHeight="1" x14ac:dyDescent="0.35">
      <c r="A197" s="3"/>
      <c r="B197" s="3" t="s">
        <v>104</v>
      </c>
      <c r="C197" s="3"/>
      <c r="D197" s="3" t="s">
        <v>34</v>
      </c>
      <c r="E197" s="3" t="s">
        <v>35</v>
      </c>
      <c r="F197" s="3"/>
      <c r="G197" s="3"/>
      <c r="H197" s="3"/>
      <c r="I197" s="3"/>
      <c r="J197" s="3"/>
      <c r="K197" s="3"/>
      <c r="L197" s="3"/>
      <c r="M197" s="3" t="s">
        <v>1753</v>
      </c>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5.75" customHeight="1" x14ac:dyDescent="0.35">
      <c r="A198" s="3"/>
      <c r="B198" s="3"/>
      <c r="C198" s="3"/>
      <c r="D198" s="3" t="s">
        <v>76</v>
      </c>
      <c r="E198" s="3" t="s">
        <v>77</v>
      </c>
      <c r="F198" s="3"/>
      <c r="G198" s="3"/>
      <c r="H198" s="3"/>
      <c r="I198" s="3"/>
      <c r="J198" s="3"/>
      <c r="K198" s="3"/>
      <c r="L198" s="3"/>
      <c r="M198" s="3" t="s">
        <v>1753</v>
      </c>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5.75" customHeight="1" x14ac:dyDescent="0.35">
      <c r="A199" s="3"/>
      <c r="B199" s="3" t="s">
        <v>230</v>
      </c>
      <c r="C199" s="3" t="s">
        <v>61</v>
      </c>
      <c r="D199" s="3"/>
      <c r="E199" s="3"/>
      <c r="F199" s="3"/>
      <c r="G199" s="3" t="s">
        <v>1765</v>
      </c>
      <c r="H199" s="3" t="s">
        <v>2165</v>
      </c>
      <c r="I199" s="3" t="s">
        <v>2165</v>
      </c>
      <c r="J199" s="3" t="s">
        <v>493</v>
      </c>
      <c r="K199" s="3" t="s">
        <v>493</v>
      </c>
      <c r="L199" s="3" t="s">
        <v>493</v>
      </c>
      <c r="M199" s="3" t="s">
        <v>1753</v>
      </c>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5.75" customHeight="1" x14ac:dyDescent="0.35">
      <c r="A200" s="3"/>
      <c r="B200" s="3"/>
      <c r="C200" s="3" t="s">
        <v>494</v>
      </c>
      <c r="D200" s="3"/>
      <c r="E200" s="3"/>
      <c r="F200" s="3"/>
      <c r="G200" s="3" t="s">
        <v>2166</v>
      </c>
      <c r="H200" s="3" t="s">
        <v>2166</v>
      </c>
      <c r="I200" s="3" t="s">
        <v>2167</v>
      </c>
      <c r="J200" s="3" t="s">
        <v>495</v>
      </c>
      <c r="K200" s="3" t="s">
        <v>2168</v>
      </c>
      <c r="L200" s="3" t="s">
        <v>2168</v>
      </c>
      <c r="M200" s="3" t="s">
        <v>1753</v>
      </c>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5.75" customHeight="1" x14ac:dyDescent="0.35">
      <c r="A201" s="3"/>
      <c r="B201" s="3" t="s">
        <v>232</v>
      </c>
      <c r="C201" s="3" t="s">
        <v>61</v>
      </c>
      <c r="D201" s="3"/>
      <c r="E201" s="3"/>
      <c r="F201" s="3"/>
      <c r="G201" s="3" t="s">
        <v>1765</v>
      </c>
      <c r="H201" s="3" t="s">
        <v>1765</v>
      </c>
      <c r="I201" s="3" t="s">
        <v>1765</v>
      </c>
      <c r="J201" s="3" t="s">
        <v>62</v>
      </c>
      <c r="K201" s="3" t="s">
        <v>62</v>
      </c>
      <c r="L201" s="3" t="s">
        <v>62</v>
      </c>
      <c r="M201" s="3" t="s">
        <v>1753</v>
      </c>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5.75" customHeight="1" x14ac:dyDescent="0.35">
      <c r="A202" s="3"/>
      <c r="B202" s="3"/>
      <c r="C202" s="3" t="s">
        <v>68</v>
      </c>
      <c r="D202" s="3"/>
      <c r="E202" s="3"/>
      <c r="F202" s="3"/>
      <c r="G202" s="3" t="s">
        <v>2169</v>
      </c>
      <c r="H202" s="3" t="s">
        <v>2170</v>
      </c>
      <c r="I202" s="3" t="s">
        <v>2169</v>
      </c>
      <c r="J202" s="3" t="s">
        <v>500</v>
      </c>
      <c r="K202" s="3" t="s">
        <v>2171</v>
      </c>
      <c r="L202" s="3" t="s">
        <v>2172</v>
      </c>
      <c r="M202" s="3" t="s">
        <v>1753</v>
      </c>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5.75" customHeight="1" x14ac:dyDescent="0.35">
      <c r="A203" s="3"/>
      <c r="B203" s="3" t="s">
        <v>105</v>
      </c>
      <c r="C203" s="3" t="s">
        <v>25</v>
      </c>
      <c r="D203" s="3"/>
      <c r="E203" s="3"/>
      <c r="F203" s="3"/>
      <c r="G203" s="3" t="s">
        <v>1798</v>
      </c>
      <c r="H203" s="3" t="s">
        <v>1798</v>
      </c>
      <c r="I203" s="3" t="s">
        <v>1798</v>
      </c>
      <c r="J203" s="3" t="s">
        <v>505</v>
      </c>
      <c r="K203" s="3" t="s">
        <v>2173</v>
      </c>
      <c r="L203" s="3" t="s">
        <v>106</v>
      </c>
      <c r="M203" s="3" t="s">
        <v>1753</v>
      </c>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5.75" customHeight="1" x14ac:dyDescent="0.35">
      <c r="A204" s="3"/>
      <c r="B204" s="3"/>
      <c r="C204" s="3" t="s">
        <v>29</v>
      </c>
      <c r="D204" s="3"/>
      <c r="E204" s="3"/>
      <c r="F204" s="3"/>
      <c r="G204" s="3" t="s">
        <v>1800</v>
      </c>
      <c r="H204" s="3" t="s">
        <v>1802</v>
      </c>
      <c r="I204" s="3" t="s">
        <v>2174</v>
      </c>
      <c r="J204" s="3" t="s">
        <v>107</v>
      </c>
      <c r="K204" s="3" t="s">
        <v>107</v>
      </c>
      <c r="L204" s="3" t="s">
        <v>107</v>
      </c>
      <c r="M204" s="3" t="s">
        <v>1753</v>
      </c>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5.75" customHeight="1" x14ac:dyDescent="0.35">
      <c r="A205" s="3"/>
      <c r="B205" s="3" t="s">
        <v>108</v>
      </c>
      <c r="C205" s="3" t="s">
        <v>109</v>
      </c>
      <c r="D205" s="3"/>
      <c r="E205" s="3"/>
      <c r="F205" s="3"/>
      <c r="G205" s="3" t="s">
        <v>2175</v>
      </c>
      <c r="H205" s="3" t="s">
        <v>2175</v>
      </c>
      <c r="I205" s="3" t="s">
        <v>2176</v>
      </c>
      <c r="J205" s="3" t="s">
        <v>506</v>
      </c>
      <c r="K205" s="3" t="s">
        <v>506</v>
      </c>
      <c r="L205" s="3" t="s">
        <v>2177</v>
      </c>
      <c r="M205" s="3" t="s">
        <v>1753</v>
      </c>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5.75" customHeight="1" x14ac:dyDescent="0.35">
      <c r="A206" s="3"/>
      <c r="B206" s="3"/>
      <c r="C206" s="3" t="s">
        <v>113</v>
      </c>
      <c r="D206" s="3"/>
      <c r="E206" s="3"/>
      <c r="F206" s="3"/>
      <c r="G206" s="3" t="s">
        <v>1806</v>
      </c>
      <c r="H206" s="3" t="s">
        <v>1806</v>
      </c>
      <c r="I206" s="3" t="s">
        <v>2178</v>
      </c>
      <c r="J206" s="3" t="s">
        <v>507</v>
      </c>
      <c r="K206" s="3" t="s">
        <v>507</v>
      </c>
      <c r="L206" s="3" t="s">
        <v>2179</v>
      </c>
      <c r="M206" s="3" t="s">
        <v>1753</v>
      </c>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5.75" customHeight="1" x14ac:dyDescent="0.35">
      <c r="A207" s="3"/>
      <c r="B207" s="3"/>
      <c r="C207" s="3" t="s">
        <v>237</v>
      </c>
      <c r="D207" s="3"/>
      <c r="E207" s="3"/>
      <c r="F207" s="3"/>
      <c r="G207" s="3" t="s">
        <v>2180</v>
      </c>
      <c r="H207" s="3" t="s">
        <v>2181</v>
      </c>
      <c r="I207" s="3" t="s">
        <v>2181</v>
      </c>
      <c r="J207" s="3" t="s">
        <v>510</v>
      </c>
      <c r="K207" s="3" t="s">
        <v>2182</v>
      </c>
      <c r="L207" s="3" t="s">
        <v>2182</v>
      </c>
      <c r="M207" s="3" t="s">
        <v>1753</v>
      </c>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5.75" customHeight="1" x14ac:dyDescent="0.35">
      <c r="A208" s="3"/>
      <c r="B208" s="3"/>
      <c r="C208" s="3" t="s">
        <v>2004</v>
      </c>
      <c r="D208" s="3"/>
      <c r="E208" s="3"/>
      <c r="F208" s="3"/>
      <c r="G208" s="3" t="s">
        <v>2183</v>
      </c>
      <c r="H208" s="3" t="s">
        <v>2183</v>
      </c>
      <c r="I208" s="3" t="s">
        <v>2183</v>
      </c>
      <c r="J208" s="3" t="s">
        <v>515</v>
      </c>
      <c r="K208" s="3" t="s">
        <v>2184</v>
      </c>
      <c r="L208" s="3" t="s">
        <v>126</v>
      </c>
      <c r="M208" s="3" t="s">
        <v>1753</v>
      </c>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5.75" customHeight="1" x14ac:dyDescent="0.35">
      <c r="A209" s="3"/>
      <c r="B209" s="3"/>
      <c r="C209" s="3" t="s">
        <v>131</v>
      </c>
      <c r="D209" s="3"/>
      <c r="E209" s="3"/>
      <c r="F209" s="3"/>
      <c r="G209" s="3" t="s">
        <v>2009</v>
      </c>
      <c r="H209" s="3" t="s">
        <v>2009</v>
      </c>
      <c r="I209" s="3" t="s">
        <v>2009</v>
      </c>
      <c r="J209" s="3" t="s">
        <v>521</v>
      </c>
      <c r="K209" s="3" t="s">
        <v>521</v>
      </c>
      <c r="L209" s="3" t="s">
        <v>521</v>
      </c>
      <c r="M209" s="3" t="s">
        <v>1753</v>
      </c>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5.75" customHeight="1" x14ac:dyDescent="0.35">
      <c r="A210" s="3"/>
      <c r="B210" s="5" t="s">
        <v>242</v>
      </c>
      <c r="C210" s="5" t="s">
        <v>131</v>
      </c>
      <c r="D210" s="3"/>
      <c r="E210" s="3"/>
      <c r="F210" s="3"/>
      <c r="G210" s="3"/>
      <c r="H210" s="3"/>
      <c r="I210" s="3"/>
      <c r="J210" s="3"/>
      <c r="K210" s="3"/>
      <c r="L210" s="3"/>
      <c r="M210" s="3" t="s">
        <v>1753</v>
      </c>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5.75" customHeight="1" x14ac:dyDescent="0.35">
      <c r="A211" s="3"/>
      <c r="B211" s="3" t="s">
        <v>243</v>
      </c>
      <c r="C211" s="3" t="s">
        <v>2185</v>
      </c>
      <c r="D211" s="3" t="s">
        <v>265</v>
      </c>
      <c r="E211" s="3" t="s">
        <v>266</v>
      </c>
      <c r="F211" s="3"/>
      <c r="G211" s="3" t="s">
        <v>2186</v>
      </c>
      <c r="H211" s="3" t="s">
        <v>2186</v>
      </c>
      <c r="I211" s="3" t="s">
        <v>2187</v>
      </c>
      <c r="J211" s="3" t="s">
        <v>2188</v>
      </c>
      <c r="K211" s="3" t="s">
        <v>2189</v>
      </c>
      <c r="L211" s="3" t="s">
        <v>2188</v>
      </c>
      <c r="M211" s="3" t="s">
        <v>1753</v>
      </c>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5.75" customHeight="1" x14ac:dyDescent="0.35">
      <c r="A212" s="3"/>
      <c r="B212" s="3" t="s">
        <v>134</v>
      </c>
      <c r="C212" s="3"/>
      <c r="D212" s="3" t="s">
        <v>174</v>
      </c>
      <c r="E212" s="3" t="s">
        <v>175</v>
      </c>
      <c r="F212" s="3"/>
      <c r="G212" s="3"/>
      <c r="H212" s="3"/>
      <c r="I212" s="3"/>
      <c r="J212" s="3"/>
      <c r="K212" s="3"/>
      <c r="L212" s="3"/>
      <c r="M212" s="3" t="s">
        <v>1753</v>
      </c>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5.75" customHeight="1" x14ac:dyDescent="0.35">
      <c r="A213" s="3"/>
      <c r="B213" s="3" t="s">
        <v>244</v>
      </c>
      <c r="C213" s="3" t="s">
        <v>2185</v>
      </c>
      <c r="D213" s="3" t="s">
        <v>265</v>
      </c>
      <c r="E213" s="3" t="s">
        <v>266</v>
      </c>
      <c r="F213" s="3"/>
      <c r="G213" s="3" t="s">
        <v>2186</v>
      </c>
      <c r="H213" s="3" t="s">
        <v>2190</v>
      </c>
      <c r="I213" s="3" t="s">
        <v>2186</v>
      </c>
      <c r="J213" s="3" t="s">
        <v>2191</v>
      </c>
      <c r="K213" s="3" t="s">
        <v>2192</v>
      </c>
      <c r="L213" s="3" t="s">
        <v>2192</v>
      </c>
      <c r="M213" s="3" t="s">
        <v>1753</v>
      </c>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5.75" customHeight="1" x14ac:dyDescent="0.35">
      <c r="A214" s="3"/>
      <c r="B214" s="3" t="s">
        <v>245</v>
      </c>
      <c r="C214" s="3" t="s">
        <v>2193</v>
      </c>
      <c r="D214" s="3" t="s">
        <v>265</v>
      </c>
      <c r="E214" s="3" t="s">
        <v>266</v>
      </c>
      <c r="F214" s="3"/>
      <c r="G214" s="3" t="s">
        <v>2194</v>
      </c>
      <c r="H214" s="3" t="s">
        <v>2195</v>
      </c>
      <c r="I214" s="3" t="s">
        <v>2196</v>
      </c>
      <c r="J214" s="3" t="s">
        <v>2196</v>
      </c>
      <c r="K214" s="3" t="s">
        <v>2196</v>
      </c>
      <c r="L214" s="3" t="s">
        <v>2196</v>
      </c>
      <c r="M214" s="3" t="s">
        <v>1753</v>
      </c>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5.75" customHeight="1" x14ac:dyDescent="0.35">
      <c r="A215" s="3"/>
      <c r="B215" s="3" t="s">
        <v>135</v>
      </c>
      <c r="C215" s="3" t="s">
        <v>1629</v>
      </c>
      <c r="D215" s="3"/>
      <c r="E215" s="3"/>
      <c r="F215" s="3"/>
      <c r="G215" s="3" t="s">
        <v>2026</v>
      </c>
      <c r="H215" s="3" t="s">
        <v>2026</v>
      </c>
      <c r="I215" s="3" t="s">
        <v>2026</v>
      </c>
      <c r="J215" s="3" t="s">
        <v>1677</v>
      </c>
      <c r="K215" s="3" t="s">
        <v>1677</v>
      </c>
      <c r="L215" s="3" t="s">
        <v>2197</v>
      </c>
      <c r="M215" s="3" t="s">
        <v>1753</v>
      </c>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5.75" customHeight="1" x14ac:dyDescent="0.35">
      <c r="A216" s="3"/>
      <c r="B216" s="3"/>
      <c r="C216" s="3" t="s">
        <v>1631</v>
      </c>
      <c r="D216" s="3"/>
      <c r="E216" s="3"/>
      <c r="F216" s="3"/>
      <c r="G216" s="3" t="s">
        <v>2198</v>
      </c>
      <c r="H216" s="3" t="s">
        <v>1818</v>
      </c>
      <c r="I216" s="3" t="s">
        <v>1818</v>
      </c>
      <c r="J216" s="3" t="s">
        <v>1678</v>
      </c>
      <c r="K216" s="3" t="s">
        <v>2019</v>
      </c>
      <c r="L216" s="3" t="s">
        <v>2199</v>
      </c>
      <c r="M216" s="3" t="s">
        <v>1753</v>
      </c>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5.75" customHeight="1" x14ac:dyDescent="0.35">
      <c r="A217" s="3"/>
      <c r="B217" s="3"/>
      <c r="C217" s="3" t="s">
        <v>2024</v>
      </c>
      <c r="D217" s="3"/>
      <c r="E217" s="3"/>
      <c r="F217" s="3"/>
      <c r="G217" s="3" t="s">
        <v>1821</v>
      </c>
      <c r="H217" s="3" t="s">
        <v>2200</v>
      </c>
      <c r="I217" s="3" t="s">
        <v>1821</v>
      </c>
      <c r="J217" s="3" t="s">
        <v>1679</v>
      </c>
      <c r="K217" s="3" t="s">
        <v>1679</v>
      </c>
      <c r="L217" s="3" t="s">
        <v>2201</v>
      </c>
      <c r="M217" s="3" t="s">
        <v>1753</v>
      </c>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5.75" customHeight="1" x14ac:dyDescent="0.35">
      <c r="A218" s="3"/>
      <c r="B218" s="3" t="s">
        <v>138</v>
      </c>
      <c r="C218" s="3" t="s">
        <v>1629</v>
      </c>
      <c r="D218" s="3"/>
      <c r="E218" s="3"/>
      <c r="F218" s="3"/>
      <c r="G218" s="3" t="s">
        <v>2026</v>
      </c>
      <c r="H218" s="3" t="s">
        <v>2026</v>
      </c>
      <c r="I218" s="3" t="s">
        <v>2026</v>
      </c>
      <c r="J218" s="3" t="s">
        <v>1680</v>
      </c>
      <c r="K218" s="3" t="s">
        <v>1630</v>
      </c>
      <c r="L218" s="3" t="s">
        <v>1654</v>
      </c>
      <c r="M218" s="3" t="s">
        <v>1753</v>
      </c>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5.75" customHeight="1" x14ac:dyDescent="0.35">
      <c r="A219" s="3"/>
      <c r="B219" s="3"/>
      <c r="C219" s="3" t="s">
        <v>1631</v>
      </c>
      <c r="D219" s="3"/>
      <c r="E219" s="3"/>
      <c r="F219" s="3"/>
      <c r="G219" s="3" t="s">
        <v>1818</v>
      </c>
      <c r="H219" s="3" t="s">
        <v>1818</v>
      </c>
      <c r="I219" s="3" t="s">
        <v>1818</v>
      </c>
      <c r="J219" s="3" t="s">
        <v>1681</v>
      </c>
      <c r="K219" s="3" t="s">
        <v>2028</v>
      </c>
      <c r="L219" s="3" t="s">
        <v>2202</v>
      </c>
      <c r="M219" s="3" t="s">
        <v>1753</v>
      </c>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5.75" customHeight="1" x14ac:dyDescent="0.35">
      <c r="A220" s="3"/>
      <c r="B220" s="3"/>
      <c r="C220" s="3" t="s">
        <v>1638</v>
      </c>
      <c r="D220" s="3"/>
      <c r="E220" s="3"/>
      <c r="F220" s="3"/>
      <c r="G220" s="3" t="s">
        <v>2203</v>
      </c>
      <c r="H220" s="3" t="s">
        <v>2204</v>
      </c>
      <c r="I220" s="3" t="s">
        <v>2203</v>
      </c>
      <c r="J220" s="3" t="s">
        <v>1682</v>
      </c>
      <c r="K220" s="3" t="s">
        <v>2205</v>
      </c>
      <c r="L220" s="3" t="s">
        <v>2205</v>
      </c>
      <c r="M220" s="3" t="s">
        <v>1753</v>
      </c>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5.75" customHeight="1" x14ac:dyDescent="0.35">
      <c r="A221" s="3"/>
      <c r="B221" s="5" t="s">
        <v>140</v>
      </c>
      <c r="C221" s="5" t="s">
        <v>131</v>
      </c>
      <c r="D221" s="5" t="s">
        <v>76</v>
      </c>
      <c r="E221" s="3" t="s">
        <v>522</v>
      </c>
      <c r="F221" s="3"/>
      <c r="G221" s="3"/>
      <c r="H221" s="3"/>
      <c r="I221" s="3"/>
      <c r="J221" s="3"/>
      <c r="K221" s="3"/>
      <c r="L221" s="3"/>
      <c r="M221" s="3" t="s">
        <v>1753</v>
      </c>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5.75" customHeight="1" x14ac:dyDescent="0.35">
      <c r="A222" s="3"/>
      <c r="B222" s="3" t="s">
        <v>246</v>
      </c>
      <c r="C222" s="3" t="s">
        <v>61</v>
      </c>
      <c r="D222" s="3"/>
      <c r="E222" s="3"/>
      <c r="F222" s="3"/>
      <c r="G222" s="3" t="s">
        <v>1765</v>
      </c>
      <c r="H222" s="3" t="s">
        <v>1765</v>
      </c>
      <c r="I222" s="3" t="s">
        <v>1765</v>
      </c>
      <c r="J222" s="3" t="s">
        <v>523</v>
      </c>
      <c r="K222" s="3" t="s">
        <v>62</v>
      </c>
      <c r="L222" s="3" t="s">
        <v>523</v>
      </c>
      <c r="M222" s="3" t="s">
        <v>1753</v>
      </c>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5.75" customHeight="1" x14ac:dyDescent="0.35">
      <c r="A223" s="3"/>
      <c r="B223" s="3"/>
      <c r="C223" s="3" t="s">
        <v>68</v>
      </c>
      <c r="D223" s="3"/>
      <c r="E223" s="3"/>
      <c r="F223" s="3"/>
      <c r="G223" s="3" t="s">
        <v>2142</v>
      </c>
      <c r="H223" s="3" t="s">
        <v>2206</v>
      </c>
      <c r="I223" s="3" t="s">
        <v>2141</v>
      </c>
      <c r="J223" s="3" t="s">
        <v>524</v>
      </c>
      <c r="K223" s="3" t="s">
        <v>2207</v>
      </c>
      <c r="L223" s="3" t="s">
        <v>2208</v>
      </c>
      <c r="M223" s="3" t="s">
        <v>1753</v>
      </c>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5.75" customHeight="1" x14ac:dyDescent="0.35">
      <c r="A224" s="3"/>
      <c r="B224" s="3"/>
      <c r="C224" s="3" t="s">
        <v>64</v>
      </c>
      <c r="D224" s="3"/>
      <c r="E224" s="3"/>
      <c r="F224" s="3"/>
      <c r="G224" s="3" t="s">
        <v>1770</v>
      </c>
      <c r="H224" s="3" t="s">
        <v>2209</v>
      </c>
      <c r="I224" s="3" t="s">
        <v>2210</v>
      </c>
      <c r="J224" s="3" t="s">
        <v>481</v>
      </c>
      <c r="K224" s="3" t="s">
        <v>2211</v>
      </c>
      <c r="L224" s="3" t="s">
        <v>2212</v>
      </c>
      <c r="M224" s="3" t="s">
        <v>1753</v>
      </c>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5.75" customHeight="1" x14ac:dyDescent="0.35">
      <c r="A225" s="3"/>
      <c r="B225" s="3" t="s">
        <v>249</v>
      </c>
      <c r="C225" s="3" t="s">
        <v>61</v>
      </c>
      <c r="D225" s="3"/>
      <c r="E225" s="3"/>
      <c r="F225" s="3"/>
      <c r="G225" s="3" t="s">
        <v>2213</v>
      </c>
      <c r="H225" s="3" t="s">
        <v>2214</v>
      </c>
      <c r="I225" s="3" t="s">
        <v>2213</v>
      </c>
      <c r="J225" s="3" t="s">
        <v>525</v>
      </c>
      <c r="K225" s="3" t="s">
        <v>2215</v>
      </c>
      <c r="L225" s="3" t="s">
        <v>2215</v>
      </c>
      <c r="M225" s="3" t="s">
        <v>1753</v>
      </c>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5.75" customHeight="1" x14ac:dyDescent="0.35">
      <c r="A226" s="3"/>
      <c r="B226" s="3"/>
      <c r="C226" s="3" t="s">
        <v>526</v>
      </c>
      <c r="D226" s="3"/>
      <c r="E226" s="3"/>
      <c r="F226" s="3"/>
      <c r="G226" s="3" t="s">
        <v>2167</v>
      </c>
      <c r="H226" s="3" t="s">
        <v>2166</v>
      </c>
      <c r="I226" s="3" t="s">
        <v>2167</v>
      </c>
      <c r="J226" s="3" t="s">
        <v>527</v>
      </c>
      <c r="K226" s="3" t="s">
        <v>2216</v>
      </c>
      <c r="L226" s="3" t="s">
        <v>2217</v>
      </c>
      <c r="M226" s="3" t="s">
        <v>1753</v>
      </c>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5.75" customHeight="1" x14ac:dyDescent="0.35">
      <c r="A227" s="3"/>
      <c r="B227" s="3"/>
      <c r="C227" s="3" t="s">
        <v>64</v>
      </c>
      <c r="D227" s="3"/>
      <c r="E227" s="3"/>
      <c r="F227" s="3"/>
      <c r="G227" s="3" t="s">
        <v>2218</v>
      </c>
      <c r="H227" s="3" t="s">
        <v>2218</v>
      </c>
      <c r="I227" s="3" t="s">
        <v>2218</v>
      </c>
      <c r="J227" s="3" t="s">
        <v>529</v>
      </c>
      <c r="K227" s="3" t="s">
        <v>529</v>
      </c>
      <c r="L227" s="3" t="s">
        <v>2219</v>
      </c>
      <c r="M227" s="3" t="s">
        <v>1753</v>
      </c>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5.75" customHeight="1" x14ac:dyDescent="0.35">
      <c r="A228" s="3"/>
      <c r="B228" s="3" t="s">
        <v>253</v>
      </c>
      <c r="C228" s="3" t="s">
        <v>61</v>
      </c>
      <c r="D228" s="3"/>
      <c r="E228" s="3"/>
      <c r="F228" s="3"/>
      <c r="G228" s="3" t="s">
        <v>2220</v>
      </c>
      <c r="H228" s="3" t="s">
        <v>2221</v>
      </c>
      <c r="I228" s="3" t="s">
        <v>2220</v>
      </c>
      <c r="J228" s="3" t="s">
        <v>530</v>
      </c>
      <c r="K228" s="3" t="s">
        <v>2222</v>
      </c>
      <c r="L228" s="3" t="s">
        <v>2223</v>
      </c>
      <c r="M228" s="3" t="s">
        <v>1753</v>
      </c>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5.75" customHeight="1" x14ac:dyDescent="0.35">
      <c r="A229" s="3"/>
      <c r="B229" s="3"/>
      <c r="C229" s="3" t="s">
        <v>68</v>
      </c>
      <c r="D229" s="3"/>
      <c r="E229" s="3"/>
      <c r="F229" s="3"/>
      <c r="G229" s="3" t="s">
        <v>2224</v>
      </c>
      <c r="H229" s="3" t="s">
        <v>2142</v>
      </c>
      <c r="I229" s="3" t="s">
        <v>2142</v>
      </c>
      <c r="J229" s="3" t="s">
        <v>531</v>
      </c>
      <c r="K229" s="3" t="s">
        <v>2225</v>
      </c>
      <c r="L229" s="3" t="s">
        <v>2226</v>
      </c>
      <c r="M229" s="3" t="s">
        <v>1753</v>
      </c>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5.75" customHeight="1" x14ac:dyDescent="0.35">
      <c r="A230" s="3"/>
      <c r="B230" s="3"/>
      <c r="C230" s="3" t="s">
        <v>64</v>
      </c>
      <c r="D230" s="3"/>
      <c r="E230" s="3"/>
      <c r="F230" s="3"/>
      <c r="G230" s="3" t="s">
        <v>2227</v>
      </c>
      <c r="H230" s="3" t="s">
        <v>2209</v>
      </c>
      <c r="I230" s="3" t="s">
        <v>2209</v>
      </c>
      <c r="J230" s="3" t="s">
        <v>529</v>
      </c>
      <c r="K230" s="3" t="s">
        <v>529</v>
      </c>
      <c r="L230" s="3" t="s">
        <v>529</v>
      </c>
      <c r="M230" s="3" t="s">
        <v>1753</v>
      </c>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5.75" customHeight="1" x14ac:dyDescent="0.35">
      <c r="A231" s="3"/>
      <c r="B231" s="3" t="s">
        <v>254</v>
      </c>
      <c r="C231" s="3" t="s">
        <v>2185</v>
      </c>
      <c r="D231" s="3"/>
      <c r="E231" s="3"/>
      <c r="F231" s="3"/>
      <c r="G231" s="3" t="s">
        <v>2188</v>
      </c>
      <c r="H231" s="3" t="s">
        <v>2188</v>
      </c>
      <c r="I231" s="3" t="s">
        <v>2188</v>
      </c>
      <c r="J231" s="3" t="s">
        <v>2189</v>
      </c>
      <c r="K231" s="3" t="s">
        <v>2188</v>
      </c>
      <c r="L231" s="3" t="s">
        <v>2188</v>
      </c>
      <c r="M231" s="3" t="s">
        <v>1753</v>
      </c>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5.75" customHeight="1" x14ac:dyDescent="0.35">
      <c r="A232" s="3"/>
      <c r="B232" s="3"/>
      <c r="C232" s="3" t="s">
        <v>1644</v>
      </c>
      <c r="D232" s="3"/>
      <c r="E232" s="3"/>
      <c r="F232" s="3"/>
      <c r="G232" s="3" t="s">
        <v>2228</v>
      </c>
      <c r="H232" s="3" t="s">
        <v>2228</v>
      </c>
      <c r="I232" s="3" t="s">
        <v>2228</v>
      </c>
      <c r="J232" s="3" t="s">
        <v>2229</v>
      </c>
      <c r="K232" s="3" t="s">
        <v>2229</v>
      </c>
      <c r="L232" s="3" t="s">
        <v>2229</v>
      </c>
      <c r="M232" s="3" t="s">
        <v>1753</v>
      </c>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5.75" customHeight="1" x14ac:dyDescent="0.35">
      <c r="A233" s="3"/>
      <c r="B233" s="3" t="s">
        <v>255</v>
      </c>
      <c r="C233" s="3" t="s">
        <v>2185</v>
      </c>
      <c r="D233" s="3"/>
      <c r="E233" s="3"/>
      <c r="F233" s="3"/>
      <c r="G233" s="3" t="s">
        <v>2188</v>
      </c>
      <c r="H233" s="3" t="s">
        <v>2188</v>
      </c>
      <c r="I233" s="3" t="s">
        <v>2188</v>
      </c>
      <c r="J233" s="3" t="s">
        <v>2189</v>
      </c>
      <c r="K233" s="3" t="s">
        <v>2230</v>
      </c>
      <c r="L233" s="3" t="s">
        <v>2188</v>
      </c>
      <c r="M233" s="3" t="s">
        <v>1753</v>
      </c>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5.75" customHeight="1" x14ac:dyDescent="0.35">
      <c r="A234" s="3"/>
      <c r="B234" s="3"/>
      <c r="C234" s="3" t="s">
        <v>1644</v>
      </c>
      <c r="D234" s="3"/>
      <c r="E234" s="3"/>
      <c r="F234" s="3"/>
      <c r="G234" s="3" t="s">
        <v>2228</v>
      </c>
      <c r="H234" s="3" t="s">
        <v>2229</v>
      </c>
      <c r="I234" s="3" t="s">
        <v>2229</v>
      </c>
      <c r="J234" s="3" t="s">
        <v>2229</v>
      </c>
      <c r="K234" s="3" t="s">
        <v>2229</v>
      </c>
      <c r="L234" s="3" t="s">
        <v>2229</v>
      </c>
      <c r="M234" s="3" t="s">
        <v>1753</v>
      </c>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5.75" customHeight="1" x14ac:dyDescent="0.35">
      <c r="A235" s="3"/>
      <c r="B235" s="3" t="s">
        <v>256</v>
      </c>
      <c r="C235" s="3" t="s">
        <v>2193</v>
      </c>
      <c r="D235" s="3"/>
      <c r="E235" s="3"/>
      <c r="F235" s="3"/>
      <c r="G235" s="3" t="s">
        <v>2196</v>
      </c>
      <c r="H235" s="3" t="s">
        <v>2196</v>
      </c>
      <c r="I235" s="3" t="s">
        <v>2196</v>
      </c>
      <c r="J235" s="3" t="s">
        <v>2196</v>
      </c>
      <c r="K235" s="3" t="s">
        <v>2231</v>
      </c>
      <c r="L235" s="3" t="s">
        <v>2196</v>
      </c>
      <c r="M235" s="3" t="s">
        <v>1753</v>
      </c>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5.75" customHeight="1" x14ac:dyDescent="0.35">
      <c r="A236" s="3"/>
      <c r="B236" s="3"/>
      <c r="C236" s="3" t="s">
        <v>1644</v>
      </c>
      <c r="D236" s="3"/>
      <c r="E236" s="3"/>
      <c r="F236" s="3"/>
      <c r="G236" s="3" t="s">
        <v>2228</v>
      </c>
      <c r="H236" s="3" t="s">
        <v>2228</v>
      </c>
      <c r="I236" s="3" t="s">
        <v>2228</v>
      </c>
      <c r="J236" s="3" t="s">
        <v>2229</v>
      </c>
      <c r="K236" s="3" t="s">
        <v>2229</v>
      </c>
      <c r="L236" s="3" t="s">
        <v>2229</v>
      </c>
      <c r="M236" s="3" t="s">
        <v>1753</v>
      </c>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5.75" customHeight="1" x14ac:dyDescent="0.35">
      <c r="A237" s="3"/>
      <c r="B237" s="3" t="s">
        <v>257</v>
      </c>
      <c r="C237" s="3" t="s">
        <v>2232</v>
      </c>
      <c r="D237" s="3"/>
      <c r="E237" s="3"/>
      <c r="F237" s="3"/>
      <c r="G237" s="3" t="s">
        <v>2233</v>
      </c>
      <c r="H237" s="3" t="s">
        <v>2233</v>
      </c>
      <c r="I237" s="3" t="s">
        <v>2234</v>
      </c>
      <c r="J237" s="3" t="s">
        <v>2235</v>
      </c>
      <c r="K237" s="3" t="s">
        <v>2236</v>
      </c>
      <c r="L237" s="3" t="s">
        <v>2237</v>
      </c>
      <c r="M237" s="3" t="s">
        <v>1753</v>
      </c>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5.75" customHeight="1" x14ac:dyDescent="0.35">
      <c r="A238" s="3"/>
      <c r="B238" s="3"/>
      <c r="C238" s="3" t="s">
        <v>1644</v>
      </c>
      <c r="D238" s="3"/>
      <c r="E238" s="3"/>
      <c r="F238" s="3"/>
      <c r="G238" s="3" t="s">
        <v>2238</v>
      </c>
      <c r="H238" s="3" t="s">
        <v>2228</v>
      </c>
      <c r="I238" s="3" t="s">
        <v>2228</v>
      </c>
      <c r="J238" s="3" t="s">
        <v>2229</v>
      </c>
      <c r="K238" s="3" t="s">
        <v>2229</v>
      </c>
      <c r="L238" s="3" t="s">
        <v>2229</v>
      </c>
      <c r="M238" s="3" t="s">
        <v>1753</v>
      </c>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5.75" customHeight="1" x14ac:dyDescent="0.35">
      <c r="A239" s="3"/>
      <c r="B239" s="3" t="s">
        <v>261</v>
      </c>
      <c r="C239" s="3" t="s">
        <v>2232</v>
      </c>
      <c r="D239" s="3"/>
      <c r="E239" s="3"/>
      <c r="F239" s="3"/>
      <c r="G239" s="3" t="s">
        <v>2239</v>
      </c>
      <c r="H239" s="3" t="s">
        <v>2240</v>
      </c>
      <c r="I239" s="3" t="s">
        <v>2241</v>
      </c>
      <c r="J239" s="3" t="s">
        <v>2237</v>
      </c>
      <c r="K239" s="3" t="s">
        <v>2242</v>
      </c>
      <c r="L239" s="3" t="s">
        <v>2243</v>
      </c>
      <c r="M239" s="3" t="s">
        <v>1753</v>
      </c>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5.75" customHeight="1" x14ac:dyDescent="0.35">
      <c r="A240" s="3"/>
      <c r="B240" s="3"/>
      <c r="C240" s="3" t="s">
        <v>1644</v>
      </c>
      <c r="D240" s="3"/>
      <c r="E240" s="3"/>
      <c r="F240" s="3"/>
      <c r="G240" s="3" t="s">
        <v>2228</v>
      </c>
      <c r="H240" s="3" t="s">
        <v>2244</v>
      </c>
      <c r="I240" s="3" t="s">
        <v>2244</v>
      </c>
      <c r="J240" s="3" t="s">
        <v>2229</v>
      </c>
      <c r="K240" s="3" t="s">
        <v>2229</v>
      </c>
      <c r="L240" s="3" t="s">
        <v>2229</v>
      </c>
      <c r="M240" s="3" t="s">
        <v>1753</v>
      </c>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5.75" customHeight="1" x14ac:dyDescent="0.35">
      <c r="A241" s="3"/>
      <c r="B241" s="3" t="s">
        <v>263</v>
      </c>
      <c r="C241" s="3" t="s">
        <v>2245</v>
      </c>
      <c r="D241" s="3"/>
      <c r="E241" s="3"/>
      <c r="F241" s="3"/>
      <c r="G241" s="3" t="s">
        <v>2246</v>
      </c>
      <c r="H241" s="3" t="s">
        <v>2247</v>
      </c>
      <c r="I241" s="3" t="s">
        <v>2247</v>
      </c>
      <c r="J241" s="3" t="s">
        <v>2248</v>
      </c>
      <c r="K241" s="3" t="s">
        <v>2249</v>
      </c>
      <c r="L241" s="3" t="s">
        <v>2250</v>
      </c>
      <c r="M241" s="3" t="s">
        <v>1753</v>
      </c>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5.75" customHeight="1" x14ac:dyDescent="0.35">
      <c r="A242" s="3"/>
      <c r="B242" s="3"/>
      <c r="C242" s="3" t="s">
        <v>1644</v>
      </c>
      <c r="D242" s="3"/>
      <c r="E242" s="3"/>
      <c r="F242" s="3"/>
      <c r="G242" s="3" t="s">
        <v>2228</v>
      </c>
      <c r="H242" s="3" t="s">
        <v>2238</v>
      </c>
      <c r="I242" s="3" t="s">
        <v>2244</v>
      </c>
      <c r="J242" s="3" t="s">
        <v>2229</v>
      </c>
      <c r="K242" s="3" t="s">
        <v>2229</v>
      </c>
      <c r="L242" s="3" t="s">
        <v>2229</v>
      </c>
      <c r="M242" s="3" t="s">
        <v>1753</v>
      </c>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5.75" customHeight="1" x14ac:dyDescent="0.35">
      <c r="A243" s="3"/>
      <c r="B243" s="3" t="s">
        <v>264</v>
      </c>
      <c r="C243" s="3" t="s">
        <v>2232</v>
      </c>
      <c r="D243" s="3" t="s">
        <v>265</v>
      </c>
      <c r="E243" s="3" t="s">
        <v>266</v>
      </c>
      <c r="F243" s="3"/>
      <c r="G243" s="3" t="s">
        <v>2233</v>
      </c>
      <c r="H243" s="3" t="s">
        <v>2233</v>
      </c>
      <c r="I243" s="3" t="s">
        <v>2233</v>
      </c>
      <c r="J243" s="3" t="s">
        <v>2251</v>
      </c>
      <c r="K243" s="3" t="s">
        <v>2251</v>
      </c>
      <c r="L243" s="3" t="s">
        <v>2251</v>
      </c>
      <c r="M243" s="3" t="s">
        <v>1753</v>
      </c>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5.75" customHeight="1" x14ac:dyDescent="0.35">
      <c r="A244" s="3"/>
      <c r="B244" s="3" t="s">
        <v>267</v>
      </c>
      <c r="C244" s="3" t="s">
        <v>61</v>
      </c>
      <c r="D244" s="3"/>
      <c r="E244" s="3"/>
      <c r="F244" s="3"/>
      <c r="G244" s="3" t="s">
        <v>2252</v>
      </c>
      <c r="H244" s="3" t="s">
        <v>2252</v>
      </c>
      <c r="I244" s="3" t="s">
        <v>2252</v>
      </c>
      <c r="J244" s="3" t="s">
        <v>555</v>
      </c>
      <c r="K244" s="3" t="s">
        <v>555</v>
      </c>
      <c r="L244" s="3" t="s">
        <v>555</v>
      </c>
      <c r="M244" s="3" t="s">
        <v>1753</v>
      </c>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5.75" customHeight="1" x14ac:dyDescent="0.35">
      <c r="A245" s="3"/>
      <c r="B245" s="3"/>
      <c r="C245" s="3" t="s">
        <v>494</v>
      </c>
      <c r="D245" s="3"/>
      <c r="E245" s="3"/>
      <c r="F245" s="3"/>
      <c r="G245" s="3" t="s">
        <v>2253</v>
      </c>
      <c r="H245" s="3" t="s">
        <v>2253</v>
      </c>
      <c r="I245" s="3" t="s">
        <v>2253</v>
      </c>
      <c r="J245" s="3" t="s">
        <v>556</v>
      </c>
      <c r="K245" s="3" t="s">
        <v>556</v>
      </c>
      <c r="L245" s="3" t="s">
        <v>556</v>
      </c>
      <c r="M245" s="3" t="s">
        <v>1753</v>
      </c>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5.75" customHeight="1" x14ac:dyDescent="0.35">
      <c r="A246" s="3"/>
      <c r="B246" s="3" t="s">
        <v>268</v>
      </c>
      <c r="C246" s="3" t="s">
        <v>2232</v>
      </c>
      <c r="D246" s="3" t="s">
        <v>265</v>
      </c>
      <c r="E246" s="3" t="s">
        <v>266</v>
      </c>
      <c r="F246" s="3"/>
      <c r="G246" s="3" t="s">
        <v>2254</v>
      </c>
      <c r="H246" s="3" t="s">
        <v>2254</v>
      </c>
      <c r="I246" s="3" t="s">
        <v>2255</v>
      </c>
      <c r="J246" s="3" t="s">
        <v>2256</v>
      </c>
      <c r="K246" s="3" t="s">
        <v>2257</v>
      </c>
      <c r="L246" s="3" t="s">
        <v>2258</v>
      </c>
      <c r="M246" s="3" t="s">
        <v>1753</v>
      </c>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5.75" customHeight="1" x14ac:dyDescent="0.35">
      <c r="A247" s="3"/>
      <c r="B247" s="3" t="s">
        <v>141</v>
      </c>
      <c r="C247" s="3" t="s">
        <v>777</v>
      </c>
      <c r="D247" s="3" t="s">
        <v>380</v>
      </c>
      <c r="E247" s="3" t="s">
        <v>144</v>
      </c>
      <c r="F247" s="3"/>
      <c r="G247" s="3" t="s">
        <v>2051</v>
      </c>
      <c r="H247" s="3" t="s">
        <v>2051</v>
      </c>
      <c r="I247" s="3" t="s">
        <v>2051</v>
      </c>
      <c r="J247" s="3" t="s">
        <v>2259</v>
      </c>
      <c r="K247" s="3" t="s">
        <v>2260</v>
      </c>
      <c r="L247" s="3" t="s">
        <v>2261</v>
      </c>
      <c r="M247" s="3" t="s">
        <v>1753</v>
      </c>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5.75" customHeight="1" x14ac:dyDescent="0.35">
      <c r="A248" s="3"/>
      <c r="B248" s="3"/>
      <c r="C248" s="3" t="s">
        <v>779</v>
      </c>
      <c r="D248" s="3"/>
      <c r="E248" s="3"/>
      <c r="F248" s="3"/>
      <c r="G248" s="3" t="s">
        <v>2262</v>
      </c>
      <c r="H248" s="3" t="s">
        <v>2263</v>
      </c>
      <c r="I248" s="3" t="s">
        <v>2153</v>
      </c>
      <c r="J248" s="3" t="s">
        <v>2264</v>
      </c>
      <c r="K248" s="3" t="s">
        <v>2265</v>
      </c>
      <c r="L248" s="3" t="s">
        <v>2266</v>
      </c>
      <c r="M248" s="3" t="s">
        <v>1753</v>
      </c>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5.75" customHeight="1" x14ac:dyDescent="0.35">
      <c r="A249" s="3"/>
      <c r="B249" s="3"/>
      <c r="C249" s="3" t="s">
        <v>1845</v>
      </c>
      <c r="D249" s="3"/>
      <c r="E249" s="3"/>
      <c r="F249" s="3"/>
      <c r="G249" s="3" t="s">
        <v>2267</v>
      </c>
      <c r="H249" s="3" t="s">
        <v>2268</v>
      </c>
      <c r="I249" s="3" t="s">
        <v>2269</v>
      </c>
      <c r="J249" s="3" t="s">
        <v>2270</v>
      </c>
      <c r="K249" s="3" t="s">
        <v>2271</v>
      </c>
      <c r="L249" s="3" t="s">
        <v>2272</v>
      </c>
      <c r="M249" s="3" t="s">
        <v>1753</v>
      </c>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5.75" customHeight="1" x14ac:dyDescent="0.35">
      <c r="A250" s="3"/>
      <c r="B250" s="3" t="s">
        <v>162</v>
      </c>
      <c r="C250" s="3" t="s">
        <v>163</v>
      </c>
      <c r="D250" s="3"/>
      <c r="E250" s="3"/>
      <c r="F250" s="3"/>
      <c r="G250" s="3" t="s">
        <v>2273</v>
      </c>
      <c r="H250" s="3" t="s">
        <v>2274</v>
      </c>
      <c r="I250" s="3" t="s">
        <v>2275</v>
      </c>
      <c r="J250" s="3" t="s">
        <v>577</v>
      </c>
      <c r="K250" s="3" t="s">
        <v>2276</v>
      </c>
      <c r="L250" s="3" t="s">
        <v>2277</v>
      </c>
      <c r="M250" s="3" t="s">
        <v>1753</v>
      </c>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5.75" customHeight="1" x14ac:dyDescent="0.35">
      <c r="A251" s="3"/>
      <c r="B251" s="3" t="s">
        <v>270</v>
      </c>
      <c r="C251" s="3" t="s">
        <v>2232</v>
      </c>
      <c r="D251" s="3" t="s">
        <v>265</v>
      </c>
      <c r="E251" s="3" t="s">
        <v>266</v>
      </c>
      <c r="F251" s="3"/>
      <c r="G251" s="3" t="s">
        <v>2278</v>
      </c>
      <c r="H251" s="3" t="s">
        <v>2255</v>
      </c>
      <c r="I251" s="3" t="s">
        <v>2278</v>
      </c>
      <c r="J251" s="3" t="s">
        <v>2279</v>
      </c>
      <c r="K251" s="3" t="s">
        <v>2280</v>
      </c>
      <c r="L251" s="3" t="s">
        <v>2242</v>
      </c>
      <c r="M251" s="3" t="s">
        <v>1753</v>
      </c>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5.75" customHeight="1" x14ac:dyDescent="0.35">
      <c r="A252" s="3"/>
      <c r="B252" s="3"/>
      <c r="C252" s="3" t="s">
        <v>2281</v>
      </c>
      <c r="D252" s="3"/>
      <c r="E252" s="3"/>
      <c r="F252" s="3"/>
      <c r="G252" s="3" t="s">
        <v>2282</v>
      </c>
      <c r="H252" s="3" t="s">
        <v>2283</v>
      </c>
      <c r="I252" s="3" t="s">
        <v>2284</v>
      </c>
      <c r="J252" s="3" t="s">
        <v>2285</v>
      </c>
      <c r="K252" s="3" t="s">
        <v>2285</v>
      </c>
      <c r="L252" s="3" t="s">
        <v>2285</v>
      </c>
      <c r="M252" s="3" t="s">
        <v>1753</v>
      </c>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5.75" customHeight="1" x14ac:dyDescent="0.35">
      <c r="A253" s="3"/>
      <c r="B253" s="3"/>
      <c r="C253" s="3" t="s">
        <v>2286</v>
      </c>
      <c r="D253" s="3"/>
      <c r="E253" s="3"/>
      <c r="F253" s="3"/>
      <c r="G253" s="3" t="s">
        <v>2287</v>
      </c>
      <c r="H253" s="3" t="s">
        <v>2288</v>
      </c>
      <c r="I253" s="3" t="s">
        <v>2289</v>
      </c>
      <c r="J253" s="3" t="s">
        <v>2290</v>
      </c>
      <c r="K253" s="3" t="s">
        <v>2291</v>
      </c>
      <c r="L253" s="3" t="s">
        <v>2292</v>
      </c>
      <c r="M253" s="3" t="s">
        <v>1753</v>
      </c>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5.75" customHeight="1" x14ac:dyDescent="0.35">
      <c r="A254" s="3"/>
      <c r="B254" s="3" t="s">
        <v>271</v>
      </c>
      <c r="C254" s="3" t="s">
        <v>163</v>
      </c>
      <c r="D254" s="3"/>
      <c r="E254" s="3"/>
      <c r="F254" s="3"/>
      <c r="G254" s="3" t="s">
        <v>2293</v>
      </c>
      <c r="H254" s="3" t="s">
        <v>2294</v>
      </c>
      <c r="I254" s="3" t="s">
        <v>2294</v>
      </c>
      <c r="J254" s="3" t="s">
        <v>593</v>
      </c>
      <c r="K254" s="3" t="s">
        <v>2295</v>
      </c>
      <c r="L254" s="3" t="s">
        <v>593</v>
      </c>
      <c r="M254" s="3" t="s">
        <v>1753</v>
      </c>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5.75" customHeight="1" x14ac:dyDescent="0.35">
      <c r="A255" s="3"/>
      <c r="B255" s="3" t="s">
        <v>275</v>
      </c>
      <c r="C255" s="3" t="s">
        <v>2245</v>
      </c>
      <c r="D255" s="3" t="s">
        <v>265</v>
      </c>
      <c r="E255" s="3" t="s">
        <v>266</v>
      </c>
      <c r="F255" s="3"/>
      <c r="G255" s="3" t="s">
        <v>2296</v>
      </c>
      <c r="H255" s="3" t="s">
        <v>2297</v>
      </c>
      <c r="I255" s="3" t="s">
        <v>2298</v>
      </c>
      <c r="J255" s="3" t="s">
        <v>2299</v>
      </c>
      <c r="K255" s="3" t="s">
        <v>2300</v>
      </c>
      <c r="L255" s="3" t="s">
        <v>2248</v>
      </c>
      <c r="M255" s="3" t="s">
        <v>1753</v>
      </c>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5.75" customHeight="1" x14ac:dyDescent="0.35">
      <c r="A256" s="3"/>
      <c r="B256" s="3"/>
      <c r="C256" s="3" t="s">
        <v>2301</v>
      </c>
      <c r="D256" s="3"/>
      <c r="E256" s="3"/>
      <c r="F256" s="3"/>
      <c r="G256" s="3" t="s">
        <v>2302</v>
      </c>
      <c r="H256" s="3" t="s">
        <v>2302</v>
      </c>
      <c r="I256" s="3" t="s">
        <v>2302</v>
      </c>
      <c r="J256" s="3" t="s">
        <v>2303</v>
      </c>
      <c r="K256" s="3" t="s">
        <v>2304</v>
      </c>
      <c r="L256" s="3" t="s">
        <v>2305</v>
      </c>
      <c r="M256" s="3" t="s">
        <v>1753</v>
      </c>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5.75" customHeight="1" x14ac:dyDescent="0.35">
      <c r="A257" s="3"/>
      <c r="B257" s="3"/>
      <c r="C257" s="3" t="s">
        <v>2306</v>
      </c>
      <c r="D257" s="3"/>
      <c r="E257" s="3"/>
      <c r="F257" s="3"/>
      <c r="G257" s="3" t="s">
        <v>2307</v>
      </c>
      <c r="H257" s="3" t="s">
        <v>2308</v>
      </c>
      <c r="I257" s="3" t="s">
        <v>2308</v>
      </c>
      <c r="J257" s="3" t="s">
        <v>2309</v>
      </c>
      <c r="K257" s="3" t="s">
        <v>2310</v>
      </c>
      <c r="L257" s="3" t="s">
        <v>2311</v>
      </c>
      <c r="M257" s="3" t="s">
        <v>1753</v>
      </c>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5.75" customHeight="1" x14ac:dyDescent="0.35">
      <c r="A258" s="3"/>
      <c r="B258" s="3" t="s">
        <v>276</v>
      </c>
      <c r="C258" s="3" t="s">
        <v>163</v>
      </c>
      <c r="D258" s="3"/>
      <c r="E258" s="3"/>
      <c r="F258" s="3"/>
      <c r="G258" s="3" t="s">
        <v>2312</v>
      </c>
      <c r="H258" s="3" t="s">
        <v>2312</v>
      </c>
      <c r="I258" s="3" t="s">
        <v>2313</v>
      </c>
      <c r="J258" s="3" t="s">
        <v>609</v>
      </c>
      <c r="K258" s="3" t="s">
        <v>2314</v>
      </c>
      <c r="L258" s="3" t="s">
        <v>609</v>
      </c>
      <c r="M258" s="3" t="s">
        <v>1753</v>
      </c>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5.75" customHeight="1" x14ac:dyDescent="0.35">
      <c r="A259" s="3"/>
      <c r="B259" s="3" t="s">
        <v>173</v>
      </c>
      <c r="C259" s="3" t="s">
        <v>777</v>
      </c>
      <c r="D259" s="3" t="s">
        <v>423</v>
      </c>
      <c r="E259" s="3" t="s">
        <v>175</v>
      </c>
      <c r="F259" s="3"/>
      <c r="G259" s="3" t="s">
        <v>2315</v>
      </c>
      <c r="H259" s="3" t="s">
        <v>2316</v>
      </c>
      <c r="I259" s="3" t="s">
        <v>2317</v>
      </c>
      <c r="J259" s="3" t="s">
        <v>1861</v>
      </c>
      <c r="K259" s="3" t="s">
        <v>2318</v>
      </c>
      <c r="L259" s="3" t="s">
        <v>1862</v>
      </c>
      <c r="M259" s="3" t="s">
        <v>1753</v>
      </c>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5.75" customHeight="1" x14ac:dyDescent="0.35">
      <c r="A260" s="3"/>
      <c r="B260" s="3"/>
      <c r="C260" s="3" t="s">
        <v>779</v>
      </c>
      <c r="D260" s="3"/>
      <c r="E260" s="3"/>
      <c r="F260" s="3"/>
      <c r="G260" s="3" t="s">
        <v>2319</v>
      </c>
      <c r="H260" s="3" t="s">
        <v>2320</v>
      </c>
      <c r="I260" s="3" t="s">
        <v>2321</v>
      </c>
      <c r="J260" s="3" t="s">
        <v>2322</v>
      </c>
      <c r="K260" s="3" t="s">
        <v>2323</v>
      </c>
      <c r="L260" s="3" t="s">
        <v>2324</v>
      </c>
      <c r="M260" s="3" t="s">
        <v>1753</v>
      </c>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5.75" customHeight="1" x14ac:dyDescent="0.35">
      <c r="A261" s="3"/>
      <c r="B261" s="3"/>
      <c r="C261" s="3" t="s">
        <v>780</v>
      </c>
      <c r="D261" s="3"/>
      <c r="E261" s="3"/>
      <c r="F261" s="3"/>
      <c r="G261" s="3" t="s">
        <v>2325</v>
      </c>
      <c r="H261" s="3" t="s">
        <v>2326</v>
      </c>
      <c r="I261" s="3" t="s">
        <v>2327</v>
      </c>
      <c r="J261" s="3" t="s">
        <v>2328</v>
      </c>
      <c r="K261" s="3" t="s">
        <v>2329</v>
      </c>
      <c r="L261" s="3" t="s">
        <v>2330</v>
      </c>
      <c r="M261" s="3" t="s">
        <v>1753</v>
      </c>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5.75" customHeight="1" x14ac:dyDescent="0.35">
      <c r="A262" s="3"/>
      <c r="B262" s="3" t="s">
        <v>188</v>
      </c>
      <c r="C262" s="3" t="s">
        <v>1105</v>
      </c>
      <c r="D262" s="3"/>
      <c r="E262" s="3"/>
      <c r="F262" s="3"/>
      <c r="G262" s="3" t="s">
        <v>2331</v>
      </c>
      <c r="H262" s="3" t="s">
        <v>2332</v>
      </c>
      <c r="I262" s="3" t="s">
        <v>2331</v>
      </c>
      <c r="J262" s="3" t="s">
        <v>1640</v>
      </c>
      <c r="K262" s="3" t="s">
        <v>1640</v>
      </c>
      <c r="L262" s="3" t="s">
        <v>1640</v>
      </c>
      <c r="M262" s="3" t="s">
        <v>1753</v>
      </c>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5.75" customHeight="1" x14ac:dyDescent="0.35">
      <c r="A263" s="3"/>
      <c r="B263" s="5" t="s">
        <v>189</v>
      </c>
      <c r="C263" s="5" t="s">
        <v>131</v>
      </c>
      <c r="D263" s="3"/>
      <c r="E263" s="3"/>
      <c r="F263" s="3"/>
      <c r="G263" s="3"/>
      <c r="H263" s="3"/>
      <c r="I263" s="3"/>
      <c r="J263" s="3"/>
      <c r="K263" s="3"/>
      <c r="L263" s="3"/>
      <c r="M263" s="3" t="s">
        <v>1753</v>
      </c>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5.75" customHeight="1" x14ac:dyDescent="0.35">
      <c r="A264" s="3"/>
      <c r="B264" s="3" t="s">
        <v>195</v>
      </c>
      <c r="C264" s="3" t="s">
        <v>131</v>
      </c>
      <c r="D264" s="3"/>
      <c r="E264" s="3"/>
      <c r="F264" s="3"/>
      <c r="G264" s="3" t="s">
        <v>2119</v>
      </c>
      <c r="H264" s="3" t="s">
        <v>2119</v>
      </c>
      <c r="I264" s="3" t="s">
        <v>2333</v>
      </c>
      <c r="J264" s="3" t="s">
        <v>196</v>
      </c>
      <c r="K264" s="3" t="s">
        <v>196</v>
      </c>
      <c r="L264" s="3" t="s">
        <v>2334</v>
      </c>
      <c r="M264" s="3" t="s">
        <v>1753</v>
      </c>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5.75" customHeight="1" x14ac:dyDescent="0.35">
      <c r="A265" s="3"/>
      <c r="B265" s="3"/>
      <c r="C265" s="3" t="s">
        <v>197</v>
      </c>
      <c r="D265" s="3"/>
      <c r="E265" s="3"/>
      <c r="F265" s="3"/>
      <c r="G265" s="3" t="s">
        <v>2335</v>
      </c>
      <c r="H265" s="3" t="s">
        <v>2335</v>
      </c>
      <c r="I265" s="3" t="s">
        <v>621</v>
      </c>
      <c r="J265" s="3" t="s">
        <v>621</v>
      </c>
      <c r="K265" s="3" t="s">
        <v>621</v>
      </c>
      <c r="L265" s="3" t="s">
        <v>621</v>
      </c>
      <c r="M265" s="3" t="s">
        <v>1753</v>
      </c>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5.75" customHeight="1" x14ac:dyDescent="0.35">
      <c r="A266" s="3"/>
      <c r="B266" s="3"/>
      <c r="C266" s="3" t="s">
        <v>200</v>
      </c>
      <c r="D266" s="3"/>
      <c r="E266" s="3"/>
      <c r="F266" s="3"/>
      <c r="G266" s="3" t="s">
        <v>2336</v>
      </c>
      <c r="H266" s="3" t="s">
        <v>2337</v>
      </c>
      <c r="I266" s="3" t="s">
        <v>2336</v>
      </c>
      <c r="J266" s="3" t="s">
        <v>624</v>
      </c>
      <c r="K266" s="3" t="s">
        <v>2338</v>
      </c>
      <c r="L266" s="3" t="s">
        <v>2339</v>
      </c>
      <c r="M266" s="3" t="s">
        <v>1753</v>
      </c>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5.75" customHeight="1" x14ac:dyDescent="0.35">
      <c r="A267" s="3"/>
      <c r="B267" s="3" t="s">
        <v>206</v>
      </c>
      <c r="C267" s="3" t="s">
        <v>1641</v>
      </c>
      <c r="D267" s="3" t="s">
        <v>208</v>
      </c>
      <c r="E267" s="3" t="s">
        <v>209</v>
      </c>
      <c r="F267" s="3"/>
      <c r="G267" s="3" t="s">
        <v>2340</v>
      </c>
      <c r="H267" s="3" t="s">
        <v>2340</v>
      </c>
      <c r="I267" s="3" t="s">
        <v>2340</v>
      </c>
      <c r="J267" s="3" t="s">
        <v>1684</v>
      </c>
      <c r="K267" s="3" t="s">
        <v>1642</v>
      </c>
      <c r="L267" s="3" t="s">
        <v>1642</v>
      </c>
      <c r="M267" s="3" t="s">
        <v>1753</v>
      </c>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5.75" customHeight="1" x14ac:dyDescent="0.35">
      <c r="A268" s="3"/>
      <c r="B268" s="3"/>
      <c r="C268" s="3"/>
      <c r="D268" s="3"/>
      <c r="E268" s="3"/>
      <c r="F268" s="3"/>
      <c r="G268" s="3"/>
      <c r="H268" s="3"/>
      <c r="I268" s="3"/>
      <c r="J268" s="3"/>
      <c r="K268" s="3"/>
      <c r="L268" s="3"/>
      <c r="M268" s="3" t="s">
        <v>1753</v>
      </c>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5.75" customHeight="1" x14ac:dyDescent="0.35">
      <c r="A269" s="3" t="s">
        <v>629</v>
      </c>
      <c r="B269" s="3" t="s">
        <v>630</v>
      </c>
      <c r="C269" s="3" t="s">
        <v>631</v>
      </c>
      <c r="D269" s="3"/>
      <c r="E269" s="3"/>
      <c r="F269" s="3"/>
      <c r="G269" s="3" t="s">
        <v>2341</v>
      </c>
      <c r="H269" s="3" t="s">
        <v>2341</v>
      </c>
      <c r="I269" s="3" t="s">
        <v>2342</v>
      </c>
      <c r="J269" s="3" t="s">
        <v>632</v>
      </c>
      <c r="K269" s="3" t="s">
        <v>2343</v>
      </c>
      <c r="L269" s="3" t="s">
        <v>2344</v>
      </c>
      <c r="M269" s="3" t="s">
        <v>1753</v>
      </c>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5.75" customHeight="1" x14ac:dyDescent="0.35">
      <c r="A270" s="3"/>
      <c r="B270" s="3"/>
      <c r="C270" s="3" t="s">
        <v>29</v>
      </c>
      <c r="D270" s="3"/>
      <c r="E270" s="3"/>
      <c r="F270" s="3"/>
      <c r="G270" s="3" t="s">
        <v>2345</v>
      </c>
      <c r="H270" s="3" t="s">
        <v>2345</v>
      </c>
      <c r="I270" s="3" t="s">
        <v>2345</v>
      </c>
      <c r="J270" s="3" t="s">
        <v>634</v>
      </c>
      <c r="K270" s="3" t="s">
        <v>632</v>
      </c>
      <c r="L270" s="3" t="s">
        <v>634</v>
      </c>
      <c r="M270" s="3" t="s">
        <v>1753</v>
      </c>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5.75" customHeight="1" x14ac:dyDescent="0.35">
      <c r="A271" s="3"/>
      <c r="B271" s="3" t="s">
        <v>636</v>
      </c>
      <c r="C271" s="3" t="s">
        <v>1635</v>
      </c>
      <c r="D271" s="3"/>
      <c r="E271" s="3"/>
      <c r="F271" s="3"/>
      <c r="G271" s="3" t="s">
        <v>2346</v>
      </c>
      <c r="H271" s="3" t="s">
        <v>2346</v>
      </c>
      <c r="I271" s="3" t="s">
        <v>2346</v>
      </c>
      <c r="J271" s="3" t="s">
        <v>1685</v>
      </c>
      <c r="K271" s="3" t="s">
        <v>1685</v>
      </c>
      <c r="L271" s="3" t="s">
        <v>1723</v>
      </c>
      <c r="M271" s="3" t="s">
        <v>1753</v>
      </c>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5.75" customHeight="1" x14ac:dyDescent="0.35">
      <c r="A272" s="3"/>
      <c r="B272" s="3" t="s">
        <v>254</v>
      </c>
      <c r="C272" s="3" t="s">
        <v>2347</v>
      </c>
      <c r="D272" s="3" t="s">
        <v>1687</v>
      </c>
      <c r="E272" s="3" t="s">
        <v>639</v>
      </c>
      <c r="F272" s="3"/>
      <c r="G272" s="3" t="s">
        <v>2348</v>
      </c>
      <c r="H272" s="3" t="s">
        <v>2349</v>
      </c>
      <c r="I272" s="3" t="s">
        <v>2349</v>
      </c>
      <c r="J272" s="3" t="s">
        <v>2350</v>
      </c>
      <c r="K272" s="3" t="s">
        <v>2350</v>
      </c>
      <c r="L272" s="3" t="s">
        <v>2350</v>
      </c>
      <c r="M272" s="3" t="s">
        <v>1753</v>
      </c>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5.75" customHeight="1" x14ac:dyDescent="0.35">
      <c r="A273" s="3"/>
      <c r="B273" s="3" t="s">
        <v>264</v>
      </c>
      <c r="C273" s="3" t="s">
        <v>2347</v>
      </c>
      <c r="D273" s="3" t="s">
        <v>638</v>
      </c>
      <c r="E273" s="3" t="s">
        <v>639</v>
      </c>
      <c r="F273" s="3"/>
      <c r="G273" s="3" t="s">
        <v>2351</v>
      </c>
      <c r="H273" s="3" t="s">
        <v>2352</v>
      </c>
      <c r="I273" s="3" t="s">
        <v>2352</v>
      </c>
      <c r="J273" s="3" t="s">
        <v>2350</v>
      </c>
      <c r="K273" s="3" t="s">
        <v>2353</v>
      </c>
      <c r="L273" s="3" t="s">
        <v>2354</v>
      </c>
      <c r="M273" s="3" t="s">
        <v>1753</v>
      </c>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5.75" customHeight="1" x14ac:dyDescent="0.35">
      <c r="A274" s="3"/>
      <c r="B274" s="3" t="s">
        <v>644</v>
      </c>
      <c r="C274" s="3" t="s">
        <v>61</v>
      </c>
      <c r="D274" s="3"/>
      <c r="E274" s="3"/>
      <c r="F274" s="3"/>
      <c r="G274" s="3" t="s">
        <v>2355</v>
      </c>
      <c r="H274" s="3" t="s">
        <v>2355</v>
      </c>
      <c r="I274" s="3" t="s">
        <v>2355</v>
      </c>
      <c r="J274" s="3" t="s">
        <v>646</v>
      </c>
      <c r="K274" s="3" t="s">
        <v>646</v>
      </c>
      <c r="L274" s="3" t="s">
        <v>646</v>
      </c>
      <c r="M274" s="3" t="s">
        <v>1753</v>
      </c>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5.75" customHeight="1" x14ac:dyDescent="0.35">
      <c r="A275" s="3"/>
      <c r="B275" s="3"/>
      <c r="C275" s="3" t="s">
        <v>648</v>
      </c>
      <c r="D275" s="3"/>
      <c r="E275" s="3"/>
      <c r="F275" s="3"/>
      <c r="G275" s="3" t="s">
        <v>2356</v>
      </c>
      <c r="H275" s="3" t="s">
        <v>2356</v>
      </c>
      <c r="I275" s="3" t="s">
        <v>2356</v>
      </c>
      <c r="J275" s="3" t="s">
        <v>649</v>
      </c>
      <c r="K275" s="3" t="s">
        <v>2357</v>
      </c>
      <c r="L275" s="3" t="s">
        <v>2358</v>
      </c>
      <c r="M275" s="3" t="s">
        <v>1753</v>
      </c>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5.75" customHeight="1" x14ac:dyDescent="0.35">
      <c r="A276" s="3"/>
      <c r="B276" s="3"/>
      <c r="C276" s="3"/>
      <c r="D276" s="3"/>
      <c r="E276" s="3"/>
      <c r="F276" s="3"/>
      <c r="G276" s="3"/>
      <c r="H276" s="3"/>
      <c r="I276" s="3"/>
      <c r="J276" s="3"/>
      <c r="K276" s="3"/>
      <c r="L276" s="3"/>
      <c r="M276" s="3" t="s">
        <v>1753</v>
      </c>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5.75" customHeight="1" x14ac:dyDescent="0.35">
      <c r="A277" s="3" t="s">
        <v>655</v>
      </c>
      <c r="B277" s="3" t="s">
        <v>656</v>
      </c>
      <c r="C277" s="3" t="s">
        <v>25</v>
      </c>
      <c r="D277" s="3"/>
      <c r="E277" s="3"/>
      <c r="F277" s="3"/>
      <c r="G277" s="3" t="s">
        <v>2359</v>
      </c>
      <c r="H277" s="3" t="s">
        <v>2359</v>
      </c>
      <c r="I277" s="3" t="s">
        <v>2359</v>
      </c>
      <c r="J277" s="3" t="s">
        <v>657</v>
      </c>
      <c r="K277" s="3" t="s">
        <v>2360</v>
      </c>
      <c r="L277" s="3" t="s">
        <v>657</v>
      </c>
      <c r="M277" s="3" t="s">
        <v>1753</v>
      </c>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5.75" customHeight="1" x14ac:dyDescent="0.35">
      <c r="A278" s="3"/>
      <c r="B278" s="3"/>
      <c r="C278" s="3" t="s">
        <v>29</v>
      </c>
      <c r="D278" s="3"/>
      <c r="E278" s="3"/>
      <c r="F278" s="3"/>
      <c r="G278" s="3" t="s">
        <v>2361</v>
      </c>
      <c r="H278" s="3" t="s">
        <v>2362</v>
      </c>
      <c r="I278" s="3" t="s">
        <v>2361</v>
      </c>
      <c r="J278" s="3" t="s">
        <v>658</v>
      </c>
      <c r="K278" s="3" t="s">
        <v>2363</v>
      </c>
      <c r="L278" s="3" t="s">
        <v>658</v>
      </c>
      <c r="M278" s="3" t="s">
        <v>1753</v>
      </c>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5.75" customHeight="1" x14ac:dyDescent="0.35">
      <c r="A279" s="3"/>
      <c r="B279" s="3" t="s">
        <v>659</v>
      </c>
      <c r="C279" s="3" t="s">
        <v>33</v>
      </c>
      <c r="D279" s="3" t="s">
        <v>34</v>
      </c>
      <c r="E279" s="3" t="s">
        <v>35</v>
      </c>
      <c r="F279" s="3"/>
      <c r="G279" s="3" t="s">
        <v>2364</v>
      </c>
      <c r="H279" s="3" t="s">
        <v>2365</v>
      </c>
      <c r="I279" s="3" t="s">
        <v>2365</v>
      </c>
      <c r="J279" s="3" t="s">
        <v>660</v>
      </c>
      <c r="K279" s="3" t="s">
        <v>660</v>
      </c>
      <c r="L279" s="3" t="s">
        <v>2366</v>
      </c>
      <c r="M279" s="3" t="s">
        <v>1753</v>
      </c>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5.75" customHeight="1" x14ac:dyDescent="0.35">
      <c r="A280" s="3"/>
      <c r="B280" s="3" t="s">
        <v>661</v>
      </c>
      <c r="C280" s="3" t="s">
        <v>50</v>
      </c>
      <c r="D280" s="3" t="s">
        <v>51</v>
      </c>
      <c r="E280" s="3" t="s">
        <v>52</v>
      </c>
      <c r="F280" s="3"/>
      <c r="G280" s="3" t="s">
        <v>662</v>
      </c>
      <c r="H280" s="3" t="s">
        <v>2367</v>
      </c>
      <c r="I280" s="3" t="s">
        <v>2367</v>
      </c>
      <c r="J280" s="3" t="s">
        <v>662</v>
      </c>
      <c r="K280" s="3" t="s">
        <v>662</v>
      </c>
      <c r="L280" s="3" t="s">
        <v>662</v>
      </c>
      <c r="M280" s="3" t="s">
        <v>1753</v>
      </c>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5.75" customHeight="1" x14ac:dyDescent="0.35">
      <c r="A281" s="3"/>
      <c r="B281" s="3"/>
      <c r="C281" s="3" t="s">
        <v>57</v>
      </c>
      <c r="D281" s="3"/>
      <c r="E281" s="3"/>
      <c r="F281" s="3"/>
      <c r="G281" s="3" t="s">
        <v>2368</v>
      </c>
      <c r="H281" s="3" t="s">
        <v>2369</v>
      </c>
      <c r="I281" s="3" t="s">
        <v>2369</v>
      </c>
      <c r="J281" s="3" t="s">
        <v>663</v>
      </c>
      <c r="K281" s="3" t="s">
        <v>663</v>
      </c>
      <c r="L281" s="3" t="s">
        <v>663</v>
      </c>
      <c r="M281" s="3" t="s">
        <v>1753</v>
      </c>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5.75" customHeight="1" x14ac:dyDescent="0.35">
      <c r="A282" s="3"/>
      <c r="B282" s="3" t="s">
        <v>664</v>
      </c>
      <c r="C282" s="3" t="s">
        <v>665</v>
      </c>
      <c r="D282" s="3" t="s">
        <v>51</v>
      </c>
      <c r="E282" s="3" t="s">
        <v>52</v>
      </c>
      <c r="F282" s="3"/>
      <c r="G282" s="3" t="s">
        <v>666</v>
      </c>
      <c r="H282" s="3" t="s">
        <v>666</v>
      </c>
      <c r="I282" s="3" t="s">
        <v>666</v>
      </c>
      <c r="J282" s="3" t="s">
        <v>666</v>
      </c>
      <c r="K282" s="3" t="s">
        <v>666</v>
      </c>
      <c r="L282" s="3" t="s">
        <v>2370</v>
      </c>
      <c r="M282" s="3" t="s">
        <v>1753</v>
      </c>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5.75" customHeight="1" x14ac:dyDescent="0.35">
      <c r="A283" s="3"/>
      <c r="B283" s="3"/>
      <c r="C283" s="3" t="s">
        <v>669</v>
      </c>
      <c r="D283" s="3" t="s">
        <v>670</v>
      </c>
      <c r="E283" s="3" t="s">
        <v>671</v>
      </c>
      <c r="F283" s="3"/>
      <c r="G283" s="3" t="s">
        <v>672</v>
      </c>
      <c r="H283" s="3" t="s">
        <v>672</v>
      </c>
      <c r="I283" s="3" t="s">
        <v>2371</v>
      </c>
      <c r="J283" s="3" t="s">
        <v>672</v>
      </c>
      <c r="K283" s="3" t="s">
        <v>672</v>
      </c>
      <c r="L283" s="3" t="s">
        <v>2372</v>
      </c>
      <c r="M283" s="3" t="s">
        <v>1753</v>
      </c>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5.75" customHeight="1" x14ac:dyDescent="0.35">
      <c r="A284" s="3"/>
      <c r="B284" s="3" t="s">
        <v>60</v>
      </c>
      <c r="C284" s="3" t="s">
        <v>61</v>
      </c>
      <c r="D284" s="3"/>
      <c r="E284" s="3"/>
      <c r="F284" s="3"/>
      <c r="G284" s="3" t="s">
        <v>2373</v>
      </c>
      <c r="H284" s="3" t="s">
        <v>2373</v>
      </c>
      <c r="I284" s="3" t="s">
        <v>2373</v>
      </c>
      <c r="J284" s="3" t="s">
        <v>675</v>
      </c>
      <c r="K284" s="3" t="s">
        <v>2373</v>
      </c>
      <c r="L284" s="3" t="s">
        <v>2373</v>
      </c>
      <c r="M284" s="3" t="s">
        <v>1753</v>
      </c>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5.75" customHeight="1" x14ac:dyDescent="0.35">
      <c r="A285" s="3"/>
      <c r="B285" s="3" t="s">
        <v>105</v>
      </c>
      <c r="C285" s="3" t="s">
        <v>25</v>
      </c>
      <c r="D285" s="3"/>
      <c r="E285" s="3"/>
      <c r="F285" s="3"/>
      <c r="G285" s="3" t="s">
        <v>676</v>
      </c>
      <c r="H285" s="3" t="s">
        <v>2374</v>
      </c>
      <c r="I285" s="3" t="s">
        <v>676</v>
      </c>
      <c r="J285" s="3" t="s">
        <v>676</v>
      </c>
      <c r="K285" s="3" t="s">
        <v>2374</v>
      </c>
      <c r="L285" s="3" t="s">
        <v>2374</v>
      </c>
      <c r="M285" s="3" t="s">
        <v>1753</v>
      </c>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5.75" customHeight="1" x14ac:dyDescent="0.35">
      <c r="A286" s="3"/>
      <c r="B286" s="3"/>
      <c r="C286" s="3" t="s">
        <v>29</v>
      </c>
      <c r="D286" s="3"/>
      <c r="E286" s="3"/>
      <c r="F286" s="3"/>
      <c r="G286" s="3" t="s">
        <v>2375</v>
      </c>
      <c r="H286" s="3" t="s">
        <v>2375</v>
      </c>
      <c r="I286" s="3" t="s">
        <v>2375</v>
      </c>
      <c r="J286" s="3" t="s">
        <v>677</v>
      </c>
      <c r="K286" s="3" t="s">
        <v>677</v>
      </c>
      <c r="L286" s="3" t="s">
        <v>677</v>
      </c>
      <c r="M286" s="3" t="s">
        <v>1753</v>
      </c>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5.75" customHeight="1" x14ac:dyDescent="0.35">
      <c r="A287" s="3"/>
      <c r="B287" s="3" t="s">
        <v>108</v>
      </c>
      <c r="C287" s="3" t="s">
        <v>109</v>
      </c>
      <c r="D287" s="3"/>
      <c r="E287" s="3"/>
      <c r="F287" s="3"/>
      <c r="G287" s="3" t="s">
        <v>2376</v>
      </c>
      <c r="H287" s="3" t="s">
        <v>2376</v>
      </c>
      <c r="I287" s="3" t="s">
        <v>2376</v>
      </c>
      <c r="J287" s="3" t="s">
        <v>678</v>
      </c>
      <c r="K287" s="3" t="s">
        <v>678</v>
      </c>
      <c r="L287" s="3" t="s">
        <v>678</v>
      </c>
      <c r="M287" s="3" t="s">
        <v>1753</v>
      </c>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5.75" customHeight="1" x14ac:dyDescent="0.35">
      <c r="A288" s="3"/>
      <c r="B288" s="3"/>
      <c r="C288" s="3" t="s">
        <v>113</v>
      </c>
      <c r="D288" s="3"/>
      <c r="E288" s="3"/>
      <c r="F288" s="3"/>
      <c r="G288" s="3" t="s">
        <v>2377</v>
      </c>
      <c r="H288" s="3" t="s">
        <v>2377</v>
      </c>
      <c r="I288" s="3" t="s">
        <v>2377</v>
      </c>
      <c r="J288" s="3" t="s">
        <v>679</v>
      </c>
      <c r="K288" s="3" t="s">
        <v>679</v>
      </c>
      <c r="L288" s="3" t="s">
        <v>679</v>
      </c>
      <c r="M288" s="3" t="s">
        <v>1753</v>
      </c>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5.75" customHeight="1" x14ac:dyDescent="0.35">
      <c r="A289" s="3"/>
      <c r="B289" s="3"/>
      <c r="C289" s="3" t="s">
        <v>237</v>
      </c>
      <c r="D289" s="3"/>
      <c r="E289" s="3"/>
      <c r="F289" s="3"/>
      <c r="G289" s="3" t="s">
        <v>2378</v>
      </c>
      <c r="H289" s="3" t="s">
        <v>2378</v>
      </c>
      <c r="I289" s="3" t="s">
        <v>2378</v>
      </c>
      <c r="J289" s="3" t="s">
        <v>683</v>
      </c>
      <c r="K289" s="3" t="s">
        <v>683</v>
      </c>
      <c r="L289" s="3" t="s">
        <v>683</v>
      </c>
      <c r="M289" s="3" t="s">
        <v>1753</v>
      </c>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5.75" customHeight="1" x14ac:dyDescent="0.35">
      <c r="A290" s="3"/>
      <c r="B290" s="3"/>
      <c r="C290" s="3" t="s">
        <v>131</v>
      </c>
      <c r="D290" s="3"/>
      <c r="E290" s="3"/>
      <c r="F290" s="3"/>
      <c r="G290" s="3" t="s">
        <v>2009</v>
      </c>
      <c r="H290" s="3" t="s">
        <v>2009</v>
      </c>
      <c r="I290" s="3" t="s">
        <v>2009</v>
      </c>
      <c r="J290" s="3" t="s">
        <v>685</v>
      </c>
      <c r="K290" s="3" t="s">
        <v>685</v>
      </c>
      <c r="L290" s="3" t="s">
        <v>2379</v>
      </c>
      <c r="M290" s="3" t="s">
        <v>1753</v>
      </c>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5.75" customHeight="1" x14ac:dyDescent="0.35">
      <c r="A291" s="3"/>
      <c r="B291" s="3" t="s">
        <v>136</v>
      </c>
      <c r="C291" s="3" t="s">
        <v>1635</v>
      </c>
      <c r="D291" s="3"/>
      <c r="E291" s="3"/>
      <c r="F291" s="3"/>
      <c r="G291" s="3" t="s">
        <v>2380</v>
      </c>
      <c r="H291" s="3" t="s">
        <v>2380</v>
      </c>
      <c r="I291" s="3" t="s">
        <v>2380</v>
      </c>
      <c r="J291" s="3" t="s">
        <v>1689</v>
      </c>
      <c r="K291" s="3" t="s">
        <v>1689</v>
      </c>
      <c r="L291" s="3" t="s">
        <v>1689</v>
      </c>
      <c r="M291" s="3" t="s">
        <v>1753</v>
      </c>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5.75" customHeight="1" x14ac:dyDescent="0.35">
      <c r="A292" s="3"/>
      <c r="B292" s="5" t="s">
        <v>137</v>
      </c>
      <c r="C292" s="5" t="s">
        <v>131</v>
      </c>
      <c r="D292" s="3"/>
      <c r="E292" s="3"/>
      <c r="F292" s="3"/>
      <c r="G292" s="3"/>
      <c r="H292" s="3"/>
      <c r="I292" s="3"/>
      <c r="J292" s="3"/>
      <c r="K292" s="3"/>
      <c r="L292" s="3"/>
      <c r="M292" s="3" t="s">
        <v>1753</v>
      </c>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5.75" customHeight="1" x14ac:dyDescent="0.35">
      <c r="A293" s="3"/>
      <c r="B293" s="3" t="s">
        <v>162</v>
      </c>
      <c r="C293" s="3" t="s">
        <v>163</v>
      </c>
      <c r="D293" s="3"/>
      <c r="E293" s="3"/>
      <c r="F293" s="3"/>
      <c r="G293" s="3" t="s">
        <v>2381</v>
      </c>
      <c r="H293" s="3" t="s">
        <v>2381</v>
      </c>
      <c r="I293" s="3" t="s">
        <v>2381</v>
      </c>
      <c r="J293" s="3" t="s">
        <v>686</v>
      </c>
      <c r="K293" s="3" t="s">
        <v>2382</v>
      </c>
      <c r="L293" s="3" t="s">
        <v>2382</v>
      </c>
      <c r="M293" s="3" t="s">
        <v>1753</v>
      </c>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5.75" customHeight="1" x14ac:dyDescent="0.35">
      <c r="A294" s="3"/>
      <c r="B294" s="3"/>
      <c r="C294" s="3" t="s">
        <v>687</v>
      </c>
      <c r="D294" s="3"/>
      <c r="E294" s="3"/>
      <c r="F294" s="3"/>
      <c r="G294" s="3" t="s">
        <v>2383</v>
      </c>
      <c r="H294" s="3" t="s">
        <v>2384</v>
      </c>
      <c r="I294" s="3" t="s">
        <v>2383</v>
      </c>
      <c r="J294" s="3" t="s">
        <v>688</v>
      </c>
      <c r="K294" s="3" t="s">
        <v>2385</v>
      </c>
      <c r="L294" s="3" t="s">
        <v>2385</v>
      </c>
      <c r="M294" s="3" t="s">
        <v>1753</v>
      </c>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5.75" customHeight="1" x14ac:dyDescent="0.35">
      <c r="A295" s="3"/>
      <c r="B295" s="3" t="s">
        <v>188</v>
      </c>
      <c r="C295" s="3" t="s">
        <v>1105</v>
      </c>
      <c r="D295" s="3"/>
      <c r="E295" s="3"/>
      <c r="F295" s="3"/>
      <c r="G295" s="3" t="s">
        <v>1690</v>
      </c>
      <c r="H295" s="3" t="s">
        <v>1690</v>
      </c>
      <c r="I295" s="3" t="s">
        <v>1690</v>
      </c>
      <c r="J295" s="3" t="s">
        <v>1690</v>
      </c>
      <c r="K295" s="3" t="s">
        <v>1690</v>
      </c>
      <c r="L295" s="3" t="s">
        <v>1690</v>
      </c>
      <c r="M295" s="3" t="s">
        <v>1753</v>
      </c>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5.75" customHeight="1" x14ac:dyDescent="0.35">
      <c r="A296" s="3"/>
      <c r="B296" s="5" t="s">
        <v>189</v>
      </c>
      <c r="C296" s="5" t="s">
        <v>131</v>
      </c>
      <c r="D296" s="3"/>
      <c r="E296" s="3"/>
      <c r="F296" s="3"/>
      <c r="G296" s="3"/>
      <c r="H296" s="3"/>
      <c r="I296" s="3"/>
      <c r="J296" s="3"/>
      <c r="K296" s="3"/>
      <c r="L296" s="3"/>
      <c r="M296" s="3" t="s">
        <v>1753</v>
      </c>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5.75" customHeight="1" x14ac:dyDescent="0.35">
      <c r="A297" s="3"/>
      <c r="B297" s="3"/>
      <c r="C297" s="3"/>
      <c r="D297" s="3"/>
      <c r="E297" s="3"/>
      <c r="F297" s="3"/>
      <c r="G297" s="3"/>
      <c r="H297" s="3"/>
      <c r="I297" s="3"/>
      <c r="J297" s="3"/>
      <c r="K297" s="3"/>
      <c r="L297" s="3"/>
      <c r="M297" s="3" t="s">
        <v>1753</v>
      </c>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5.75" customHeight="1" x14ac:dyDescent="0.35">
      <c r="A298" s="5" t="s">
        <v>690</v>
      </c>
      <c r="B298" s="5" t="s">
        <v>691</v>
      </c>
      <c r="C298" s="5" t="s">
        <v>25</v>
      </c>
      <c r="D298" s="5"/>
      <c r="E298" s="5"/>
      <c r="F298" s="3"/>
      <c r="G298" s="3"/>
      <c r="H298" s="3"/>
      <c r="I298" s="3"/>
      <c r="J298" s="3"/>
      <c r="K298" s="3"/>
      <c r="L298" s="3"/>
      <c r="M298" s="3" t="s">
        <v>1753</v>
      </c>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5.75" customHeight="1" x14ac:dyDescent="0.35">
      <c r="A299" s="5"/>
      <c r="B299" s="5"/>
      <c r="C299" s="5" t="s">
        <v>29</v>
      </c>
      <c r="D299" s="5"/>
      <c r="E299" s="5"/>
      <c r="F299" s="3"/>
      <c r="G299" s="3"/>
      <c r="H299" s="3"/>
      <c r="I299" s="3"/>
      <c r="J299" s="3"/>
      <c r="K299" s="3"/>
      <c r="L299" s="3"/>
      <c r="M299" s="3" t="s">
        <v>1753</v>
      </c>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5.75" customHeight="1" x14ac:dyDescent="0.35">
      <c r="A300" s="5"/>
      <c r="B300" s="5" t="s">
        <v>692</v>
      </c>
      <c r="C300" s="5" t="s">
        <v>33</v>
      </c>
      <c r="D300" s="5" t="s">
        <v>34</v>
      </c>
      <c r="E300" s="5" t="s">
        <v>35</v>
      </c>
      <c r="F300" s="3"/>
      <c r="G300" s="3"/>
      <c r="H300" s="3"/>
      <c r="I300" s="3"/>
      <c r="J300" s="3"/>
      <c r="K300" s="3"/>
      <c r="L300" s="3"/>
      <c r="M300" s="3" t="s">
        <v>1753</v>
      </c>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5.75" customHeight="1" x14ac:dyDescent="0.35">
      <c r="A301" s="5"/>
      <c r="B301" s="5" t="s">
        <v>693</v>
      </c>
      <c r="C301" s="5" t="s">
        <v>50</v>
      </c>
      <c r="D301" s="5" t="s">
        <v>51</v>
      </c>
      <c r="E301" s="5" t="s">
        <v>52</v>
      </c>
      <c r="F301" s="3"/>
      <c r="G301" s="3"/>
      <c r="H301" s="3"/>
      <c r="I301" s="3"/>
      <c r="J301" s="3"/>
      <c r="K301" s="3"/>
      <c r="L301" s="3"/>
      <c r="M301" s="3" t="s">
        <v>1753</v>
      </c>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5.75" customHeight="1" x14ac:dyDescent="0.35">
      <c r="A302" s="5"/>
      <c r="B302" s="5"/>
      <c r="C302" s="5" t="s">
        <v>57</v>
      </c>
      <c r="D302" s="5"/>
      <c r="E302" s="5"/>
      <c r="F302" s="3"/>
      <c r="G302" s="3"/>
      <c r="H302" s="3"/>
      <c r="I302" s="3"/>
      <c r="J302" s="3"/>
      <c r="K302" s="3"/>
      <c r="L302" s="3"/>
      <c r="M302" s="3" t="s">
        <v>1753</v>
      </c>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5.75" customHeight="1" x14ac:dyDescent="0.35">
      <c r="A303" s="5"/>
      <c r="B303" s="5" t="s">
        <v>694</v>
      </c>
      <c r="C303" s="5" t="s">
        <v>665</v>
      </c>
      <c r="D303" s="5" t="s">
        <v>51</v>
      </c>
      <c r="E303" s="5" t="s">
        <v>52</v>
      </c>
      <c r="F303" s="3"/>
      <c r="G303" s="3"/>
      <c r="H303" s="3"/>
      <c r="I303" s="3"/>
      <c r="J303" s="3"/>
      <c r="K303" s="3"/>
      <c r="L303" s="3"/>
      <c r="M303" s="3" t="s">
        <v>1753</v>
      </c>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5.75" customHeight="1" x14ac:dyDescent="0.35">
      <c r="A304" s="5"/>
      <c r="B304" s="5"/>
      <c r="C304" s="5" t="s">
        <v>669</v>
      </c>
      <c r="D304" s="5" t="s">
        <v>670</v>
      </c>
      <c r="E304" s="5" t="s">
        <v>671</v>
      </c>
      <c r="F304" s="3"/>
      <c r="G304" s="3"/>
      <c r="H304" s="3"/>
      <c r="I304" s="3"/>
      <c r="J304" s="3"/>
      <c r="K304" s="3"/>
      <c r="L304" s="3"/>
      <c r="M304" s="3" t="s">
        <v>1753</v>
      </c>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5.75" customHeight="1" x14ac:dyDescent="0.35">
      <c r="A305" s="3"/>
      <c r="B305" s="5" t="s">
        <v>189</v>
      </c>
      <c r="C305" s="5" t="s">
        <v>131</v>
      </c>
      <c r="D305" s="5"/>
      <c r="E305" s="5"/>
      <c r="F305" s="3"/>
      <c r="G305" s="3"/>
      <c r="H305" s="3"/>
      <c r="I305" s="3"/>
      <c r="J305" s="3"/>
      <c r="K305" s="3"/>
      <c r="L305" s="3"/>
      <c r="M305" s="3" t="s">
        <v>1753</v>
      </c>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5.75" customHeight="1" x14ac:dyDescent="0.35">
      <c r="A306" s="3"/>
      <c r="B306" s="3"/>
      <c r="C306" s="3"/>
      <c r="D306" s="3"/>
      <c r="E306" s="3"/>
      <c r="F306" s="3"/>
      <c r="G306" s="3"/>
      <c r="H306" s="3"/>
      <c r="I306" s="3"/>
      <c r="J306" s="3"/>
      <c r="K306" s="3"/>
      <c r="L306" s="3"/>
      <c r="M306" s="3" t="s">
        <v>1753</v>
      </c>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5.75" customHeight="1" x14ac:dyDescent="0.35">
      <c r="A307" s="3" t="s">
        <v>695</v>
      </c>
      <c r="B307" s="3" t="s">
        <v>696</v>
      </c>
      <c r="C307" s="3" t="s">
        <v>25</v>
      </c>
      <c r="D307" s="3"/>
      <c r="E307" s="3"/>
      <c r="F307" s="3"/>
      <c r="G307" s="3" t="s">
        <v>2386</v>
      </c>
      <c r="H307" s="3" t="s">
        <v>2386</v>
      </c>
      <c r="I307" s="3" t="s">
        <v>2387</v>
      </c>
      <c r="J307" s="3" t="s">
        <v>697</v>
      </c>
      <c r="K307" s="3" t="s">
        <v>2388</v>
      </c>
      <c r="L307" s="3" t="s">
        <v>26</v>
      </c>
      <c r="M307" s="3" t="s">
        <v>1753</v>
      </c>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5.75" customHeight="1" x14ac:dyDescent="0.35">
      <c r="A308" s="3"/>
      <c r="B308" s="3"/>
      <c r="C308" s="3" t="s">
        <v>29</v>
      </c>
      <c r="D308" s="3"/>
      <c r="E308" s="3"/>
      <c r="F308" s="3"/>
      <c r="G308" s="3" t="s">
        <v>2389</v>
      </c>
      <c r="H308" s="3" t="s">
        <v>2389</v>
      </c>
      <c r="I308" s="3" t="s">
        <v>2390</v>
      </c>
      <c r="J308" s="3" t="s">
        <v>698</v>
      </c>
      <c r="K308" s="3" t="s">
        <v>698</v>
      </c>
      <c r="L308" s="3" t="s">
        <v>698</v>
      </c>
      <c r="M308" s="3" t="s">
        <v>1753</v>
      </c>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5.75" customHeight="1" x14ac:dyDescent="0.35">
      <c r="A309" s="3"/>
      <c r="B309" s="3" t="s">
        <v>699</v>
      </c>
      <c r="C309" s="3" t="s">
        <v>700</v>
      </c>
      <c r="D309" s="3" t="s">
        <v>701</v>
      </c>
      <c r="E309" s="3" t="s">
        <v>702</v>
      </c>
      <c r="F309" s="3"/>
      <c r="G309" s="3" t="s">
        <v>2391</v>
      </c>
      <c r="H309" s="3" t="s">
        <v>2391</v>
      </c>
      <c r="I309" s="3" t="s">
        <v>2391</v>
      </c>
      <c r="J309" s="3" t="s">
        <v>703</v>
      </c>
      <c r="K309" s="3" t="s">
        <v>2392</v>
      </c>
      <c r="L309" s="3" t="s">
        <v>703</v>
      </c>
      <c r="M309" s="3" t="s">
        <v>1753</v>
      </c>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5.75" customHeight="1" x14ac:dyDescent="0.35">
      <c r="A310" s="3"/>
      <c r="B310" s="3"/>
      <c r="C310" s="3" t="s">
        <v>706</v>
      </c>
      <c r="D310" s="3"/>
      <c r="E310" s="3"/>
      <c r="F310" s="3"/>
      <c r="G310" s="3" t="s">
        <v>2393</v>
      </c>
      <c r="H310" s="3" t="s">
        <v>2394</v>
      </c>
      <c r="I310" s="3" t="s">
        <v>2394</v>
      </c>
      <c r="J310" s="3" t="s">
        <v>707</v>
      </c>
      <c r="K310" s="3" t="s">
        <v>707</v>
      </c>
      <c r="L310" s="3" t="s">
        <v>707</v>
      </c>
      <c r="M310" s="3" t="s">
        <v>1753</v>
      </c>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5.75" customHeight="1" x14ac:dyDescent="0.35">
      <c r="A311" s="3"/>
      <c r="B311" s="3"/>
      <c r="C311" s="3" t="s">
        <v>711</v>
      </c>
      <c r="D311" s="3"/>
      <c r="E311" s="3"/>
      <c r="F311" s="3"/>
      <c r="G311" s="3" t="s">
        <v>2395</v>
      </c>
      <c r="H311" s="3" t="s">
        <v>2396</v>
      </c>
      <c r="I311" s="3" t="s">
        <v>2397</v>
      </c>
      <c r="J311" s="3" t="s">
        <v>712</v>
      </c>
      <c r="K311" s="3" t="s">
        <v>712</v>
      </c>
      <c r="L311" s="3" t="s">
        <v>2398</v>
      </c>
      <c r="M311" s="3" t="s">
        <v>1753</v>
      </c>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5.75" customHeight="1" x14ac:dyDescent="0.35">
      <c r="A312" s="3"/>
      <c r="B312" s="3" t="s">
        <v>718</v>
      </c>
      <c r="C312" s="3" t="s">
        <v>50</v>
      </c>
      <c r="D312" s="3" t="s">
        <v>51</v>
      </c>
      <c r="E312" s="3" t="s">
        <v>52</v>
      </c>
      <c r="F312" s="3"/>
      <c r="G312" s="3" t="s">
        <v>53</v>
      </c>
      <c r="H312" s="3" t="s">
        <v>53</v>
      </c>
      <c r="I312" s="3" t="s">
        <v>53</v>
      </c>
      <c r="J312" s="3" t="s">
        <v>53</v>
      </c>
      <c r="K312" s="3" t="s">
        <v>53</v>
      </c>
      <c r="L312" s="3" t="s">
        <v>53</v>
      </c>
      <c r="M312" s="3" t="s">
        <v>1753</v>
      </c>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5.75" customHeight="1" x14ac:dyDescent="0.35">
      <c r="A313" s="3"/>
      <c r="B313" s="3"/>
      <c r="C313" s="3" t="s">
        <v>57</v>
      </c>
      <c r="D313" s="3"/>
      <c r="E313" s="3"/>
      <c r="F313" s="3"/>
      <c r="G313" s="3" t="s">
        <v>2399</v>
      </c>
      <c r="H313" s="3" t="s">
        <v>1764</v>
      </c>
      <c r="I313" s="3" t="s">
        <v>2399</v>
      </c>
      <c r="J313" s="3" t="s">
        <v>58</v>
      </c>
      <c r="K313" s="3" t="s">
        <v>58</v>
      </c>
      <c r="L313" s="3" t="s">
        <v>58</v>
      </c>
      <c r="M313" s="3" t="s">
        <v>1753</v>
      </c>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5.75" customHeight="1" x14ac:dyDescent="0.35">
      <c r="A314" s="3"/>
      <c r="B314" s="5" t="s">
        <v>719</v>
      </c>
      <c r="C314" s="5" t="s">
        <v>700</v>
      </c>
      <c r="D314" s="5" t="s">
        <v>701</v>
      </c>
      <c r="E314" s="5" t="s">
        <v>702</v>
      </c>
      <c r="F314" s="3"/>
      <c r="G314" s="3"/>
      <c r="H314" s="3"/>
      <c r="I314" s="3"/>
      <c r="J314" s="3"/>
      <c r="K314" s="3"/>
      <c r="L314" s="3"/>
      <c r="M314" s="3" t="s">
        <v>1753</v>
      </c>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5.75" customHeight="1" x14ac:dyDescent="0.35">
      <c r="A315" s="3"/>
      <c r="B315" s="3"/>
      <c r="C315" s="5" t="s">
        <v>706</v>
      </c>
      <c r="D315" s="5"/>
      <c r="E315" s="5"/>
      <c r="F315" s="3"/>
      <c r="G315" s="3"/>
      <c r="H315" s="3"/>
      <c r="I315" s="3"/>
      <c r="J315" s="3"/>
      <c r="K315" s="3"/>
      <c r="L315" s="3"/>
      <c r="M315" s="3" t="s">
        <v>1753</v>
      </c>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5.75" customHeight="1" x14ac:dyDescent="0.35">
      <c r="A316" s="3"/>
      <c r="B316" s="3"/>
      <c r="C316" s="5" t="s">
        <v>711</v>
      </c>
      <c r="D316" s="5"/>
      <c r="E316" s="5"/>
      <c r="F316" s="3"/>
      <c r="G316" s="3"/>
      <c r="H316" s="3"/>
      <c r="I316" s="3"/>
      <c r="J316" s="3"/>
      <c r="K316" s="3"/>
      <c r="L316" s="3"/>
      <c r="M316" s="3" t="s">
        <v>1753</v>
      </c>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5.75" customHeight="1" x14ac:dyDescent="0.35">
      <c r="A317" s="3"/>
      <c r="B317" s="3" t="s">
        <v>720</v>
      </c>
      <c r="C317" s="3" t="s">
        <v>721</v>
      </c>
      <c r="D317" s="3"/>
      <c r="E317" s="3"/>
      <c r="F317" s="3"/>
      <c r="G317" s="3" t="s">
        <v>2400</v>
      </c>
      <c r="H317" s="3" t="s">
        <v>2400</v>
      </c>
      <c r="I317" s="3" t="s">
        <v>2400</v>
      </c>
      <c r="J317" s="3" t="s">
        <v>722</v>
      </c>
      <c r="K317" s="3" t="s">
        <v>2401</v>
      </c>
      <c r="L317" s="3" t="s">
        <v>2402</v>
      </c>
      <c r="M317" s="3" t="s">
        <v>1753</v>
      </c>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5.75" customHeight="1" x14ac:dyDescent="0.35">
      <c r="A318" s="3"/>
      <c r="B318" s="3"/>
      <c r="C318" s="3" t="s">
        <v>724</v>
      </c>
      <c r="D318" s="3"/>
      <c r="E318" s="3"/>
      <c r="F318" s="3"/>
      <c r="G318" s="3" t="s">
        <v>2403</v>
      </c>
      <c r="H318" s="3" t="s">
        <v>2403</v>
      </c>
      <c r="I318" s="3" t="s">
        <v>2404</v>
      </c>
      <c r="J318" s="3" t="s">
        <v>725</v>
      </c>
      <c r="K318" s="3" t="s">
        <v>2405</v>
      </c>
      <c r="L318" s="3" t="s">
        <v>2406</v>
      </c>
      <c r="M318" s="3" t="s">
        <v>1753</v>
      </c>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5.75" customHeight="1" x14ac:dyDescent="0.35">
      <c r="A319" s="3"/>
      <c r="B319" s="3" t="s">
        <v>730</v>
      </c>
      <c r="C319" s="3" t="s">
        <v>2407</v>
      </c>
      <c r="D319" s="3" t="s">
        <v>732</v>
      </c>
      <c r="E319" s="3" t="s">
        <v>77</v>
      </c>
      <c r="F319" s="3"/>
      <c r="G319" s="3" t="s">
        <v>2408</v>
      </c>
      <c r="H319" s="3" t="s">
        <v>2408</v>
      </c>
      <c r="I319" s="3" t="s">
        <v>2409</v>
      </c>
      <c r="J319" s="3" t="s">
        <v>2410</v>
      </c>
      <c r="K319" s="3" t="s">
        <v>2411</v>
      </c>
      <c r="L319" s="3" t="s">
        <v>2410</v>
      </c>
      <c r="M319" s="3" t="s">
        <v>1753</v>
      </c>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5.75" customHeight="1" x14ac:dyDescent="0.35">
      <c r="A320" s="3"/>
      <c r="B320" s="3"/>
      <c r="C320" s="3" t="s">
        <v>2412</v>
      </c>
      <c r="D320" s="3"/>
      <c r="E320" s="3"/>
      <c r="F320" s="3"/>
      <c r="G320" s="3" t="s">
        <v>2413</v>
      </c>
      <c r="H320" s="3" t="s">
        <v>2414</v>
      </c>
      <c r="I320" s="3" t="s">
        <v>2414</v>
      </c>
      <c r="J320" s="3" t="s">
        <v>2415</v>
      </c>
      <c r="K320" s="3" t="s">
        <v>2416</v>
      </c>
      <c r="L320" s="3" t="s">
        <v>2417</v>
      </c>
      <c r="M320" s="3" t="s">
        <v>1753</v>
      </c>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5.75" customHeight="1" x14ac:dyDescent="0.35">
      <c r="A321" s="3"/>
      <c r="B321" s="3"/>
      <c r="C321" s="3" t="s">
        <v>756</v>
      </c>
      <c r="D321" s="3"/>
      <c r="E321" s="3"/>
      <c r="F321" s="3"/>
      <c r="G321" s="3" t="s">
        <v>2418</v>
      </c>
      <c r="H321" s="3" t="s">
        <v>2419</v>
      </c>
      <c r="I321" s="3" t="s">
        <v>2420</v>
      </c>
      <c r="J321" s="3" t="s">
        <v>2421</v>
      </c>
      <c r="K321" s="3" t="s">
        <v>2422</v>
      </c>
      <c r="L321" s="3" t="s">
        <v>2423</v>
      </c>
      <c r="M321" s="3" t="s">
        <v>1753</v>
      </c>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5.75" customHeight="1" x14ac:dyDescent="0.35">
      <c r="A322" s="3"/>
      <c r="B322" s="3"/>
      <c r="C322" s="3" t="s">
        <v>1792</v>
      </c>
      <c r="D322" s="3"/>
      <c r="E322" s="3"/>
      <c r="F322" s="3"/>
      <c r="G322" s="3" t="s">
        <v>2424</v>
      </c>
      <c r="H322" s="3" t="s">
        <v>2425</v>
      </c>
      <c r="I322" s="3" t="s">
        <v>2425</v>
      </c>
      <c r="J322" s="3" t="s">
        <v>2426</v>
      </c>
      <c r="K322" s="3" t="s">
        <v>2427</v>
      </c>
      <c r="L322" s="3" t="s">
        <v>2428</v>
      </c>
      <c r="M322" s="3" t="s">
        <v>1753</v>
      </c>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5.75" customHeight="1" x14ac:dyDescent="0.35">
      <c r="A323" s="3"/>
      <c r="B323" s="5" t="s">
        <v>753</v>
      </c>
      <c r="C323" s="5" t="s">
        <v>754</v>
      </c>
      <c r="D323" s="5" t="s">
        <v>732</v>
      </c>
      <c r="E323" s="5" t="s">
        <v>77</v>
      </c>
      <c r="F323" s="3"/>
      <c r="G323" s="3"/>
      <c r="H323" s="3"/>
      <c r="I323" s="3"/>
      <c r="J323" s="3"/>
      <c r="K323" s="3"/>
      <c r="L323" s="3"/>
      <c r="M323" s="3" t="s">
        <v>1753</v>
      </c>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5.75" customHeight="1" x14ac:dyDescent="0.35">
      <c r="A324" s="3"/>
      <c r="B324" s="3"/>
      <c r="C324" s="5" t="s">
        <v>755</v>
      </c>
      <c r="D324" s="5"/>
      <c r="E324" s="5"/>
      <c r="F324" s="3"/>
      <c r="G324" s="3"/>
      <c r="H324" s="3"/>
      <c r="I324" s="3"/>
      <c r="J324" s="3"/>
      <c r="K324" s="3"/>
      <c r="L324" s="3"/>
      <c r="M324" s="3" t="s">
        <v>1753</v>
      </c>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5.75" customHeight="1" x14ac:dyDescent="0.35">
      <c r="A325" s="3"/>
      <c r="B325" s="3"/>
      <c r="C325" s="5" t="s">
        <v>756</v>
      </c>
      <c r="D325" s="5"/>
      <c r="E325" s="5"/>
      <c r="F325" s="3"/>
      <c r="G325" s="3"/>
      <c r="H325" s="3"/>
      <c r="I325" s="3"/>
      <c r="J325" s="3"/>
      <c r="K325" s="3"/>
      <c r="L325" s="3"/>
      <c r="M325" s="3" t="s">
        <v>1753</v>
      </c>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5.75" customHeight="1" x14ac:dyDescent="0.35">
      <c r="A326" s="3"/>
      <c r="B326" s="3"/>
      <c r="C326" s="5" t="s">
        <v>757</v>
      </c>
      <c r="D326" s="5"/>
      <c r="E326" s="5"/>
      <c r="F326" s="3"/>
      <c r="G326" s="3"/>
      <c r="H326" s="3"/>
      <c r="I326" s="3"/>
      <c r="J326" s="3"/>
      <c r="K326" s="3"/>
      <c r="L326" s="3"/>
      <c r="M326" s="3" t="s">
        <v>1753</v>
      </c>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5.75" customHeight="1" x14ac:dyDescent="0.35">
      <c r="A327" s="3"/>
      <c r="B327" s="5" t="s">
        <v>758</v>
      </c>
      <c r="C327" s="5" t="s">
        <v>759</v>
      </c>
      <c r="D327" s="5"/>
      <c r="E327" s="3"/>
      <c r="F327" s="3"/>
      <c r="G327" s="3"/>
      <c r="H327" s="3"/>
      <c r="I327" s="3"/>
      <c r="J327" s="3"/>
      <c r="K327" s="3"/>
      <c r="L327" s="3"/>
      <c r="M327" s="3" t="s">
        <v>1753</v>
      </c>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5.75" customHeight="1" x14ac:dyDescent="0.35">
      <c r="A328" s="3"/>
      <c r="B328" s="3"/>
      <c r="C328" s="5" t="s">
        <v>760</v>
      </c>
      <c r="D328" s="5"/>
      <c r="E328" s="3"/>
      <c r="F328" s="3"/>
      <c r="G328" s="3"/>
      <c r="H328" s="3"/>
      <c r="I328" s="3"/>
      <c r="J328" s="3"/>
      <c r="K328" s="3"/>
      <c r="L328" s="3"/>
      <c r="M328" s="3" t="s">
        <v>1753</v>
      </c>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5.75" customHeight="1" x14ac:dyDescent="0.35">
      <c r="A329" s="3"/>
      <c r="B329" s="3"/>
      <c r="C329" s="5" t="s">
        <v>64</v>
      </c>
      <c r="D329" s="3"/>
      <c r="E329" s="3"/>
      <c r="F329" s="3"/>
      <c r="G329" s="10"/>
      <c r="H329" s="10"/>
      <c r="I329" s="10"/>
      <c r="J329" s="3"/>
      <c r="K329" s="3"/>
      <c r="L329" s="3"/>
      <c r="M329" s="3" t="s">
        <v>1753</v>
      </c>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5.75" customHeight="1" x14ac:dyDescent="0.35">
      <c r="A330" s="3"/>
      <c r="B330" s="5" t="s">
        <v>761</v>
      </c>
      <c r="C330" s="5" t="s">
        <v>131</v>
      </c>
      <c r="D330" s="3"/>
      <c r="E330" s="3"/>
      <c r="F330" s="3"/>
      <c r="G330" s="10"/>
      <c r="H330" s="10"/>
      <c r="I330" s="10"/>
      <c r="J330" s="3"/>
      <c r="K330" s="3"/>
      <c r="L330" s="3"/>
      <c r="M330" s="3" t="s">
        <v>1753</v>
      </c>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5.75" customHeight="1" x14ac:dyDescent="0.35">
      <c r="A331" s="3"/>
      <c r="B331" s="3" t="s">
        <v>762</v>
      </c>
      <c r="C331" s="3" t="s">
        <v>777</v>
      </c>
      <c r="D331" s="3" t="s">
        <v>764</v>
      </c>
      <c r="E331" s="3" t="s">
        <v>175</v>
      </c>
      <c r="F331" s="3"/>
      <c r="G331" s="3" t="s">
        <v>2429</v>
      </c>
      <c r="H331" s="3" t="s">
        <v>2430</v>
      </c>
      <c r="I331" s="3" t="s">
        <v>2430</v>
      </c>
      <c r="J331" s="3" t="s">
        <v>2431</v>
      </c>
      <c r="K331" s="3" t="s">
        <v>2431</v>
      </c>
      <c r="L331" s="3" t="s">
        <v>2431</v>
      </c>
      <c r="M331" s="3" t="s">
        <v>1753</v>
      </c>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5.75" customHeight="1" x14ac:dyDescent="0.35">
      <c r="A332" s="3"/>
      <c r="B332" s="3"/>
      <c r="C332" s="3" t="s">
        <v>779</v>
      </c>
      <c r="D332" s="3"/>
      <c r="E332" s="3"/>
      <c r="F332" s="3"/>
      <c r="G332" s="3" t="s">
        <v>2432</v>
      </c>
      <c r="H332" s="3" t="s">
        <v>2433</v>
      </c>
      <c r="I332" s="3" t="s">
        <v>2434</v>
      </c>
      <c r="J332" s="3" t="s">
        <v>2435</v>
      </c>
      <c r="K332" s="3" t="s">
        <v>2436</v>
      </c>
      <c r="L332" s="3" t="s">
        <v>2437</v>
      </c>
      <c r="M332" s="3" t="s">
        <v>1753</v>
      </c>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5.75" customHeight="1" x14ac:dyDescent="0.35">
      <c r="A333" s="3"/>
      <c r="B333" s="3"/>
      <c r="C333" s="3" t="s">
        <v>780</v>
      </c>
      <c r="D333" s="3"/>
      <c r="E333" s="3"/>
      <c r="F333" s="3"/>
      <c r="G333" s="3" t="s">
        <v>2438</v>
      </c>
      <c r="H333" s="3" t="s">
        <v>2439</v>
      </c>
      <c r="I333" s="3" t="s">
        <v>2440</v>
      </c>
      <c r="J333" s="3" t="s">
        <v>2441</v>
      </c>
      <c r="K333" s="3" t="s">
        <v>2442</v>
      </c>
      <c r="L333" s="3" t="s">
        <v>2443</v>
      </c>
      <c r="M333" s="3" t="s">
        <v>1753</v>
      </c>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5.75" customHeight="1" x14ac:dyDescent="0.35">
      <c r="A334" s="3"/>
      <c r="B334" s="5" t="s">
        <v>776</v>
      </c>
      <c r="C334" s="5" t="s">
        <v>777</v>
      </c>
      <c r="D334" s="5" t="s">
        <v>778</v>
      </c>
      <c r="E334" s="3"/>
      <c r="F334" s="3"/>
      <c r="G334" s="3"/>
      <c r="H334" s="3"/>
      <c r="I334" s="3"/>
      <c r="J334" s="3"/>
      <c r="K334" s="3"/>
      <c r="L334" s="3"/>
      <c r="M334" s="3" t="s">
        <v>1753</v>
      </c>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5.75" customHeight="1" x14ac:dyDescent="0.35">
      <c r="A335" s="3"/>
      <c r="B335" s="3"/>
      <c r="C335" s="5" t="s">
        <v>779</v>
      </c>
      <c r="D335" s="5"/>
      <c r="E335" s="3"/>
      <c r="F335" s="3"/>
      <c r="G335" s="3"/>
      <c r="H335" s="3"/>
      <c r="I335" s="3"/>
      <c r="J335" s="3"/>
      <c r="K335" s="3"/>
      <c r="L335" s="3"/>
      <c r="M335" s="3" t="s">
        <v>1753</v>
      </c>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5.75" customHeight="1" x14ac:dyDescent="0.35">
      <c r="A336" s="3"/>
      <c r="B336" s="3"/>
      <c r="C336" s="5" t="s">
        <v>780</v>
      </c>
      <c r="D336" s="5"/>
      <c r="E336" s="3"/>
      <c r="F336" s="3"/>
      <c r="G336" s="3"/>
      <c r="H336" s="3"/>
      <c r="I336" s="3"/>
      <c r="J336" s="3"/>
      <c r="K336" s="3"/>
      <c r="L336" s="3"/>
      <c r="M336" s="3" t="s">
        <v>1753</v>
      </c>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5.75" customHeight="1" x14ac:dyDescent="0.35">
      <c r="A337" s="3"/>
      <c r="B337" s="3"/>
      <c r="C337" s="3"/>
      <c r="D337" s="3"/>
      <c r="E337" s="3"/>
      <c r="F337" s="3"/>
      <c r="G337" s="10"/>
      <c r="H337" s="10"/>
      <c r="I337" s="10"/>
      <c r="J337" s="3"/>
      <c r="K337" s="3"/>
      <c r="L337" s="3"/>
      <c r="M337" s="3" t="s">
        <v>1753</v>
      </c>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5.75" customHeight="1" x14ac:dyDescent="0.35">
      <c r="A338" s="3" t="s">
        <v>781</v>
      </c>
      <c r="B338" s="3" t="s">
        <v>782</v>
      </c>
      <c r="C338" s="3" t="s">
        <v>25</v>
      </c>
      <c r="D338" s="3"/>
      <c r="E338" s="3"/>
      <c r="F338" s="3"/>
      <c r="G338" s="3" t="s">
        <v>783</v>
      </c>
      <c r="H338" s="3" t="s">
        <v>2444</v>
      </c>
      <c r="I338" s="3" t="s">
        <v>2444</v>
      </c>
      <c r="J338" s="3" t="s">
        <v>783</v>
      </c>
      <c r="K338" s="3" t="s">
        <v>783</v>
      </c>
      <c r="L338" s="3" t="s">
        <v>783</v>
      </c>
      <c r="M338" s="3" t="s">
        <v>1753</v>
      </c>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5.75" customHeight="1" x14ac:dyDescent="0.35">
      <c r="A339" s="3"/>
      <c r="B339" s="3"/>
      <c r="C339" s="3" t="s">
        <v>29</v>
      </c>
      <c r="D339" s="3"/>
      <c r="E339" s="3"/>
      <c r="F339" s="3"/>
      <c r="G339" s="3" t="s">
        <v>2445</v>
      </c>
      <c r="H339" s="3" t="s">
        <v>2445</v>
      </c>
      <c r="I339" s="3" t="s">
        <v>2445</v>
      </c>
      <c r="J339" s="3" t="s">
        <v>784</v>
      </c>
      <c r="K339" s="3" t="s">
        <v>784</v>
      </c>
      <c r="L339" s="3" t="s">
        <v>784</v>
      </c>
      <c r="M339" s="3" t="s">
        <v>1753</v>
      </c>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5.75" customHeight="1" x14ac:dyDescent="0.35">
      <c r="A340" s="3"/>
      <c r="B340" s="3" t="s">
        <v>785</v>
      </c>
      <c r="C340" s="3" t="s">
        <v>50</v>
      </c>
      <c r="D340" s="3" t="s">
        <v>51</v>
      </c>
      <c r="E340" s="3" t="s">
        <v>52</v>
      </c>
      <c r="F340" s="3"/>
      <c r="G340" s="3" t="s">
        <v>786</v>
      </c>
      <c r="H340" s="3" t="s">
        <v>53</v>
      </c>
      <c r="I340" s="3" t="s">
        <v>53</v>
      </c>
      <c r="J340" s="3" t="s">
        <v>786</v>
      </c>
      <c r="K340" s="3" t="s">
        <v>786</v>
      </c>
      <c r="L340" s="3" t="s">
        <v>786</v>
      </c>
      <c r="M340" s="3" t="s">
        <v>1753</v>
      </c>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5.75" customHeight="1" x14ac:dyDescent="0.35">
      <c r="A341" s="3"/>
      <c r="B341" s="3"/>
      <c r="C341" s="3" t="s">
        <v>57</v>
      </c>
      <c r="D341" s="3"/>
      <c r="E341" s="3"/>
      <c r="F341" s="3"/>
      <c r="G341" s="3" t="s">
        <v>2446</v>
      </c>
      <c r="H341" s="3" t="s">
        <v>2446</v>
      </c>
      <c r="I341" s="3" t="s">
        <v>1764</v>
      </c>
      <c r="J341" s="3" t="s">
        <v>58</v>
      </c>
      <c r="K341" s="3" t="s">
        <v>58</v>
      </c>
      <c r="L341" s="3" t="s">
        <v>58</v>
      </c>
      <c r="M341" s="3" t="s">
        <v>1753</v>
      </c>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5.75" customHeight="1" x14ac:dyDescent="0.35">
      <c r="A342" s="3"/>
      <c r="B342" s="3" t="s">
        <v>787</v>
      </c>
      <c r="C342" s="3" t="s">
        <v>700</v>
      </c>
      <c r="D342" s="3" t="s">
        <v>701</v>
      </c>
      <c r="E342" s="3" t="s">
        <v>702</v>
      </c>
      <c r="F342" s="3"/>
      <c r="G342" s="3" t="s">
        <v>2447</v>
      </c>
      <c r="H342" s="3" t="s">
        <v>2447</v>
      </c>
      <c r="I342" s="3" t="s">
        <v>2448</v>
      </c>
      <c r="J342" s="3" t="s">
        <v>788</v>
      </c>
      <c r="K342" s="3" t="s">
        <v>2449</v>
      </c>
      <c r="L342" s="3" t="s">
        <v>788</v>
      </c>
      <c r="M342" s="3" t="s">
        <v>1753</v>
      </c>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5.75" customHeight="1" x14ac:dyDescent="0.35">
      <c r="A343" s="3"/>
      <c r="B343" s="3"/>
      <c r="C343" s="3" t="s">
        <v>706</v>
      </c>
      <c r="D343" s="3"/>
      <c r="E343" s="3"/>
      <c r="F343" s="3"/>
      <c r="G343" s="3" t="s">
        <v>2450</v>
      </c>
      <c r="H343" s="3" t="s">
        <v>2450</v>
      </c>
      <c r="I343" s="3" t="s">
        <v>2450</v>
      </c>
      <c r="J343" s="3" t="s">
        <v>790</v>
      </c>
      <c r="K343" s="3" t="s">
        <v>2451</v>
      </c>
      <c r="L343" s="3" t="s">
        <v>2452</v>
      </c>
      <c r="M343" s="3" t="s">
        <v>1753</v>
      </c>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5.75" customHeight="1" x14ac:dyDescent="0.35">
      <c r="A344" s="3"/>
      <c r="B344" s="3"/>
      <c r="C344" s="3" t="s">
        <v>711</v>
      </c>
      <c r="D344" s="3"/>
      <c r="E344" s="3"/>
      <c r="F344" s="3"/>
      <c r="G344" s="3" t="s">
        <v>2453</v>
      </c>
      <c r="H344" s="3" t="s">
        <v>2454</v>
      </c>
      <c r="I344" s="3" t="s">
        <v>2453</v>
      </c>
      <c r="J344" s="3" t="s">
        <v>793</v>
      </c>
      <c r="K344" s="3" t="s">
        <v>2455</v>
      </c>
      <c r="L344" s="3" t="s">
        <v>2455</v>
      </c>
      <c r="M344" s="3" t="s">
        <v>1753</v>
      </c>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5.75" customHeight="1" x14ac:dyDescent="0.35">
      <c r="A345" s="3"/>
      <c r="B345" s="3" t="s">
        <v>753</v>
      </c>
      <c r="C345" s="3" t="s">
        <v>754</v>
      </c>
      <c r="D345" s="3" t="s">
        <v>76</v>
      </c>
      <c r="E345" s="3" t="s">
        <v>77</v>
      </c>
      <c r="F345" s="3"/>
      <c r="G345" s="3" t="s">
        <v>2456</v>
      </c>
      <c r="H345" s="3" t="s">
        <v>1778</v>
      </c>
      <c r="I345" s="3" t="s">
        <v>2457</v>
      </c>
      <c r="J345" s="3" t="s">
        <v>2458</v>
      </c>
      <c r="K345" s="3" t="s">
        <v>2459</v>
      </c>
      <c r="L345" s="3" t="s">
        <v>2459</v>
      </c>
      <c r="M345" s="3" t="s">
        <v>1753</v>
      </c>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5.75" customHeight="1" x14ac:dyDescent="0.35">
      <c r="A346" s="3"/>
      <c r="B346" s="3"/>
      <c r="C346" s="3" t="s">
        <v>755</v>
      </c>
      <c r="D346" s="3"/>
      <c r="E346" s="3"/>
      <c r="F346" s="3"/>
      <c r="G346" s="3" t="s">
        <v>2460</v>
      </c>
      <c r="H346" s="3" t="s">
        <v>1782</v>
      </c>
      <c r="I346" s="3" t="s">
        <v>2461</v>
      </c>
      <c r="J346" s="3" t="s">
        <v>2462</v>
      </c>
      <c r="K346" s="3" t="s">
        <v>2152</v>
      </c>
      <c r="L346" s="3" t="s">
        <v>2152</v>
      </c>
      <c r="M346" s="3" t="s">
        <v>1753</v>
      </c>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5.75" customHeight="1" x14ac:dyDescent="0.35">
      <c r="A347" s="3"/>
      <c r="B347" s="3"/>
      <c r="C347" s="3" t="s">
        <v>756</v>
      </c>
      <c r="D347" s="3"/>
      <c r="E347" s="3"/>
      <c r="F347" s="3"/>
      <c r="G347" s="3" t="s">
        <v>2463</v>
      </c>
      <c r="H347" s="3" t="s">
        <v>2464</v>
      </c>
      <c r="I347" s="3" t="s">
        <v>2465</v>
      </c>
      <c r="J347" s="3" t="s">
        <v>2466</v>
      </c>
      <c r="K347" s="3" t="s">
        <v>2467</v>
      </c>
      <c r="L347" s="3" t="s">
        <v>2468</v>
      </c>
      <c r="M347" s="3" t="s">
        <v>1753</v>
      </c>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5.75" customHeight="1" x14ac:dyDescent="0.35">
      <c r="A348" s="3"/>
      <c r="B348" s="3"/>
      <c r="C348" s="3" t="s">
        <v>2469</v>
      </c>
      <c r="D348" s="3"/>
      <c r="E348" s="3"/>
      <c r="F348" s="3"/>
      <c r="G348" s="3" t="s">
        <v>2470</v>
      </c>
      <c r="H348" s="3" t="s">
        <v>2471</v>
      </c>
      <c r="I348" s="3" t="s">
        <v>2472</v>
      </c>
      <c r="J348" s="3" t="s">
        <v>2473</v>
      </c>
      <c r="K348" s="3" t="s">
        <v>2474</v>
      </c>
      <c r="L348" s="3" t="s">
        <v>2475</v>
      </c>
      <c r="M348" s="3" t="s">
        <v>1753</v>
      </c>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5.75" customHeight="1" x14ac:dyDescent="0.35">
      <c r="A349" s="3"/>
      <c r="B349" s="3" t="s">
        <v>812</v>
      </c>
      <c r="C349" s="3" t="s">
        <v>2476</v>
      </c>
      <c r="D349" s="3" t="s">
        <v>814</v>
      </c>
      <c r="E349" s="3" t="s">
        <v>815</v>
      </c>
      <c r="F349" s="3"/>
      <c r="G349" s="3" t="s">
        <v>2477</v>
      </c>
      <c r="H349" s="3" t="s">
        <v>2478</v>
      </c>
      <c r="I349" s="3" t="s">
        <v>2479</v>
      </c>
      <c r="J349" s="3" t="s">
        <v>2480</v>
      </c>
      <c r="K349" s="3" t="s">
        <v>2481</v>
      </c>
      <c r="L349" s="3" t="s">
        <v>2481</v>
      </c>
      <c r="M349" s="3" t="s">
        <v>1753</v>
      </c>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5.75" customHeight="1" x14ac:dyDescent="0.35">
      <c r="A350" s="3"/>
      <c r="B350" s="3"/>
      <c r="C350" s="3" t="s">
        <v>2482</v>
      </c>
      <c r="D350" s="3" t="s">
        <v>76</v>
      </c>
      <c r="E350" s="3" t="s">
        <v>77</v>
      </c>
      <c r="F350" s="3"/>
      <c r="G350" s="3" t="s">
        <v>2483</v>
      </c>
      <c r="H350" s="3" t="s">
        <v>2484</v>
      </c>
      <c r="I350" s="3" t="s">
        <v>2485</v>
      </c>
      <c r="J350" s="3" t="s">
        <v>2486</v>
      </c>
      <c r="K350" s="3" t="s">
        <v>2487</v>
      </c>
      <c r="L350" s="3" t="s">
        <v>2488</v>
      </c>
      <c r="M350" s="3" t="s">
        <v>1753</v>
      </c>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5.75" customHeight="1" x14ac:dyDescent="0.35">
      <c r="A351" s="3"/>
      <c r="B351" s="3"/>
      <c r="C351" s="3" t="s">
        <v>2489</v>
      </c>
      <c r="D351" s="3"/>
      <c r="E351" s="3"/>
      <c r="F351" s="3"/>
      <c r="G351" s="3" t="s">
        <v>2490</v>
      </c>
      <c r="H351" s="3" t="s">
        <v>2491</v>
      </c>
      <c r="I351" s="3" t="s">
        <v>2491</v>
      </c>
      <c r="J351" s="3" t="s">
        <v>2492</v>
      </c>
      <c r="K351" s="3" t="s">
        <v>2493</v>
      </c>
      <c r="L351" s="3" t="s">
        <v>2494</v>
      </c>
      <c r="M351" s="3" t="s">
        <v>1753</v>
      </c>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5.75" customHeight="1" x14ac:dyDescent="0.35">
      <c r="A352" s="3"/>
      <c r="B352" s="3"/>
      <c r="C352" s="3" t="s">
        <v>2495</v>
      </c>
      <c r="D352" s="3"/>
      <c r="E352" s="3"/>
      <c r="F352" s="3"/>
      <c r="G352" s="3" t="s">
        <v>2496</v>
      </c>
      <c r="H352" s="3" t="s">
        <v>2497</v>
      </c>
      <c r="I352" s="3" t="s">
        <v>2498</v>
      </c>
      <c r="J352" s="3" t="s">
        <v>2499</v>
      </c>
      <c r="K352" s="3" t="s">
        <v>2500</v>
      </c>
      <c r="L352" s="3" t="s">
        <v>2501</v>
      </c>
      <c r="M352" s="3" t="s">
        <v>1753</v>
      </c>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5.75" customHeight="1" x14ac:dyDescent="0.35">
      <c r="A353" s="3"/>
      <c r="B353" s="3" t="s">
        <v>837</v>
      </c>
      <c r="C353" s="3" t="s">
        <v>838</v>
      </c>
      <c r="D353" s="5"/>
      <c r="E353" s="3"/>
      <c r="F353" s="3"/>
      <c r="G353" s="3" t="s">
        <v>2502</v>
      </c>
      <c r="H353" s="3" t="s">
        <v>2503</v>
      </c>
      <c r="I353" s="3" t="s">
        <v>2504</v>
      </c>
      <c r="J353" s="3" t="s">
        <v>839</v>
      </c>
      <c r="K353" s="3" t="s">
        <v>940</v>
      </c>
      <c r="L353" s="3" t="s">
        <v>940</v>
      </c>
      <c r="M353" s="3" t="s">
        <v>1753</v>
      </c>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5.75" customHeight="1" x14ac:dyDescent="0.35">
      <c r="A354" s="3"/>
      <c r="B354" s="3"/>
      <c r="C354" s="3" t="s">
        <v>843</v>
      </c>
      <c r="D354" s="5"/>
      <c r="E354" s="3"/>
      <c r="F354" s="3"/>
      <c r="G354" s="3" t="s">
        <v>2505</v>
      </c>
      <c r="H354" s="3" t="s">
        <v>2506</v>
      </c>
      <c r="I354" s="3" t="s">
        <v>2506</v>
      </c>
      <c r="J354" s="3" t="s">
        <v>844</v>
      </c>
      <c r="K354" s="3" t="s">
        <v>2507</v>
      </c>
      <c r="L354" s="3" t="s">
        <v>2508</v>
      </c>
      <c r="M354" s="3" t="s">
        <v>1753</v>
      </c>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5.75" customHeight="1" x14ac:dyDescent="0.35">
      <c r="A355" s="3"/>
      <c r="B355" s="3"/>
      <c r="C355" s="3" t="s">
        <v>64</v>
      </c>
      <c r="D355" s="3"/>
      <c r="E355" s="3"/>
      <c r="F355" s="3"/>
      <c r="G355" s="3" t="s">
        <v>1768</v>
      </c>
      <c r="H355" s="3" t="s">
        <v>2509</v>
      </c>
      <c r="I355" s="3" t="s">
        <v>1768</v>
      </c>
      <c r="J355" s="3" t="s">
        <v>849</v>
      </c>
      <c r="K355" s="3" t="s">
        <v>2211</v>
      </c>
      <c r="L355" s="3" t="s">
        <v>2510</v>
      </c>
      <c r="M355" s="3" t="s">
        <v>1753</v>
      </c>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5.75" customHeight="1" x14ac:dyDescent="0.35">
      <c r="A356" s="3"/>
      <c r="B356" s="3" t="s">
        <v>850</v>
      </c>
      <c r="C356" s="3" t="s">
        <v>851</v>
      </c>
      <c r="D356" s="3" t="s">
        <v>814</v>
      </c>
      <c r="E356" s="3" t="s">
        <v>815</v>
      </c>
      <c r="F356" s="3"/>
      <c r="G356" s="3" t="s">
        <v>852</v>
      </c>
      <c r="H356" s="3" t="s">
        <v>2511</v>
      </c>
      <c r="I356" s="3" t="s">
        <v>2512</v>
      </c>
      <c r="J356" s="3" t="s">
        <v>852</v>
      </c>
      <c r="K356" s="3" t="s">
        <v>2513</v>
      </c>
      <c r="L356" s="3" t="s">
        <v>2514</v>
      </c>
      <c r="M356" s="3" t="s">
        <v>1753</v>
      </c>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5.75" customHeight="1" x14ac:dyDescent="0.35">
      <c r="A357" s="3"/>
      <c r="B357" s="3"/>
      <c r="C357" s="3" t="s">
        <v>855</v>
      </c>
      <c r="D357" s="3"/>
      <c r="E357" s="3"/>
      <c r="F357" s="3"/>
      <c r="G357" s="3" t="s">
        <v>2515</v>
      </c>
      <c r="H357" s="3" t="s">
        <v>2515</v>
      </c>
      <c r="I357" s="3" t="s">
        <v>2515</v>
      </c>
      <c r="J357" s="3" t="s">
        <v>856</v>
      </c>
      <c r="K357" s="3" t="s">
        <v>950</v>
      </c>
      <c r="L357" s="3" t="s">
        <v>950</v>
      </c>
      <c r="M357" s="3" t="s">
        <v>1753</v>
      </c>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5.75" customHeight="1" x14ac:dyDescent="0.35">
      <c r="A358" s="3"/>
      <c r="B358" s="3" t="s">
        <v>859</v>
      </c>
      <c r="C358" s="3"/>
      <c r="D358" s="3" t="s">
        <v>76</v>
      </c>
      <c r="E358" s="3"/>
      <c r="F358" s="3"/>
      <c r="G358" s="10"/>
      <c r="H358" s="10"/>
      <c r="I358" s="10"/>
      <c r="J358" s="3"/>
      <c r="K358" s="3"/>
      <c r="L358" s="3"/>
      <c r="M358" s="3" t="s">
        <v>1753</v>
      </c>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5.75" customHeight="1" x14ac:dyDescent="0.35">
      <c r="A359" s="3"/>
      <c r="B359" s="5" t="s">
        <v>761</v>
      </c>
      <c r="C359" s="5" t="s">
        <v>131</v>
      </c>
      <c r="D359" s="3"/>
      <c r="E359" s="3"/>
      <c r="F359" s="3"/>
      <c r="G359" s="10"/>
      <c r="H359" s="10"/>
      <c r="I359" s="10"/>
      <c r="J359" s="3"/>
      <c r="K359" s="3"/>
      <c r="L359" s="3"/>
      <c r="M359" s="3" t="s">
        <v>1753</v>
      </c>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5.75" customHeight="1" x14ac:dyDescent="0.35">
      <c r="A360" s="3"/>
      <c r="B360" s="3" t="s">
        <v>776</v>
      </c>
      <c r="C360" s="3" t="s">
        <v>777</v>
      </c>
      <c r="D360" s="3" t="s">
        <v>174</v>
      </c>
      <c r="E360" s="3" t="s">
        <v>175</v>
      </c>
      <c r="F360" s="3"/>
      <c r="G360" s="3" t="s">
        <v>2516</v>
      </c>
      <c r="H360" s="3" t="s">
        <v>2516</v>
      </c>
      <c r="I360" s="3" t="s">
        <v>2516</v>
      </c>
      <c r="J360" s="3" t="s">
        <v>2517</v>
      </c>
      <c r="K360" s="3" t="s">
        <v>2518</v>
      </c>
      <c r="L360" s="3" t="s">
        <v>2518</v>
      </c>
      <c r="M360" s="3" t="s">
        <v>1753</v>
      </c>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5.75" customHeight="1" x14ac:dyDescent="0.35">
      <c r="A361" s="3"/>
      <c r="B361" s="3"/>
      <c r="C361" s="3" t="s">
        <v>779</v>
      </c>
      <c r="D361" s="3"/>
      <c r="E361" s="5"/>
      <c r="F361" s="3"/>
      <c r="G361" s="3" t="s">
        <v>2519</v>
      </c>
      <c r="H361" s="3" t="s">
        <v>2519</v>
      </c>
      <c r="I361" s="3" t="s">
        <v>2520</v>
      </c>
      <c r="J361" s="3" t="s">
        <v>862</v>
      </c>
      <c r="K361" s="3" t="s">
        <v>2521</v>
      </c>
      <c r="L361" s="3" t="s">
        <v>2522</v>
      </c>
      <c r="M361" s="3" t="s">
        <v>1753</v>
      </c>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5.75" customHeight="1" x14ac:dyDescent="0.35">
      <c r="A362" s="3"/>
      <c r="B362" s="3"/>
      <c r="C362" s="3" t="s">
        <v>2523</v>
      </c>
      <c r="D362" s="3"/>
      <c r="E362" s="5"/>
      <c r="F362" s="3"/>
      <c r="G362" s="3" t="s">
        <v>866</v>
      </c>
      <c r="H362" s="3" t="s">
        <v>866</v>
      </c>
      <c r="I362" s="3" t="s">
        <v>2524</v>
      </c>
      <c r="J362" s="3" t="s">
        <v>866</v>
      </c>
      <c r="K362" s="3" t="s">
        <v>866</v>
      </c>
      <c r="L362" s="3" t="s">
        <v>866</v>
      </c>
      <c r="M362" s="3" t="s">
        <v>1753</v>
      </c>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5.75" customHeight="1" x14ac:dyDescent="0.35">
      <c r="A363" s="3"/>
      <c r="B363" s="3" t="s">
        <v>870</v>
      </c>
      <c r="C363" s="3" t="s">
        <v>2525</v>
      </c>
      <c r="D363" s="3" t="s">
        <v>814</v>
      </c>
      <c r="E363" s="3" t="s">
        <v>815</v>
      </c>
      <c r="F363" s="3"/>
      <c r="G363" s="3" t="s">
        <v>2526</v>
      </c>
      <c r="H363" s="3" t="s">
        <v>2527</v>
      </c>
      <c r="I363" s="3" t="s">
        <v>2526</v>
      </c>
      <c r="J363" s="3" t="s">
        <v>1693</v>
      </c>
      <c r="K363" s="3" t="s">
        <v>2528</v>
      </c>
      <c r="L363" s="3" t="s">
        <v>2529</v>
      </c>
      <c r="M363" s="3" t="s">
        <v>1753</v>
      </c>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5.75" customHeight="1" x14ac:dyDescent="0.35">
      <c r="A364" s="3"/>
      <c r="B364" s="3"/>
      <c r="C364" s="3" t="s">
        <v>2530</v>
      </c>
      <c r="D364" s="3" t="s">
        <v>76</v>
      </c>
      <c r="E364" s="3" t="s">
        <v>175</v>
      </c>
      <c r="F364" s="3"/>
      <c r="G364" s="3" t="s">
        <v>2531</v>
      </c>
      <c r="H364" s="3" t="s">
        <v>2532</v>
      </c>
      <c r="I364" s="3" t="s">
        <v>2531</v>
      </c>
      <c r="J364" s="3" t="s">
        <v>877</v>
      </c>
      <c r="K364" s="3" t="s">
        <v>877</v>
      </c>
      <c r="L364" s="3" t="s">
        <v>2533</v>
      </c>
      <c r="M364" s="3" t="s">
        <v>1753</v>
      </c>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5.75" customHeight="1" x14ac:dyDescent="0.35">
      <c r="A365" s="3"/>
      <c r="B365" s="3"/>
      <c r="C365" s="3" t="s">
        <v>2534</v>
      </c>
      <c r="D365" s="3"/>
      <c r="E365" s="3"/>
      <c r="F365" s="3"/>
      <c r="G365" s="3" t="s">
        <v>2535</v>
      </c>
      <c r="H365" s="3" t="s">
        <v>2535</v>
      </c>
      <c r="I365" s="3" t="s">
        <v>2535</v>
      </c>
      <c r="J365" s="3" t="s">
        <v>884</v>
      </c>
      <c r="K365" s="3" t="s">
        <v>2536</v>
      </c>
      <c r="L365" s="3" t="s">
        <v>2537</v>
      </c>
      <c r="M365" s="3" t="s">
        <v>1753</v>
      </c>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5.75" customHeight="1" x14ac:dyDescent="0.35">
      <c r="A366" s="3"/>
      <c r="B366" s="3"/>
      <c r="C366" s="3"/>
      <c r="D366" s="3"/>
      <c r="E366" s="3"/>
      <c r="F366" s="3"/>
      <c r="G366" s="10"/>
      <c r="H366" s="10"/>
      <c r="I366" s="10"/>
      <c r="J366" s="3"/>
      <c r="K366" s="3"/>
      <c r="L366" s="3"/>
      <c r="M366" s="3" t="s">
        <v>1753</v>
      </c>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5.75" customHeight="1" x14ac:dyDescent="0.35">
      <c r="A367" s="3" t="s">
        <v>889</v>
      </c>
      <c r="B367" s="3" t="s">
        <v>890</v>
      </c>
      <c r="C367" s="3" t="s">
        <v>25</v>
      </c>
      <c r="D367" s="3"/>
      <c r="E367" s="3"/>
      <c r="F367" s="3"/>
      <c r="G367" s="3" t="s">
        <v>891</v>
      </c>
      <c r="H367" s="3" t="s">
        <v>891</v>
      </c>
      <c r="I367" s="3" t="s">
        <v>891</v>
      </c>
      <c r="J367" s="3" t="s">
        <v>891</v>
      </c>
      <c r="K367" s="3" t="s">
        <v>2538</v>
      </c>
      <c r="L367" s="3" t="s">
        <v>891</v>
      </c>
      <c r="M367" s="3" t="s">
        <v>1753</v>
      </c>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5.75" customHeight="1" x14ac:dyDescent="0.35">
      <c r="A368" s="3"/>
      <c r="B368" s="3"/>
      <c r="C368" s="3" t="s">
        <v>29</v>
      </c>
      <c r="D368" s="3"/>
      <c r="E368" s="3"/>
      <c r="F368" s="3"/>
      <c r="G368" s="3" t="s">
        <v>892</v>
      </c>
      <c r="H368" s="3" t="s">
        <v>2539</v>
      </c>
      <c r="I368" s="3" t="s">
        <v>2540</v>
      </c>
      <c r="J368" s="3" t="s">
        <v>892</v>
      </c>
      <c r="K368" s="3" t="s">
        <v>2540</v>
      </c>
      <c r="L368" s="3" t="s">
        <v>892</v>
      </c>
      <c r="M368" s="3" t="s">
        <v>1753</v>
      </c>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5.75" customHeight="1" x14ac:dyDescent="0.35">
      <c r="A369" s="3"/>
      <c r="B369" s="3" t="s">
        <v>893</v>
      </c>
      <c r="C369" s="3" t="s">
        <v>50</v>
      </c>
      <c r="D369" s="3" t="s">
        <v>51</v>
      </c>
      <c r="E369" s="3" t="s">
        <v>52</v>
      </c>
      <c r="F369" s="3"/>
      <c r="G369" s="3" t="s">
        <v>53</v>
      </c>
      <c r="H369" s="3" t="s">
        <v>2541</v>
      </c>
      <c r="I369" s="3" t="s">
        <v>53</v>
      </c>
      <c r="J369" s="3" t="s">
        <v>53</v>
      </c>
      <c r="K369" s="3" t="s">
        <v>53</v>
      </c>
      <c r="L369" s="3" t="s">
        <v>53</v>
      </c>
      <c r="M369" s="3" t="s">
        <v>1753</v>
      </c>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5.75" customHeight="1" x14ac:dyDescent="0.35">
      <c r="A370" s="3"/>
      <c r="B370" s="3"/>
      <c r="C370" s="3" t="s">
        <v>57</v>
      </c>
      <c r="D370" s="3"/>
      <c r="E370" s="3"/>
      <c r="F370" s="3"/>
      <c r="G370" s="3" t="s">
        <v>1764</v>
      </c>
      <c r="H370" s="3" t="s">
        <v>1764</v>
      </c>
      <c r="I370" s="3" t="s">
        <v>1764</v>
      </c>
      <c r="J370" s="3" t="s">
        <v>58</v>
      </c>
      <c r="K370" s="3" t="s">
        <v>58</v>
      </c>
      <c r="L370" s="3" t="s">
        <v>58</v>
      </c>
      <c r="M370" s="3" t="s">
        <v>1753</v>
      </c>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5.75" customHeight="1" x14ac:dyDescent="0.35">
      <c r="A371" s="3"/>
      <c r="B371" s="3" t="s">
        <v>894</v>
      </c>
      <c r="C371" s="3" t="s">
        <v>700</v>
      </c>
      <c r="D371" s="3" t="s">
        <v>701</v>
      </c>
      <c r="E371" s="3" t="s">
        <v>702</v>
      </c>
      <c r="F371" s="3"/>
      <c r="G371" s="3" t="s">
        <v>2542</v>
      </c>
      <c r="H371" s="3" t="s">
        <v>2543</v>
      </c>
      <c r="I371" s="3" t="s">
        <v>2544</v>
      </c>
      <c r="J371" s="3" t="s">
        <v>895</v>
      </c>
      <c r="K371" s="3" t="s">
        <v>2545</v>
      </c>
      <c r="L371" s="3" t="s">
        <v>2545</v>
      </c>
      <c r="M371" s="3" t="s">
        <v>1753</v>
      </c>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5.75" customHeight="1" x14ac:dyDescent="0.35">
      <c r="A372" s="3"/>
      <c r="B372" s="3"/>
      <c r="C372" s="3" t="s">
        <v>706</v>
      </c>
      <c r="D372" s="3"/>
      <c r="E372" s="3"/>
      <c r="F372" s="3"/>
      <c r="G372" s="3" t="s">
        <v>2546</v>
      </c>
      <c r="H372" s="3" t="s">
        <v>2546</v>
      </c>
      <c r="I372" s="3" t="s">
        <v>2546</v>
      </c>
      <c r="J372" s="3" t="s">
        <v>897</v>
      </c>
      <c r="K372" s="3" t="s">
        <v>2547</v>
      </c>
      <c r="L372" s="3" t="s">
        <v>2548</v>
      </c>
      <c r="M372" s="3" t="s">
        <v>1753</v>
      </c>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5.75" customHeight="1" x14ac:dyDescent="0.35">
      <c r="A373" s="3"/>
      <c r="B373" s="3"/>
      <c r="C373" s="3" t="s">
        <v>711</v>
      </c>
      <c r="D373" s="3"/>
      <c r="E373" s="3"/>
      <c r="F373" s="3"/>
      <c r="G373" s="3" t="s">
        <v>2549</v>
      </c>
      <c r="H373" s="3" t="s">
        <v>2550</v>
      </c>
      <c r="I373" s="3" t="s">
        <v>2551</v>
      </c>
      <c r="J373" s="3" t="s">
        <v>902</v>
      </c>
      <c r="K373" s="3" t="s">
        <v>2552</v>
      </c>
      <c r="L373" s="3" t="s">
        <v>902</v>
      </c>
      <c r="M373" s="3" t="s">
        <v>1753</v>
      </c>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5.75" customHeight="1" x14ac:dyDescent="0.35">
      <c r="A374" s="3"/>
      <c r="B374" s="3" t="s">
        <v>753</v>
      </c>
      <c r="C374" s="3" t="s">
        <v>754</v>
      </c>
      <c r="D374" s="3" t="s">
        <v>764</v>
      </c>
      <c r="E374" s="3" t="s">
        <v>77</v>
      </c>
      <c r="F374" s="3"/>
      <c r="G374" s="3" t="s">
        <v>1776</v>
      </c>
      <c r="H374" s="3" t="s">
        <v>1776</v>
      </c>
      <c r="I374" s="3" t="s">
        <v>2553</v>
      </c>
      <c r="J374" s="3" t="s">
        <v>2459</v>
      </c>
      <c r="K374" s="3" t="s">
        <v>2458</v>
      </c>
      <c r="L374" s="3" t="s">
        <v>2554</v>
      </c>
      <c r="M374" s="3" t="s">
        <v>1753</v>
      </c>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5.75" customHeight="1" x14ac:dyDescent="0.35">
      <c r="A375" s="3"/>
      <c r="B375" s="3"/>
      <c r="C375" s="3" t="s">
        <v>755</v>
      </c>
      <c r="D375" s="5"/>
      <c r="E375" s="5"/>
      <c r="F375" s="3"/>
      <c r="G375" s="3" t="s">
        <v>1782</v>
      </c>
      <c r="H375" s="3" t="s">
        <v>2555</v>
      </c>
      <c r="I375" s="3" t="s">
        <v>1782</v>
      </c>
      <c r="J375" s="3" t="s">
        <v>2556</v>
      </c>
      <c r="K375" s="3" t="s">
        <v>2557</v>
      </c>
      <c r="L375" s="3" t="s">
        <v>2558</v>
      </c>
      <c r="M375" s="3" t="s">
        <v>1753</v>
      </c>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5.75" customHeight="1" x14ac:dyDescent="0.35">
      <c r="A376" s="3"/>
      <c r="B376" s="3"/>
      <c r="C376" s="3" t="s">
        <v>756</v>
      </c>
      <c r="D376" s="5"/>
      <c r="E376" s="5"/>
      <c r="F376" s="3"/>
      <c r="G376" s="3" t="s">
        <v>2465</v>
      </c>
      <c r="H376" s="3" t="s">
        <v>2559</v>
      </c>
      <c r="I376" s="3" t="s">
        <v>2463</v>
      </c>
      <c r="J376" s="3" t="s">
        <v>2560</v>
      </c>
      <c r="K376" s="3" t="s">
        <v>2561</v>
      </c>
      <c r="L376" s="3" t="s">
        <v>2562</v>
      </c>
      <c r="M376" s="3" t="s">
        <v>1753</v>
      </c>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5.75" customHeight="1" x14ac:dyDescent="0.35">
      <c r="A377" s="3"/>
      <c r="B377" s="3"/>
      <c r="C377" s="3" t="s">
        <v>1792</v>
      </c>
      <c r="D377" s="5"/>
      <c r="E377" s="5"/>
      <c r="F377" s="3"/>
      <c r="G377" s="3" t="s">
        <v>2563</v>
      </c>
      <c r="H377" s="3" t="s">
        <v>2564</v>
      </c>
      <c r="I377" s="3" t="s">
        <v>2565</v>
      </c>
      <c r="J377" s="3" t="s">
        <v>920</v>
      </c>
      <c r="K377" s="3" t="s">
        <v>2566</v>
      </c>
      <c r="L377" s="3" t="s">
        <v>2563</v>
      </c>
      <c r="M377" s="3" t="s">
        <v>1753</v>
      </c>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5.75" customHeight="1" x14ac:dyDescent="0.35">
      <c r="A378" s="3"/>
      <c r="B378" s="3" t="s">
        <v>926</v>
      </c>
      <c r="C378" s="3" t="s">
        <v>2476</v>
      </c>
      <c r="D378" s="3" t="s">
        <v>814</v>
      </c>
      <c r="E378" s="3" t="s">
        <v>815</v>
      </c>
      <c r="F378" s="3"/>
      <c r="G378" s="3" t="s">
        <v>927</v>
      </c>
      <c r="H378" s="3" t="s">
        <v>927</v>
      </c>
      <c r="I378" s="3" t="s">
        <v>2567</v>
      </c>
      <c r="J378" s="3" t="s">
        <v>927</v>
      </c>
      <c r="K378" s="3" t="s">
        <v>2568</v>
      </c>
      <c r="L378" s="3" t="s">
        <v>2569</v>
      </c>
      <c r="M378" s="3" t="s">
        <v>1753</v>
      </c>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5.75" customHeight="1" x14ac:dyDescent="0.35">
      <c r="A379" s="3"/>
      <c r="B379" s="3"/>
      <c r="C379" s="3" t="s">
        <v>2482</v>
      </c>
      <c r="D379" s="3" t="s">
        <v>76</v>
      </c>
      <c r="E379" s="3" t="s">
        <v>77</v>
      </c>
      <c r="F379" s="3"/>
      <c r="G379" s="3" t="s">
        <v>2570</v>
      </c>
      <c r="H379" s="3" t="s">
        <v>2571</v>
      </c>
      <c r="I379" s="3" t="s">
        <v>2571</v>
      </c>
      <c r="J379" s="3" t="s">
        <v>2572</v>
      </c>
      <c r="K379" s="3" t="s">
        <v>2573</v>
      </c>
      <c r="L379" s="3" t="s">
        <v>2574</v>
      </c>
      <c r="M379" s="3" t="s">
        <v>1753</v>
      </c>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5.75" customHeight="1" x14ac:dyDescent="0.35">
      <c r="A380" s="3"/>
      <c r="B380" s="3"/>
      <c r="C380" s="3" t="s">
        <v>2489</v>
      </c>
      <c r="D380" s="3"/>
      <c r="E380" s="3"/>
      <c r="F380" s="3"/>
      <c r="G380" s="3" t="s">
        <v>2491</v>
      </c>
      <c r="H380" s="3" t="s">
        <v>2490</v>
      </c>
      <c r="I380" s="3" t="s">
        <v>2491</v>
      </c>
      <c r="J380" s="3" t="s">
        <v>2575</v>
      </c>
      <c r="K380" s="3" t="s">
        <v>2576</v>
      </c>
      <c r="L380" s="3" t="s">
        <v>2577</v>
      </c>
      <c r="M380" s="3" t="s">
        <v>1753</v>
      </c>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5.75" customHeight="1" x14ac:dyDescent="0.35">
      <c r="A381" s="3"/>
      <c r="B381" s="3"/>
      <c r="C381" s="3" t="s">
        <v>2578</v>
      </c>
      <c r="D381" s="3"/>
      <c r="E381" s="3"/>
      <c r="F381" s="3"/>
      <c r="G381" s="3" t="s">
        <v>2579</v>
      </c>
      <c r="H381" s="3" t="s">
        <v>2580</v>
      </c>
      <c r="I381" s="3" t="s">
        <v>2581</v>
      </c>
      <c r="J381" s="3" t="s">
        <v>2582</v>
      </c>
      <c r="K381" s="3" t="s">
        <v>2583</v>
      </c>
      <c r="L381" s="3" t="s">
        <v>2584</v>
      </c>
      <c r="M381" s="3" t="s">
        <v>1753</v>
      </c>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5.75" customHeight="1" x14ac:dyDescent="0.35">
      <c r="A382" s="3"/>
      <c r="B382" s="3" t="s">
        <v>837</v>
      </c>
      <c r="C382" s="3" t="s">
        <v>838</v>
      </c>
      <c r="D382" s="5"/>
      <c r="E382" s="3"/>
      <c r="F382" s="3"/>
      <c r="G382" s="3" t="s">
        <v>2504</v>
      </c>
      <c r="H382" s="3" t="s">
        <v>2504</v>
      </c>
      <c r="I382" s="3" t="s">
        <v>2504</v>
      </c>
      <c r="J382" s="3" t="s">
        <v>940</v>
      </c>
      <c r="K382" s="3" t="s">
        <v>940</v>
      </c>
      <c r="L382" s="3" t="s">
        <v>2585</v>
      </c>
      <c r="M382" s="3" t="s">
        <v>1753</v>
      </c>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5.75" customHeight="1" x14ac:dyDescent="0.35">
      <c r="A383" s="3"/>
      <c r="B383" s="3"/>
      <c r="C383" s="3" t="s">
        <v>843</v>
      </c>
      <c r="D383" s="5"/>
      <c r="E383" s="3"/>
      <c r="F383" s="3"/>
      <c r="G383" s="3" t="s">
        <v>2586</v>
      </c>
      <c r="H383" s="3" t="s">
        <v>2505</v>
      </c>
      <c r="I383" s="3" t="s">
        <v>2505</v>
      </c>
      <c r="J383" s="3" t="s">
        <v>942</v>
      </c>
      <c r="K383" s="3" t="s">
        <v>2587</v>
      </c>
      <c r="L383" s="3" t="s">
        <v>2588</v>
      </c>
      <c r="M383" s="3" t="s">
        <v>1753</v>
      </c>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5.75" customHeight="1" x14ac:dyDescent="0.35">
      <c r="A384" s="3"/>
      <c r="B384" s="3"/>
      <c r="C384" s="3" t="s">
        <v>64</v>
      </c>
      <c r="D384" s="3"/>
      <c r="E384" s="3"/>
      <c r="F384" s="3"/>
      <c r="G384" s="3" t="s">
        <v>2509</v>
      </c>
      <c r="H384" s="3" t="s">
        <v>1768</v>
      </c>
      <c r="I384" s="3" t="s">
        <v>1768</v>
      </c>
      <c r="J384" s="3" t="s">
        <v>947</v>
      </c>
      <c r="K384" s="3" t="s">
        <v>1967</v>
      </c>
      <c r="L384" s="3" t="s">
        <v>947</v>
      </c>
      <c r="M384" s="3" t="s">
        <v>1753</v>
      </c>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5.75" customHeight="1" x14ac:dyDescent="0.35">
      <c r="A385" s="3"/>
      <c r="B385" s="3" t="s">
        <v>948</v>
      </c>
      <c r="C385" s="3" t="s">
        <v>851</v>
      </c>
      <c r="D385" s="3" t="s">
        <v>814</v>
      </c>
      <c r="E385" s="3" t="s">
        <v>815</v>
      </c>
      <c r="F385" s="3"/>
      <c r="G385" s="3" t="s">
        <v>2511</v>
      </c>
      <c r="H385" s="3" t="s">
        <v>2511</v>
      </c>
      <c r="I385" s="3" t="s">
        <v>2511</v>
      </c>
      <c r="J385" s="3" t="s">
        <v>949</v>
      </c>
      <c r="K385" s="3" t="s">
        <v>2589</v>
      </c>
      <c r="L385" s="3" t="s">
        <v>2589</v>
      </c>
      <c r="M385" s="3" t="s">
        <v>1753</v>
      </c>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5.75" customHeight="1" x14ac:dyDescent="0.35">
      <c r="A386" s="3"/>
      <c r="B386" s="3"/>
      <c r="C386" s="3" t="s">
        <v>855</v>
      </c>
      <c r="D386" s="3"/>
      <c r="E386" s="3"/>
      <c r="F386" s="3"/>
      <c r="G386" s="3" t="s">
        <v>2590</v>
      </c>
      <c r="H386" s="3" t="s">
        <v>2591</v>
      </c>
      <c r="I386" s="3" t="s">
        <v>2515</v>
      </c>
      <c r="J386" s="3" t="s">
        <v>950</v>
      </c>
      <c r="K386" s="3" t="s">
        <v>2592</v>
      </c>
      <c r="L386" s="3" t="s">
        <v>950</v>
      </c>
      <c r="M386" s="3" t="s">
        <v>1753</v>
      </c>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5.75" customHeight="1" x14ac:dyDescent="0.35">
      <c r="A387" s="3"/>
      <c r="B387" s="5" t="s">
        <v>761</v>
      </c>
      <c r="C387" s="5" t="s">
        <v>131</v>
      </c>
      <c r="D387" s="3"/>
      <c r="E387" s="3"/>
      <c r="F387" s="3"/>
      <c r="G387" s="10"/>
      <c r="H387" s="10"/>
      <c r="I387" s="10"/>
      <c r="J387" s="3"/>
      <c r="K387" s="3"/>
      <c r="L387" s="3"/>
      <c r="M387" s="3" t="s">
        <v>1753</v>
      </c>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5.75" customHeight="1" x14ac:dyDescent="0.35">
      <c r="A388" s="3"/>
      <c r="B388" s="3" t="s">
        <v>776</v>
      </c>
      <c r="C388" s="3" t="s">
        <v>777</v>
      </c>
      <c r="D388" s="3" t="s">
        <v>174</v>
      </c>
      <c r="E388" s="3" t="s">
        <v>175</v>
      </c>
      <c r="F388" s="3"/>
      <c r="G388" s="3" t="s">
        <v>2593</v>
      </c>
      <c r="H388" s="3" t="s">
        <v>2593</v>
      </c>
      <c r="I388" s="3" t="s">
        <v>2593</v>
      </c>
      <c r="J388" s="3" t="s">
        <v>2518</v>
      </c>
      <c r="K388" s="3" t="s">
        <v>2431</v>
      </c>
      <c r="L388" s="3" t="s">
        <v>2594</v>
      </c>
      <c r="M388" s="3" t="s">
        <v>1753</v>
      </c>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5.75" customHeight="1" x14ac:dyDescent="0.35">
      <c r="A389" s="3"/>
      <c r="B389" s="3"/>
      <c r="C389" s="3" t="s">
        <v>779</v>
      </c>
      <c r="D389" s="3"/>
      <c r="E389" s="5"/>
      <c r="F389" s="3"/>
      <c r="G389" s="3" t="s">
        <v>2595</v>
      </c>
      <c r="H389" s="3" t="s">
        <v>2519</v>
      </c>
      <c r="I389" s="3" t="s">
        <v>2595</v>
      </c>
      <c r="J389" s="3" t="s">
        <v>954</v>
      </c>
      <c r="K389" s="3" t="s">
        <v>2595</v>
      </c>
      <c r="L389" s="3" t="s">
        <v>2464</v>
      </c>
      <c r="M389" s="3" t="s">
        <v>1753</v>
      </c>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5.75" customHeight="1" x14ac:dyDescent="0.35">
      <c r="A390" s="3"/>
      <c r="B390" s="3"/>
      <c r="C390" s="3" t="s">
        <v>780</v>
      </c>
      <c r="D390" s="3"/>
      <c r="E390" s="5"/>
      <c r="F390" s="3"/>
      <c r="G390" s="3" t="s">
        <v>866</v>
      </c>
      <c r="H390" s="3" t="s">
        <v>2596</v>
      </c>
      <c r="I390" s="3" t="s">
        <v>2597</v>
      </c>
      <c r="J390" s="3" t="s">
        <v>2598</v>
      </c>
      <c r="K390" s="3" t="s">
        <v>2599</v>
      </c>
      <c r="L390" s="3" t="s">
        <v>2600</v>
      </c>
      <c r="M390" s="3" t="s">
        <v>1753</v>
      </c>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5.75" customHeight="1" x14ac:dyDescent="0.35">
      <c r="A391" s="3"/>
      <c r="B391" s="3" t="s">
        <v>962</v>
      </c>
      <c r="C391" s="3" t="s">
        <v>2525</v>
      </c>
      <c r="D391" s="3" t="s">
        <v>814</v>
      </c>
      <c r="E391" s="3" t="s">
        <v>815</v>
      </c>
      <c r="F391" s="3"/>
      <c r="G391" s="3" t="s">
        <v>2601</v>
      </c>
      <c r="H391" s="3" t="s">
        <v>2602</v>
      </c>
      <c r="I391" s="3" t="s">
        <v>2603</v>
      </c>
      <c r="J391" s="3" t="s">
        <v>2604</v>
      </c>
      <c r="K391" s="3" t="s">
        <v>2605</v>
      </c>
      <c r="L391" s="3" t="s">
        <v>2528</v>
      </c>
      <c r="M391" s="3" t="s">
        <v>1753</v>
      </c>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5.75" customHeight="1" x14ac:dyDescent="0.35">
      <c r="A392" s="3"/>
      <c r="B392" s="3"/>
      <c r="C392" s="3" t="s">
        <v>2606</v>
      </c>
      <c r="D392" s="3" t="s">
        <v>174</v>
      </c>
      <c r="E392" s="3" t="s">
        <v>175</v>
      </c>
      <c r="F392" s="3"/>
      <c r="G392" s="3" t="s">
        <v>2491</v>
      </c>
      <c r="H392" s="3" t="s">
        <v>2491</v>
      </c>
      <c r="I392" s="3" t="s">
        <v>2491</v>
      </c>
      <c r="J392" s="3" t="s">
        <v>966</v>
      </c>
      <c r="K392" s="3" t="s">
        <v>2607</v>
      </c>
      <c r="L392" s="3" t="s">
        <v>2491</v>
      </c>
      <c r="M392" s="3" t="s">
        <v>1753</v>
      </c>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5.75" customHeight="1" x14ac:dyDescent="0.35">
      <c r="A393" s="3"/>
      <c r="B393" s="3"/>
      <c r="C393" s="3" t="s">
        <v>2534</v>
      </c>
      <c r="D393" s="3"/>
      <c r="E393" s="3"/>
      <c r="F393" s="3"/>
      <c r="G393" s="3" t="s">
        <v>2608</v>
      </c>
      <c r="H393" s="3" t="s">
        <v>2535</v>
      </c>
      <c r="I393" s="3" t="s">
        <v>2609</v>
      </c>
      <c r="J393" s="3" t="s">
        <v>2610</v>
      </c>
      <c r="K393" s="3" t="s">
        <v>2611</v>
      </c>
      <c r="L393" s="3" t="s">
        <v>2612</v>
      </c>
      <c r="M393" s="3" t="s">
        <v>1753</v>
      </c>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5.75" customHeight="1" x14ac:dyDescent="0.35">
      <c r="A394" s="3"/>
      <c r="B394" s="3"/>
      <c r="C394" s="3"/>
      <c r="D394" s="3"/>
      <c r="E394" s="3"/>
      <c r="F394" s="3"/>
      <c r="G394" s="10"/>
      <c r="H394" s="10"/>
      <c r="I394" s="10"/>
      <c r="J394" s="3"/>
      <c r="K394" s="3"/>
      <c r="L394" s="3"/>
      <c r="M394" s="3" t="s">
        <v>1753</v>
      </c>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6.5" customHeight="1" x14ac:dyDescent="0.35">
      <c r="A395" s="3" t="s">
        <v>978</v>
      </c>
      <c r="B395" s="3" t="s">
        <v>979</v>
      </c>
      <c r="C395" s="3" t="s">
        <v>29</v>
      </c>
      <c r="D395" s="3"/>
      <c r="E395" s="3"/>
      <c r="F395" s="3"/>
      <c r="G395" s="3" t="s">
        <v>2613</v>
      </c>
      <c r="H395" s="3" t="s">
        <v>2613</v>
      </c>
      <c r="I395" s="3" t="s">
        <v>2613</v>
      </c>
      <c r="J395" s="3" t="s">
        <v>980</v>
      </c>
      <c r="K395" s="3" t="s">
        <v>2614</v>
      </c>
      <c r="L395" s="3" t="s">
        <v>2614</v>
      </c>
      <c r="M395" s="3" t="s">
        <v>1753</v>
      </c>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5.75" customHeight="1" x14ac:dyDescent="0.35">
      <c r="A396" s="3"/>
      <c r="B396" s="3" t="s">
        <v>981</v>
      </c>
      <c r="C396" s="3" t="s">
        <v>982</v>
      </c>
      <c r="D396" s="3" t="s">
        <v>983</v>
      </c>
      <c r="E396" s="3" t="s">
        <v>984</v>
      </c>
      <c r="F396" s="3"/>
      <c r="G396" s="3" t="s">
        <v>2615</v>
      </c>
      <c r="H396" s="3" t="s">
        <v>985</v>
      </c>
      <c r="I396" s="3" t="s">
        <v>985</v>
      </c>
      <c r="J396" s="3" t="s">
        <v>985</v>
      </c>
      <c r="K396" s="3" t="s">
        <v>2616</v>
      </c>
      <c r="L396" s="3" t="s">
        <v>985</v>
      </c>
      <c r="M396" s="3" t="s">
        <v>1753</v>
      </c>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5.75" customHeight="1" x14ac:dyDescent="0.35">
      <c r="A397" s="3"/>
      <c r="B397" s="3" t="s">
        <v>988</v>
      </c>
      <c r="C397" s="3" t="s">
        <v>33</v>
      </c>
      <c r="D397" s="3" t="s">
        <v>989</v>
      </c>
      <c r="E397" s="3" t="s">
        <v>35</v>
      </c>
      <c r="F397" s="3"/>
      <c r="G397" s="3" t="s">
        <v>2617</v>
      </c>
      <c r="H397" s="3" t="s">
        <v>2617</v>
      </c>
      <c r="I397" s="3" t="s">
        <v>2617</v>
      </c>
      <c r="J397" s="3" t="s">
        <v>990</v>
      </c>
      <c r="K397" s="3" t="s">
        <v>2618</v>
      </c>
      <c r="L397" s="3" t="s">
        <v>990</v>
      </c>
      <c r="M397" s="3" t="s">
        <v>1753</v>
      </c>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5.75" customHeight="1" x14ac:dyDescent="0.35">
      <c r="A398" s="3"/>
      <c r="B398" s="3"/>
      <c r="C398" s="3" t="s">
        <v>1695</v>
      </c>
      <c r="D398" s="3"/>
      <c r="E398" s="3"/>
      <c r="F398" s="3"/>
      <c r="G398" s="3" t="s">
        <v>2619</v>
      </c>
      <c r="H398" s="3" t="s">
        <v>2619</v>
      </c>
      <c r="I398" s="3" t="s">
        <v>2620</v>
      </c>
      <c r="J398" s="3" t="s">
        <v>992</v>
      </c>
      <c r="K398" s="3" t="s">
        <v>992</v>
      </c>
      <c r="L398" s="3" t="s">
        <v>992</v>
      </c>
      <c r="M398" s="3" t="s">
        <v>1753</v>
      </c>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5.75" customHeight="1" x14ac:dyDescent="0.35">
      <c r="A399" s="3"/>
      <c r="B399" s="3" t="s">
        <v>105</v>
      </c>
      <c r="C399" s="3" t="s">
        <v>29</v>
      </c>
      <c r="D399" s="3"/>
      <c r="E399" s="3"/>
      <c r="F399" s="3"/>
      <c r="G399" s="3" t="s">
        <v>2621</v>
      </c>
      <c r="H399" s="3" t="s">
        <v>2621</v>
      </c>
      <c r="I399" s="3" t="s">
        <v>2622</v>
      </c>
      <c r="J399" s="3" t="s">
        <v>998</v>
      </c>
      <c r="K399" s="3" t="s">
        <v>998</v>
      </c>
      <c r="L399" s="3" t="s">
        <v>998</v>
      </c>
      <c r="M399" s="3" t="s">
        <v>1753</v>
      </c>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5.75" customHeight="1" x14ac:dyDescent="0.35">
      <c r="A400" s="3"/>
      <c r="B400" s="3" t="s">
        <v>134</v>
      </c>
      <c r="C400" s="3"/>
      <c r="D400" s="3" t="s">
        <v>174</v>
      </c>
      <c r="E400" s="3" t="s">
        <v>175</v>
      </c>
      <c r="F400" s="3"/>
      <c r="G400" s="10"/>
      <c r="H400" s="10"/>
      <c r="I400" s="10"/>
      <c r="J400" s="3"/>
      <c r="K400" s="3"/>
      <c r="L400" s="3"/>
      <c r="M400" s="3" t="s">
        <v>1753</v>
      </c>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5.75" customHeight="1" x14ac:dyDescent="0.35">
      <c r="A401" s="3"/>
      <c r="B401" s="3" t="s">
        <v>246</v>
      </c>
      <c r="C401" s="3" t="s">
        <v>999</v>
      </c>
      <c r="D401" s="3" t="s">
        <v>1000</v>
      </c>
      <c r="E401" s="3" t="s">
        <v>223</v>
      </c>
      <c r="F401" s="3"/>
      <c r="G401" s="3" t="s">
        <v>2623</v>
      </c>
      <c r="H401" s="3" t="s">
        <v>2624</v>
      </c>
      <c r="I401" s="3" t="s">
        <v>2623</v>
      </c>
      <c r="J401" s="3" t="s">
        <v>1001</v>
      </c>
      <c r="K401" s="3" t="s">
        <v>2625</v>
      </c>
      <c r="L401" s="3" t="s">
        <v>2626</v>
      </c>
      <c r="M401" s="3" t="s">
        <v>1753</v>
      </c>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5.75" customHeight="1" x14ac:dyDescent="0.35">
      <c r="A402" s="3"/>
      <c r="B402" s="3"/>
      <c r="C402" s="3" t="s">
        <v>247</v>
      </c>
      <c r="D402" s="3"/>
      <c r="E402" s="3"/>
      <c r="F402" s="3"/>
      <c r="G402" s="3" t="s">
        <v>1896</v>
      </c>
      <c r="H402" s="3" t="s">
        <v>1896</v>
      </c>
      <c r="I402" s="3" t="s">
        <v>1896</v>
      </c>
      <c r="J402" s="3" t="s">
        <v>248</v>
      </c>
      <c r="K402" s="3" t="s">
        <v>248</v>
      </c>
      <c r="L402" s="3" t="s">
        <v>248</v>
      </c>
      <c r="M402" s="3" t="s">
        <v>1753</v>
      </c>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5.75" customHeight="1" x14ac:dyDescent="0.35">
      <c r="A403" s="3"/>
      <c r="B403" s="3"/>
      <c r="C403" s="3" t="s">
        <v>221</v>
      </c>
      <c r="D403" s="3"/>
      <c r="E403" s="3"/>
      <c r="F403" s="3"/>
      <c r="G403" s="3" t="s">
        <v>2627</v>
      </c>
      <c r="H403" s="3" t="s">
        <v>2627</v>
      </c>
      <c r="I403" s="3" t="s">
        <v>2627</v>
      </c>
      <c r="J403" s="3" t="s">
        <v>1006</v>
      </c>
      <c r="K403" s="3" t="s">
        <v>1006</v>
      </c>
      <c r="L403" s="3" t="s">
        <v>1006</v>
      </c>
      <c r="M403" s="3" t="s">
        <v>1753</v>
      </c>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5.75" customHeight="1" x14ac:dyDescent="0.35">
      <c r="A404" s="3"/>
      <c r="B404" s="3"/>
      <c r="C404" s="3" t="s">
        <v>1007</v>
      </c>
      <c r="D404" s="3"/>
      <c r="E404" s="3"/>
      <c r="F404" s="3"/>
      <c r="G404" s="3" t="s">
        <v>2628</v>
      </c>
      <c r="H404" s="3" t="s">
        <v>2628</v>
      </c>
      <c r="I404" s="3" t="s">
        <v>2629</v>
      </c>
      <c r="J404" s="3" t="s">
        <v>1008</v>
      </c>
      <c r="K404" s="3" t="s">
        <v>1008</v>
      </c>
      <c r="L404" s="3" t="s">
        <v>1008</v>
      </c>
      <c r="M404" s="3" t="s">
        <v>1753</v>
      </c>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5.75" customHeight="1" x14ac:dyDescent="0.35">
      <c r="A405" s="3"/>
      <c r="B405" s="3"/>
      <c r="C405" s="3" t="s">
        <v>2630</v>
      </c>
      <c r="D405" s="3"/>
      <c r="E405" s="3"/>
      <c r="F405" s="3"/>
      <c r="G405" s="3" t="s">
        <v>1697</v>
      </c>
      <c r="H405" s="3" t="s">
        <v>2631</v>
      </c>
      <c r="I405" s="3" t="s">
        <v>1697</v>
      </c>
      <c r="J405" s="3" t="s">
        <v>1697</v>
      </c>
      <c r="K405" s="3" t="s">
        <v>1697</v>
      </c>
      <c r="L405" s="3" t="s">
        <v>1697</v>
      </c>
      <c r="M405" s="3" t="s">
        <v>1753</v>
      </c>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5.75" customHeight="1" x14ac:dyDescent="0.35">
      <c r="A406" s="3"/>
      <c r="B406" s="3" t="s">
        <v>254</v>
      </c>
      <c r="C406" s="3" t="s">
        <v>1698</v>
      </c>
      <c r="D406" s="3"/>
      <c r="E406" s="3"/>
      <c r="F406" s="3"/>
      <c r="G406" s="3" t="s">
        <v>2632</v>
      </c>
      <c r="H406" s="3" t="s">
        <v>2632</v>
      </c>
      <c r="I406" s="3" t="s">
        <v>2633</v>
      </c>
      <c r="J406" s="3" t="s">
        <v>1699</v>
      </c>
      <c r="K406" s="3" t="s">
        <v>1699</v>
      </c>
      <c r="L406" s="3" t="s">
        <v>1699</v>
      </c>
      <c r="M406" s="3" t="s">
        <v>1753</v>
      </c>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5.75" customHeight="1" x14ac:dyDescent="0.35">
      <c r="A407" s="3"/>
      <c r="B407" s="3"/>
      <c r="C407" s="3" t="s">
        <v>2634</v>
      </c>
      <c r="D407" s="3"/>
      <c r="E407" s="3"/>
      <c r="F407" s="3"/>
      <c r="G407" s="3" t="s">
        <v>2635</v>
      </c>
      <c r="H407" s="3" t="s">
        <v>2635</v>
      </c>
      <c r="I407" s="3" t="s">
        <v>2635</v>
      </c>
      <c r="J407" s="3" t="s">
        <v>1701</v>
      </c>
      <c r="K407" s="3" t="s">
        <v>2636</v>
      </c>
      <c r="L407" s="3" t="s">
        <v>2637</v>
      </c>
      <c r="M407" s="3" t="s">
        <v>1753</v>
      </c>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5.75" customHeight="1" x14ac:dyDescent="0.35">
      <c r="A408" s="3"/>
      <c r="B408" s="3"/>
      <c r="C408" s="3" t="s">
        <v>1702</v>
      </c>
      <c r="D408" s="3"/>
      <c r="E408" s="3"/>
      <c r="F408" s="3"/>
      <c r="G408" s="3" t="s">
        <v>2638</v>
      </c>
      <c r="H408" s="3" t="s">
        <v>2638</v>
      </c>
      <c r="I408" s="3" t="s">
        <v>2639</v>
      </c>
      <c r="J408" s="3" t="s">
        <v>1703</v>
      </c>
      <c r="K408" s="3" t="s">
        <v>1703</v>
      </c>
      <c r="L408" s="3" t="s">
        <v>1703</v>
      </c>
      <c r="M408" s="3" t="s">
        <v>1753</v>
      </c>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5.75" customHeight="1" x14ac:dyDescent="0.35">
      <c r="A409" s="3"/>
      <c r="B409" s="3" t="s">
        <v>257</v>
      </c>
      <c r="C409" s="3" t="s">
        <v>1018</v>
      </c>
      <c r="D409" s="3"/>
      <c r="E409" s="3"/>
      <c r="F409" s="3"/>
      <c r="G409" s="3" t="s">
        <v>2640</v>
      </c>
      <c r="H409" s="3" t="s">
        <v>2640</v>
      </c>
      <c r="I409" s="3" t="s">
        <v>2640</v>
      </c>
      <c r="J409" s="3" t="s">
        <v>1019</v>
      </c>
      <c r="K409" s="3" t="s">
        <v>2641</v>
      </c>
      <c r="L409" s="3" t="s">
        <v>2642</v>
      </c>
      <c r="M409" s="3" t="s">
        <v>1753</v>
      </c>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5.75" customHeight="1" x14ac:dyDescent="0.35">
      <c r="A410" s="3"/>
      <c r="B410" s="3"/>
      <c r="C410" s="3" t="s">
        <v>1023</v>
      </c>
      <c r="D410" s="3"/>
      <c r="E410" s="3"/>
      <c r="F410" s="3"/>
      <c r="G410" s="3" t="s">
        <v>2643</v>
      </c>
      <c r="H410" s="3" t="s">
        <v>2643</v>
      </c>
      <c r="I410" s="3" t="s">
        <v>2643</v>
      </c>
      <c r="J410" s="3" t="s">
        <v>1024</v>
      </c>
      <c r="K410" s="3" t="s">
        <v>1024</v>
      </c>
      <c r="L410" s="3" t="s">
        <v>1024</v>
      </c>
      <c r="M410" s="3" t="s">
        <v>1753</v>
      </c>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5.75" customHeight="1" x14ac:dyDescent="0.35">
      <c r="A411" s="3"/>
      <c r="B411" s="3"/>
      <c r="C411" s="3" t="s">
        <v>1027</v>
      </c>
      <c r="D411" s="3"/>
      <c r="E411" s="3"/>
      <c r="F411" s="3"/>
      <c r="G411" s="3" t="s">
        <v>2644</v>
      </c>
      <c r="H411" s="3" t="s">
        <v>2645</v>
      </c>
      <c r="I411" s="3" t="s">
        <v>2646</v>
      </c>
      <c r="J411" s="3" t="s">
        <v>1028</v>
      </c>
      <c r="K411" s="3" t="s">
        <v>2647</v>
      </c>
      <c r="L411" s="3" t="s">
        <v>2647</v>
      </c>
      <c r="M411" s="3" t="s">
        <v>1753</v>
      </c>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5.75" customHeight="1" x14ac:dyDescent="0.35">
      <c r="A412" s="3"/>
      <c r="B412" s="3"/>
      <c r="C412" s="3" t="s">
        <v>2648</v>
      </c>
      <c r="D412" s="3"/>
      <c r="E412" s="3"/>
      <c r="F412" s="3"/>
      <c r="G412" s="3" t="s">
        <v>2649</v>
      </c>
      <c r="H412" s="3" t="s">
        <v>2650</v>
      </c>
      <c r="I412" s="3" t="s">
        <v>2651</v>
      </c>
      <c r="J412" s="3" t="s">
        <v>1705</v>
      </c>
      <c r="K412" s="3" t="s">
        <v>1705</v>
      </c>
      <c r="L412" s="3" t="s">
        <v>2652</v>
      </c>
      <c r="M412" s="3" t="s">
        <v>1753</v>
      </c>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5.75" customHeight="1" x14ac:dyDescent="0.35">
      <c r="A413" s="3"/>
      <c r="B413" s="3" t="s">
        <v>162</v>
      </c>
      <c r="C413" s="3" t="s">
        <v>1039</v>
      </c>
      <c r="D413" s="3"/>
      <c r="E413" s="3"/>
      <c r="F413" s="3"/>
      <c r="G413" s="3" t="s">
        <v>2653</v>
      </c>
      <c r="H413" s="3" t="s">
        <v>2654</v>
      </c>
      <c r="I413" s="3" t="s">
        <v>2654</v>
      </c>
      <c r="J413" s="3" t="s">
        <v>1040</v>
      </c>
      <c r="K413" s="3" t="s">
        <v>1040</v>
      </c>
      <c r="L413" s="3" t="s">
        <v>1040</v>
      </c>
      <c r="M413" s="3" t="s">
        <v>1753</v>
      </c>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5.75" customHeight="1" x14ac:dyDescent="0.35">
      <c r="A414" s="3"/>
      <c r="B414" s="3"/>
      <c r="C414" s="3" t="s">
        <v>1706</v>
      </c>
      <c r="D414" s="3"/>
      <c r="E414" s="3"/>
      <c r="F414" s="3"/>
      <c r="G414" s="3" t="s">
        <v>2655</v>
      </c>
      <c r="H414" s="3" t="s">
        <v>2656</v>
      </c>
      <c r="I414" s="3" t="s">
        <v>2657</v>
      </c>
      <c r="J414" s="3" t="s">
        <v>1045</v>
      </c>
      <c r="K414" s="3" t="s">
        <v>2658</v>
      </c>
      <c r="L414" s="3" t="s">
        <v>2658</v>
      </c>
      <c r="M414" s="3" t="s">
        <v>1753</v>
      </c>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5.75" customHeight="1" x14ac:dyDescent="0.35">
      <c r="A415" s="3"/>
      <c r="B415" s="3"/>
      <c r="C415" s="3" t="s">
        <v>1047</v>
      </c>
      <c r="D415" s="3"/>
      <c r="E415" s="3"/>
      <c r="F415" s="3"/>
      <c r="G415" s="3" t="s">
        <v>2659</v>
      </c>
      <c r="H415" s="3" t="s">
        <v>2660</v>
      </c>
      <c r="I415" s="3" t="s">
        <v>2659</v>
      </c>
      <c r="J415" s="3" t="s">
        <v>1048</v>
      </c>
      <c r="K415" s="3" t="s">
        <v>2661</v>
      </c>
      <c r="L415" s="3" t="s">
        <v>2662</v>
      </c>
      <c r="M415" s="3" t="s">
        <v>1753</v>
      </c>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5.75" customHeight="1" x14ac:dyDescent="0.35">
      <c r="A416" s="3"/>
      <c r="B416" s="3"/>
      <c r="C416" s="3" t="s">
        <v>2648</v>
      </c>
      <c r="D416" s="3"/>
      <c r="E416" s="3"/>
      <c r="F416" s="3"/>
      <c r="G416" s="3" t="s">
        <v>2663</v>
      </c>
      <c r="H416" s="3" t="s">
        <v>2664</v>
      </c>
      <c r="I416" s="3" t="s">
        <v>2665</v>
      </c>
      <c r="J416" s="3" t="s">
        <v>1707</v>
      </c>
      <c r="K416" s="3" t="s">
        <v>1705</v>
      </c>
      <c r="L416" s="3" t="s">
        <v>1707</v>
      </c>
      <c r="M416" s="3" t="s">
        <v>1753</v>
      </c>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5.75" customHeight="1" x14ac:dyDescent="0.35">
      <c r="A417" s="3"/>
      <c r="B417" s="3" t="s">
        <v>1054</v>
      </c>
      <c r="C417" s="3" t="s">
        <v>1055</v>
      </c>
      <c r="D417" s="2" t="s">
        <v>34</v>
      </c>
      <c r="E417" s="2" t="s">
        <v>35</v>
      </c>
      <c r="F417" s="3"/>
      <c r="G417" s="3" t="s">
        <v>2666</v>
      </c>
      <c r="H417" s="3" t="s">
        <v>2667</v>
      </c>
      <c r="I417" s="3" t="s">
        <v>2668</v>
      </c>
      <c r="J417" s="3" t="s">
        <v>1056</v>
      </c>
      <c r="K417" s="3" t="s">
        <v>1056</v>
      </c>
      <c r="L417" s="3" t="s">
        <v>1056</v>
      </c>
      <c r="M417" s="3" t="s">
        <v>1753</v>
      </c>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5.75" customHeight="1" x14ac:dyDescent="0.35">
      <c r="A418" s="3"/>
      <c r="B418" s="3" t="s">
        <v>1062</v>
      </c>
      <c r="C418" s="3" t="s">
        <v>1063</v>
      </c>
      <c r="D418" s="2" t="s">
        <v>34</v>
      </c>
      <c r="E418" s="2" t="s">
        <v>35</v>
      </c>
      <c r="F418" s="3"/>
      <c r="G418" s="3" t="s">
        <v>2669</v>
      </c>
      <c r="H418" s="3" t="s">
        <v>2670</v>
      </c>
      <c r="I418" s="3" t="s">
        <v>2669</v>
      </c>
      <c r="J418" s="3" t="s">
        <v>1064</v>
      </c>
      <c r="K418" s="3" t="s">
        <v>2671</v>
      </c>
      <c r="L418" s="3" t="s">
        <v>2671</v>
      </c>
      <c r="M418" s="3" t="s">
        <v>1753</v>
      </c>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6.5" customHeight="1" x14ac:dyDescent="0.35">
      <c r="A419" s="3"/>
      <c r="B419" s="3" t="s">
        <v>188</v>
      </c>
      <c r="C419" s="3" t="s">
        <v>1105</v>
      </c>
      <c r="D419" s="3"/>
      <c r="E419" s="3"/>
      <c r="F419" s="3"/>
      <c r="G419" s="3" t="s">
        <v>2672</v>
      </c>
      <c r="H419" s="3" t="s">
        <v>2673</v>
      </c>
      <c r="I419" s="3" t="s">
        <v>2672</v>
      </c>
      <c r="J419" s="3" t="s">
        <v>1708</v>
      </c>
      <c r="K419" s="3" t="s">
        <v>1708</v>
      </c>
      <c r="L419" s="3" t="s">
        <v>1708</v>
      </c>
      <c r="M419" s="3" t="s">
        <v>1753</v>
      </c>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5.75" customHeight="1" x14ac:dyDescent="0.35">
      <c r="A420" s="3"/>
      <c r="B420" s="3" t="s">
        <v>195</v>
      </c>
      <c r="C420" s="3" t="s">
        <v>131</v>
      </c>
      <c r="D420" s="3"/>
      <c r="E420" s="3"/>
      <c r="F420" s="3"/>
      <c r="G420" s="3" t="s">
        <v>1876</v>
      </c>
      <c r="H420" s="3" t="s">
        <v>1876</v>
      </c>
      <c r="I420" s="3" t="s">
        <v>1876</v>
      </c>
      <c r="J420" s="3" t="s">
        <v>196</v>
      </c>
      <c r="K420" s="3" t="s">
        <v>196</v>
      </c>
      <c r="L420" s="3" t="s">
        <v>196</v>
      </c>
      <c r="M420" s="3" t="s">
        <v>1753</v>
      </c>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5.75" customHeight="1" x14ac:dyDescent="0.35">
      <c r="A421" s="3"/>
      <c r="B421" s="3"/>
      <c r="C421" s="3" t="s">
        <v>197</v>
      </c>
      <c r="D421" s="3"/>
      <c r="E421" s="3"/>
      <c r="F421" s="3"/>
      <c r="G421" s="3" t="s">
        <v>2674</v>
      </c>
      <c r="H421" s="3" t="s">
        <v>2674</v>
      </c>
      <c r="I421" s="3" t="s">
        <v>2674</v>
      </c>
      <c r="J421" s="3" t="s">
        <v>1067</v>
      </c>
      <c r="K421" s="3" t="s">
        <v>2675</v>
      </c>
      <c r="L421" s="3" t="s">
        <v>2675</v>
      </c>
      <c r="M421" s="3" t="s">
        <v>1753</v>
      </c>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5.75" customHeight="1" x14ac:dyDescent="0.35">
      <c r="A422" s="3"/>
      <c r="B422" s="3"/>
      <c r="C422" s="3" t="s">
        <v>200</v>
      </c>
      <c r="D422" s="3"/>
      <c r="E422" s="3"/>
      <c r="F422" s="3"/>
      <c r="G422" s="3" t="s">
        <v>2676</v>
      </c>
      <c r="H422" s="3" t="s">
        <v>2676</v>
      </c>
      <c r="I422" s="3" t="s">
        <v>2677</v>
      </c>
      <c r="J422" s="3" t="s">
        <v>1068</v>
      </c>
      <c r="K422" s="3" t="s">
        <v>2678</v>
      </c>
      <c r="L422" s="3" t="s">
        <v>2679</v>
      </c>
      <c r="M422" s="3" t="s">
        <v>1753</v>
      </c>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5.75" customHeight="1" x14ac:dyDescent="0.35">
      <c r="A423" s="3"/>
      <c r="B423" s="3" t="s">
        <v>206</v>
      </c>
      <c r="C423" s="3" t="s">
        <v>1641</v>
      </c>
      <c r="D423" s="2" t="s">
        <v>208</v>
      </c>
      <c r="E423" s="2" t="s">
        <v>209</v>
      </c>
      <c r="F423" s="3"/>
      <c r="G423" s="3" t="s">
        <v>1882</v>
      </c>
      <c r="H423" s="3" t="s">
        <v>1882</v>
      </c>
      <c r="I423" s="3" t="s">
        <v>1882</v>
      </c>
      <c r="J423" s="3" t="s">
        <v>1642</v>
      </c>
      <c r="K423" s="3" t="s">
        <v>1684</v>
      </c>
      <c r="L423" s="3" t="s">
        <v>1883</v>
      </c>
      <c r="M423" s="3" t="s">
        <v>1753</v>
      </c>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5.75" customHeight="1" x14ac:dyDescent="0.35">
      <c r="A424" s="3"/>
      <c r="B424" s="3"/>
      <c r="C424" s="3"/>
      <c r="D424" s="3"/>
      <c r="E424" s="3"/>
      <c r="F424" s="3"/>
      <c r="G424" s="10"/>
      <c r="H424" s="10"/>
      <c r="I424" s="10"/>
      <c r="J424" s="3"/>
      <c r="K424" s="3"/>
      <c r="L424" s="3"/>
      <c r="M424" s="3" t="s">
        <v>1753</v>
      </c>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5.75" customHeight="1" x14ac:dyDescent="0.35">
      <c r="A425" s="3" t="s">
        <v>1070</v>
      </c>
      <c r="B425" s="3" t="s">
        <v>1071</v>
      </c>
      <c r="C425" s="3" t="s">
        <v>1072</v>
      </c>
      <c r="D425" s="3"/>
      <c r="E425" s="3"/>
      <c r="F425" s="3"/>
      <c r="G425" s="3" t="s">
        <v>2680</v>
      </c>
      <c r="H425" s="3" t="s">
        <v>2680</v>
      </c>
      <c r="I425" s="3" t="s">
        <v>2680</v>
      </c>
      <c r="J425" s="3" t="s">
        <v>1073</v>
      </c>
      <c r="K425" s="3" t="s">
        <v>1073</v>
      </c>
      <c r="L425" s="3" t="s">
        <v>2681</v>
      </c>
      <c r="M425" s="3" t="s">
        <v>1753</v>
      </c>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5.75" customHeight="1" x14ac:dyDescent="0.35">
      <c r="A426" s="3"/>
      <c r="B426" s="3"/>
      <c r="C426" s="4" t="s">
        <v>1075</v>
      </c>
      <c r="D426" s="3"/>
      <c r="E426" s="3"/>
      <c r="F426" s="3"/>
      <c r="G426" s="3" t="s">
        <v>2682</v>
      </c>
      <c r="H426" s="3" t="s">
        <v>2682</v>
      </c>
      <c r="I426" s="3" t="s">
        <v>2682</v>
      </c>
      <c r="J426" s="3" t="s">
        <v>1076</v>
      </c>
      <c r="K426" s="3" t="s">
        <v>2683</v>
      </c>
      <c r="L426" s="3" t="s">
        <v>1076</v>
      </c>
      <c r="M426" s="3" t="s">
        <v>1753</v>
      </c>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5.75" customHeight="1" x14ac:dyDescent="0.35">
      <c r="A427" s="3"/>
      <c r="B427" s="3"/>
      <c r="C427" s="3" t="s">
        <v>25</v>
      </c>
      <c r="D427" s="3"/>
      <c r="E427" s="3"/>
      <c r="F427" s="3"/>
      <c r="G427" s="3" t="s">
        <v>2684</v>
      </c>
      <c r="H427" s="3" t="s">
        <v>2685</v>
      </c>
      <c r="I427" s="3" t="s">
        <v>1078</v>
      </c>
      <c r="J427" s="3" t="s">
        <v>1078</v>
      </c>
      <c r="K427" s="3" t="s">
        <v>1078</v>
      </c>
      <c r="L427" s="3" t="s">
        <v>1078</v>
      </c>
      <c r="M427" s="3" t="s">
        <v>1753</v>
      </c>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5.75" customHeight="1" x14ac:dyDescent="0.35">
      <c r="A428" s="3"/>
      <c r="B428" s="3" t="s">
        <v>1079</v>
      </c>
      <c r="C428" s="3" t="s">
        <v>1080</v>
      </c>
      <c r="D428" s="3" t="s">
        <v>1081</v>
      </c>
      <c r="E428" s="3" t="s">
        <v>1082</v>
      </c>
      <c r="F428" s="3"/>
      <c r="G428" s="3" t="s">
        <v>2686</v>
      </c>
      <c r="H428" s="3" t="s">
        <v>2687</v>
      </c>
      <c r="I428" s="3" t="s">
        <v>2687</v>
      </c>
      <c r="J428" s="3" t="s">
        <v>1083</v>
      </c>
      <c r="K428" s="3" t="s">
        <v>2688</v>
      </c>
      <c r="L428" s="3" t="s">
        <v>2689</v>
      </c>
      <c r="M428" s="3" t="s">
        <v>1753</v>
      </c>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5.75" customHeight="1" x14ac:dyDescent="0.35">
      <c r="A429" s="3"/>
      <c r="B429" s="3"/>
      <c r="C429" s="4" t="s">
        <v>1086</v>
      </c>
      <c r="D429" s="3"/>
      <c r="E429" s="3"/>
      <c r="F429" s="3"/>
      <c r="G429" s="3" t="s">
        <v>2690</v>
      </c>
      <c r="H429" s="3" t="s">
        <v>2690</v>
      </c>
      <c r="I429" s="3" t="s">
        <v>2690</v>
      </c>
      <c r="J429" s="3" t="s">
        <v>1087</v>
      </c>
      <c r="K429" s="3" t="s">
        <v>2691</v>
      </c>
      <c r="L429" s="3" t="s">
        <v>2690</v>
      </c>
      <c r="M429" s="3" t="s">
        <v>1753</v>
      </c>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5.75" customHeight="1" x14ac:dyDescent="0.35">
      <c r="A430" s="3"/>
      <c r="B430" s="3"/>
      <c r="C430" s="3" t="s">
        <v>1091</v>
      </c>
      <c r="D430" s="3"/>
      <c r="E430" s="3"/>
      <c r="F430" s="3"/>
      <c r="G430" s="3" t="s">
        <v>1092</v>
      </c>
      <c r="H430" s="3" t="s">
        <v>2692</v>
      </c>
      <c r="I430" s="3" t="s">
        <v>1092</v>
      </c>
      <c r="J430" s="3" t="s">
        <v>1092</v>
      </c>
      <c r="K430" s="3" t="s">
        <v>1092</v>
      </c>
      <c r="L430" s="3" t="s">
        <v>2693</v>
      </c>
      <c r="M430" s="3" t="s">
        <v>1753</v>
      </c>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5.75" customHeight="1" x14ac:dyDescent="0.35">
      <c r="A431" s="3"/>
      <c r="B431" s="3" t="s">
        <v>1094</v>
      </c>
      <c r="C431" s="3" t="s">
        <v>1095</v>
      </c>
      <c r="D431" s="3"/>
      <c r="E431" s="3"/>
      <c r="F431" s="3"/>
      <c r="G431" s="3" t="s">
        <v>2694</v>
      </c>
      <c r="H431" s="3" t="s">
        <v>2695</v>
      </c>
      <c r="I431" s="3" t="s">
        <v>2695</v>
      </c>
      <c r="J431" s="3" t="s">
        <v>1096</v>
      </c>
      <c r="K431" s="3" t="s">
        <v>2696</v>
      </c>
      <c r="L431" s="3" t="s">
        <v>2697</v>
      </c>
      <c r="M431" s="3" t="s">
        <v>1753</v>
      </c>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5.75" customHeight="1" x14ac:dyDescent="0.35">
      <c r="A432" s="3"/>
      <c r="B432" s="3" t="s">
        <v>1098</v>
      </c>
      <c r="C432" s="3" t="s">
        <v>1709</v>
      </c>
      <c r="D432" s="3"/>
      <c r="E432" s="3"/>
      <c r="F432" s="3"/>
      <c r="G432" s="3" t="s">
        <v>2698</v>
      </c>
      <c r="H432" s="3" t="s">
        <v>2699</v>
      </c>
      <c r="I432" s="3" t="s">
        <v>2698</v>
      </c>
      <c r="J432" s="3" t="s">
        <v>1100</v>
      </c>
      <c r="K432" s="3" t="s">
        <v>1100</v>
      </c>
      <c r="L432" s="3" t="s">
        <v>2700</v>
      </c>
      <c r="M432" s="3" t="s">
        <v>1753</v>
      </c>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5.75" customHeight="1" x14ac:dyDescent="0.35">
      <c r="A433" s="3"/>
      <c r="B433" s="3" t="s">
        <v>1104</v>
      </c>
      <c r="C433" s="3" t="s">
        <v>1105</v>
      </c>
      <c r="D433" s="3"/>
      <c r="E433" s="3"/>
      <c r="F433" s="3"/>
      <c r="G433" s="3" t="s">
        <v>2701</v>
      </c>
      <c r="H433" s="3" t="s">
        <v>2701</v>
      </c>
      <c r="I433" s="3" t="s">
        <v>2701</v>
      </c>
      <c r="J433" s="3" t="s">
        <v>1106</v>
      </c>
      <c r="K433" s="3" t="s">
        <v>1106</v>
      </c>
      <c r="L433" s="3" t="s">
        <v>1106</v>
      </c>
      <c r="M433" s="3" t="s">
        <v>1753</v>
      </c>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5.75" customHeight="1" x14ac:dyDescent="0.35">
      <c r="A434" s="3"/>
      <c r="B434" s="3" t="s">
        <v>1108</v>
      </c>
      <c r="C434" s="4" t="s">
        <v>1109</v>
      </c>
      <c r="D434" s="3" t="s">
        <v>1110</v>
      </c>
      <c r="E434" s="3" t="s">
        <v>1111</v>
      </c>
      <c r="F434" s="3"/>
      <c r="G434" s="3" t="s">
        <v>2702</v>
      </c>
      <c r="H434" s="3" t="s">
        <v>2702</v>
      </c>
      <c r="I434" s="3" t="s">
        <v>2702</v>
      </c>
      <c r="J434" s="3" t="s">
        <v>1112</v>
      </c>
      <c r="K434" s="3" t="s">
        <v>1112</v>
      </c>
      <c r="L434" s="3" t="s">
        <v>2703</v>
      </c>
      <c r="M434" s="3" t="s">
        <v>1753</v>
      </c>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5.75" customHeight="1" x14ac:dyDescent="0.35">
      <c r="A435" s="3"/>
      <c r="B435" s="3"/>
      <c r="C435" s="3" t="s">
        <v>1116</v>
      </c>
      <c r="D435" s="3"/>
      <c r="E435" s="3"/>
      <c r="F435" s="3"/>
      <c r="G435" s="3" t="s">
        <v>2704</v>
      </c>
      <c r="H435" s="3" t="s">
        <v>2705</v>
      </c>
      <c r="I435" s="3" t="s">
        <v>2706</v>
      </c>
      <c r="J435" s="3" t="s">
        <v>1117</v>
      </c>
      <c r="K435" s="3" t="s">
        <v>2707</v>
      </c>
      <c r="L435" s="3" t="s">
        <v>2708</v>
      </c>
      <c r="M435" s="3" t="s">
        <v>1753</v>
      </c>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5.75" customHeight="1" x14ac:dyDescent="0.35">
      <c r="A436" s="3"/>
      <c r="B436" s="3" t="s">
        <v>1122</v>
      </c>
      <c r="C436" s="3" t="s">
        <v>1123</v>
      </c>
      <c r="D436" s="3" t="s">
        <v>1124</v>
      </c>
      <c r="E436" s="3" t="s">
        <v>1125</v>
      </c>
      <c r="F436" s="3"/>
      <c r="G436" s="3" t="s">
        <v>2709</v>
      </c>
      <c r="H436" s="3" t="s">
        <v>2710</v>
      </c>
      <c r="I436" s="3" t="s">
        <v>2709</v>
      </c>
      <c r="J436" s="3" t="s">
        <v>1126</v>
      </c>
      <c r="K436" s="3" t="s">
        <v>2711</v>
      </c>
      <c r="L436" s="3" t="s">
        <v>1126</v>
      </c>
      <c r="M436" s="3" t="s">
        <v>1753</v>
      </c>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5.75" customHeight="1" x14ac:dyDescent="0.35">
      <c r="A437" s="3"/>
      <c r="B437" s="3"/>
      <c r="C437" s="3" t="s">
        <v>1131</v>
      </c>
      <c r="D437" s="3"/>
      <c r="E437" s="3"/>
      <c r="F437" s="3"/>
      <c r="G437" s="3" t="s">
        <v>2712</v>
      </c>
      <c r="H437" s="3" t="s">
        <v>2713</v>
      </c>
      <c r="I437" s="3" t="s">
        <v>2714</v>
      </c>
      <c r="J437" s="3" t="s">
        <v>1132</v>
      </c>
      <c r="K437" s="3" t="s">
        <v>1132</v>
      </c>
      <c r="L437" s="3" t="s">
        <v>2715</v>
      </c>
      <c r="M437" s="3" t="s">
        <v>1753</v>
      </c>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5.75" customHeight="1" x14ac:dyDescent="0.35">
      <c r="A438" s="3"/>
      <c r="B438" s="3" t="s">
        <v>105</v>
      </c>
      <c r="C438" s="3" t="s">
        <v>1072</v>
      </c>
      <c r="D438" s="3"/>
      <c r="E438" s="3"/>
      <c r="F438" s="3"/>
      <c r="G438" s="3" t="s">
        <v>2716</v>
      </c>
      <c r="H438" s="3" t="s">
        <v>2717</v>
      </c>
      <c r="I438" s="3" t="s">
        <v>2716</v>
      </c>
      <c r="J438" s="3" t="s">
        <v>1139</v>
      </c>
      <c r="K438" s="3" t="s">
        <v>1139</v>
      </c>
      <c r="L438" s="3" t="s">
        <v>1139</v>
      </c>
      <c r="M438" s="3" t="s">
        <v>1753</v>
      </c>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5.75" customHeight="1" x14ac:dyDescent="0.35">
      <c r="A439" s="3"/>
      <c r="B439" s="3"/>
      <c r="C439" s="3" t="s">
        <v>1075</v>
      </c>
      <c r="D439" s="3"/>
      <c r="E439" s="3"/>
      <c r="F439" s="3"/>
      <c r="G439" s="3" t="s">
        <v>2718</v>
      </c>
      <c r="H439" s="3" t="s">
        <v>2719</v>
      </c>
      <c r="I439" s="3" t="s">
        <v>2719</v>
      </c>
      <c r="J439" s="3" t="s">
        <v>1140</v>
      </c>
      <c r="K439" s="3" t="s">
        <v>1140</v>
      </c>
      <c r="L439" s="3" t="s">
        <v>1140</v>
      </c>
      <c r="M439" s="3" t="s">
        <v>1753</v>
      </c>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5.75" customHeight="1" x14ac:dyDescent="0.35">
      <c r="A440" s="3"/>
      <c r="B440" s="3"/>
      <c r="C440" s="3" t="s">
        <v>25</v>
      </c>
      <c r="D440" s="3"/>
      <c r="E440" s="3"/>
      <c r="F440" s="3"/>
      <c r="G440" s="3" t="s">
        <v>2720</v>
      </c>
      <c r="H440" s="3" t="s">
        <v>2721</v>
      </c>
      <c r="I440" s="3" t="s">
        <v>2722</v>
      </c>
      <c r="J440" s="3" t="s">
        <v>1141</v>
      </c>
      <c r="K440" s="3" t="s">
        <v>2723</v>
      </c>
      <c r="L440" s="3" t="s">
        <v>2723</v>
      </c>
      <c r="M440" s="3" t="s">
        <v>1753</v>
      </c>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5.75" customHeight="1" x14ac:dyDescent="0.35">
      <c r="A441" s="3"/>
      <c r="B441" s="3" t="s">
        <v>108</v>
      </c>
      <c r="C441" s="2" t="s">
        <v>109</v>
      </c>
      <c r="D441" s="3"/>
      <c r="E441" s="3"/>
      <c r="F441" s="3"/>
      <c r="G441" s="3" t="s">
        <v>2724</v>
      </c>
      <c r="H441" s="3" t="s">
        <v>2724</v>
      </c>
      <c r="I441" s="3" t="s">
        <v>2725</v>
      </c>
      <c r="J441" s="3" t="s">
        <v>1142</v>
      </c>
      <c r="K441" s="3" t="s">
        <v>1912</v>
      </c>
      <c r="L441" s="3" t="s">
        <v>2726</v>
      </c>
      <c r="M441" s="3" t="s">
        <v>1753</v>
      </c>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5.75" customHeight="1" x14ac:dyDescent="0.35">
      <c r="A442" s="3"/>
      <c r="B442" s="3"/>
      <c r="C442" s="2" t="s">
        <v>237</v>
      </c>
      <c r="D442" s="3"/>
      <c r="E442" s="3"/>
      <c r="F442" s="3"/>
      <c r="G442" s="3" t="s">
        <v>2727</v>
      </c>
      <c r="H442" s="3" t="s">
        <v>2728</v>
      </c>
      <c r="I442" s="3" t="s">
        <v>2728</v>
      </c>
      <c r="J442" s="3" t="s">
        <v>1144</v>
      </c>
      <c r="K442" s="3" t="s">
        <v>1144</v>
      </c>
      <c r="L442" s="3" t="s">
        <v>1144</v>
      </c>
      <c r="M442" s="3" t="s">
        <v>1753</v>
      </c>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5.75" customHeight="1" x14ac:dyDescent="0.35">
      <c r="A443" s="3"/>
      <c r="B443" s="3"/>
      <c r="C443" s="3" t="s">
        <v>131</v>
      </c>
      <c r="D443" s="3"/>
      <c r="E443" s="3"/>
      <c r="F443" s="3"/>
      <c r="G443" s="3" t="s">
        <v>2009</v>
      </c>
      <c r="H443" s="3" t="s">
        <v>2009</v>
      </c>
      <c r="I443" s="3" t="s">
        <v>2009</v>
      </c>
      <c r="J443" s="3" t="s">
        <v>1148</v>
      </c>
      <c r="K443" s="3" t="s">
        <v>1148</v>
      </c>
      <c r="L443" s="3" t="s">
        <v>1148</v>
      </c>
      <c r="M443" s="3" t="s">
        <v>1753</v>
      </c>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5.75" customHeight="1" x14ac:dyDescent="0.35">
      <c r="A444" s="3"/>
      <c r="B444" s="3" t="s">
        <v>1149</v>
      </c>
      <c r="C444" s="3" t="s">
        <v>1150</v>
      </c>
      <c r="D444" s="3" t="s">
        <v>1110</v>
      </c>
      <c r="E444" s="3" t="s">
        <v>1111</v>
      </c>
      <c r="F444" s="3"/>
      <c r="G444" s="3" t="s">
        <v>2729</v>
      </c>
      <c r="H444" s="3" t="s">
        <v>2729</v>
      </c>
      <c r="I444" s="3" t="s">
        <v>2729</v>
      </c>
      <c r="J444" s="3" t="s">
        <v>1151</v>
      </c>
      <c r="K444" s="3" t="s">
        <v>2730</v>
      </c>
      <c r="L444" s="3" t="s">
        <v>1151</v>
      </c>
      <c r="M444" s="3" t="s">
        <v>1753</v>
      </c>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5.75" customHeight="1" x14ac:dyDescent="0.35">
      <c r="A445" s="3"/>
      <c r="B445" s="3"/>
      <c r="C445" s="3" t="s">
        <v>1116</v>
      </c>
      <c r="D445" s="3"/>
      <c r="E445" s="3"/>
      <c r="F445" s="3"/>
      <c r="G445" s="3" t="s">
        <v>1156</v>
      </c>
      <c r="H445" s="3" t="s">
        <v>2731</v>
      </c>
      <c r="I445" s="3" t="s">
        <v>2732</v>
      </c>
      <c r="J445" s="3" t="s">
        <v>1156</v>
      </c>
      <c r="K445" s="3" t="s">
        <v>1156</v>
      </c>
      <c r="L445" s="3" t="s">
        <v>2733</v>
      </c>
      <c r="M445" s="3" t="s">
        <v>1753</v>
      </c>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5.75" customHeight="1" x14ac:dyDescent="0.35">
      <c r="A446" s="3"/>
      <c r="B446" s="3" t="s">
        <v>1159</v>
      </c>
      <c r="C446" s="3" t="s">
        <v>1160</v>
      </c>
      <c r="D446" s="3" t="s">
        <v>1124</v>
      </c>
      <c r="E446" s="3" t="s">
        <v>1125</v>
      </c>
      <c r="F446" s="3"/>
      <c r="G446" s="3" t="s">
        <v>2734</v>
      </c>
      <c r="H446" s="3" t="s">
        <v>2735</v>
      </c>
      <c r="I446" s="3" t="s">
        <v>2736</v>
      </c>
      <c r="J446" s="3" t="s">
        <v>1161</v>
      </c>
      <c r="K446" s="3" t="s">
        <v>2737</v>
      </c>
      <c r="L446" s="3" t="s">
        <v>2738</v>
      </c>
      <c r="M446" s="3" t="s">
        <v>1753</v>
      </c>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5.75" customHeight="1" x14ac:dyDescent="0.35">
      <c r="A447" s="3"/>
      <c r="B447" s="3"/>
      <c r="C447" s="3" t="s">
        <v>1131</v>
      </c>
      <c r="D447" s="3"/>
      <c r="E447" s="3"/>
      <c r="F447" s="3"/>
      <c r="G447" s="3" t="s">
        <v>2739</v>
      </c>
      <c r="H447" s="3" t="s">
        <v>2740</v>
      </c>
      <c r="I447" s="3" t="s">
        <v>2741</v>
      </c>
      <c r="J447" s="3" t="s">
        <v>1166</v>
      </c>
      <c r="K447" s="3" t="s">
        <v>2739</v>
      </c>
      <c r="L447" s="3" t="s">
        <v>2742</v>
      </c>
      <c r="M447" s="3" t="s">
        <v>1753</v>
      </c>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5.75" customHeight="1" x14ac:dyDescent="0.35">
      <c r="A448" s="3"/>
      <c r="B448" s="3" t="s">
        <v>1170</v>
      </c>
      <c r="C448" s="3"/>
      <c r="D448" s="3" t="s">
        <v>1110</v>
      </c>
      <c r="E448" s="3" t="s">
        <v>1111</v>
      </c>
      <c r="F448" s="3"/>
      <c r="G448" s="10"/>
      <c r="H448" s="10"/>
      <c r="I448" s="10"/>
      <c r="J448" s="3"/>
      <c r="K448" s="3"/>
      <c r="L448" s="3"/>
      <c r="M448" s="3" t="s">
        <v>1753</v>
      </c>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5.75" customHeight="1" x14ac:dyDescent="0.35">
      <c r="A449" s="3"/>
      <c r="B449" s="3" t="s">
        <v>1171</v>
      </c>
      <c r="C449" s="3"/>
      <c r="D449" s="3" t="s">
        <v>1124</v>
      </c>
      <c r="E449" s="3" t="s">
        <v>1125</v>
      </c>
      <c r="F449" s="3"/>
      <c r="G449" s="3"/>
      <c r="H449" s="3"/>
      <c r="I449" s="3"/>
      <c r="J449" s="3"/>
      <c r="K449" s="3"/>
      <c r="L449" s="3"/>
      <c r="M449" s="3" t="s">
        <v>1753</v>
      </c>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5.75" customHeight="1" x14ac:dyDescent="0.35">
      <c r="A450" s="3"/>
      <c r="B450" s="5" t="s">
        <v>1172</v>
      </c>
      <c r="C450" s="5" t="s">
        <v>1105</v>
      </c>
      <c r="D450" s="3"/>
      <c r="E450" s="3"/>
      <c r="F450" s="3"/>
      <c r="G450" s="10"/>
      <c r="H450" s="10"/>
      <c r="I450" s="10"/>
      <c r="J450" s="3"/>
      <c r="K450" s="3"/>
      <c r="L450" s="3"/>
      <c r="M450" s="3" t="s">
        <v>1753</v>
      </c>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5.75" customHeight="1" x14ac:dyDescent="0.35">
      <c r="A451" s="3"/>
      <c r="B451" s="3" t="s">
        <v>136</v>
      </c>
      <c r="C451" s="3" t="s">
        <v>1710</v>
      </c>
      <c r="D451" s="3"/>
      <c r="E451" s="3"/>
      <c r="F451" s="3"/>
      <c r="G451" s="3" t="s">
        <v>2743</v>
      </c>
      <c r="H451" s="3" t="s">
        <v>2743</v>
      </c>
      <c r="I451" s="3" t="s">
        <v>2743</v>
      </c>
      <c r="J451" s="3" t="s">
        <v>1711</v>
      </c>
      <c r="K451" s="3" t="s">
        <v>1711</v>
      </c>
      <c r="L451" s="3" t="s">
        <v>1711</v>
      </c>
      <c r="M451" s="3" t="s">
        <v>1753</v>
      </c>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5.75" customHeight="1" x14ac:dyDescent="0.35">
      <c r="A452" s="3"/>
      <c r="B452" s="3"/>
      <c r="C452" s="3" t="s">
        <v>1712</v>
      </c>
      <c r="D452" s="3"/>
      <c r="E452" s="3"/>
      <c r="F452" s="3"/>
      <c r="G452" s="3" t="s">
        <v>2744</v>
      </c>
      <c r="H452" s="3" t="s">
        <v>2745</v>
      </c>
      <c r="I452" s="3" t="s">
        <v>2745</v>
      </c>
      <c r="J452" s="3" t="s">
        <v>1713</v>
      </c>
      <c r="K452" s="3" t="s">
        <v>1713</v>
      </c>
      <c r="L452" s="3" t="s">
        <v>1713</v>
      </c>
      <c r="M452" s="3" t="s">
        <v>1753</v>
      </c>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5.75" customHeight="1" x14ac:dyDescent="0.35">
      <c r="A453" s="3"/>
      <c r="B453" s="3" t="s">
        <v>1173</v>
      </c>
      <c r="C453" s="3" t="s">
        <v>1105</v>
      </c>
      <c r="D453" s="3"/>
      <c r="E453" s="3"/>
      <c r="F453" s="3"/>
      <c r="G453" s="3" t="s">
        <v>2746</v>
      </c>
      <c r="H453" s="3" t="s">
        <v>2746</v>
      </c>
      <c r="I453" s="3" t="s">
        <v>2746</v>
      </c>
      <c r="J453" s="3" t="s">
        <v>1714</v>
      </c>
      <c r="K453" s="3" t="s">
        <v>1714</v>
      </c>
      <c r="L453" s="3" t="s">
        <v>1714</v>
      </c>
      <c r="M453" s="3" t="s">
        <v>1753</v>
      </c>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5.75" customHeight="1" x14ac:dyDescent="0.35">
      <c r="A454" s="3"/>
      <c r="B454" s="3" t="s">
        <v>1174</v>
      </c>
      <c r="C454" s="3" t="s">
        <v>1175</v>
      </c>
      <c r="D454" s="3" t="s">
        <v>1176</v>
      </c>
      <c r="E454" s="3" t="s">
        <v>1177</v>
      </c>
      <c r="F454" s="3"/>
      <c r="G454" s="3" t="s">
        <v>2747</v>
      </c>
      <c r="H454" s="3" t="s">
        <v>2748</v>
      </c>
      <c r="I454" s="3" t="s">
        <v>2748</v>
      </c>
      <c r="J454" s="3" t="s">
        <v>1178</v>
      </c>
      <c r="K454" s="3" t="s">
        <v>1178</v>
      </c>
      <c r="L454" s="3" t="s">
        <v>1178</v>
      </c>
      <c r="M454" s="3" t="s">
        <v>1753</v>
      </c>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5.75" customHeight="1" x14ac:dyDescent="0.35">
      <c r="A455" s="3"/>
      <c r="B455" s="3"/>
      <c r="C455" s="3" t="s">
        <v>1181</v>
      </c>
      <c r="D455" s="3"/>
      <c r="E455" s="3"/>
      <c r="F455" s="3"/>
      <c r="G455" s="3" t="s">
        <v>2749</v>
      </c>
      <c r="H455" s="3" t="s">
        <v>2750</v>
      </c>
      <c r="I455" s="3" t="s">
        <v>2749</v>
      </c>
      <c r="J455" s="3" t="s">
        <v>1182</v>
      </c>
      <c r="K455" s="3" t="s">
        <v>1182</v>
      </c>
      <c r="L455" s="3" t="s">
        <v>2751</v>
      </c>
      <c r="M455" s="3" t="s">
        <v>1753</v>
      </c>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5.75" customHeight="1" x14ac:dyDescent="0.35">
      <c r="A456" s="3"/>
      <c r="B456" s="3"/>
      <c r="C456" s="3" t="s">
        <v>1187</v>
      </c>
      <c r="D456" s="3"/>
      <c r="E456" s="3"/>
      <c r="F456" s="3"/>
      <c r="G456" s="3" t="s">
        <v>2752</v>
      </c>
      <c r="H456" s="3" t="s">
        <v>2752</v>
      </c>
      <c r="I456" s="3" t="s">
        <v>1188</v>
      </c>
      <c r="J456" s="3" t="s">
        <v>1188</v>
      </c>
      <c r="K456" s="3" t="s">
        <v>1188</v>
      </c>
      <c r="L456" s="3" t="s">
        <v>1188</v>
      </c>
      <c r="M456" s="3" t="s">
        <v>1753</v>
      </c>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5.75" customHeight="1" x14ac:dyDescent="0.35">
      <c r="A457" s="3"/>
      <c r="B457" s="3" t="s">
        <v>1194</v>
      </c>
      <c r="C457" s="3" t="s">
        <v>1195</v>
      </c>
      <c r="D457" s="3" t="s">
        <v>1176</v>
      </c>
      <c r="E457" s="3" t="s">
        <v>1177</v>
      </c>
      <c r="F457" s="3"/>
      <c r="G457" s="3" t="s">
        <v>2753</v>
      </c>
      <c r="H457" s="3" t="s">
        <v>2754</v>
      </c>
      <c r="I457" s="3" t="s">
        <v>2754</v>
      </c>
      <c r="J457" s="3" t="s">
        <v>1196</v>
      </c>
      <c r="K457" s="3" t="s">
        <v>1196</v>
      </c>
      <c r="L457" s="3" t="s">
        <v>1196</v>
      </c>
      <c r="M457" s="3" t="s">
        <v>1753</v>
      </c>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5.75" customHeight="1" x14ac:dyDescent="0.35">
      <c r="A458" s="3"/>
      <c r="B458" s="3"/>
      <c r="C458" s="3" t="s">
        <v>1199</v>
      </c>
      <c r="D458" s="3"/>
      <c r="E458" s="3"/>
      <c r="F458" s="3"/>
      <c r="G458" s="3" t="s">
        <v>2755</v>
      </c>
      <c r="H458" s="3" t="s">
        <v>2756</v>
      </c>
      <c r="I458" s="3" t="s">
        <v>2756</v>
      </c>
      <c r="J458" s="3" t="s">
        <v>1200</v>
      </c>
      <c r="K458" s="3" t="s">
        <v>2757</v>
      </c>
      <c r="L458" s="3" t="s">
        <v>2758</v>
      </c>
      <c r="M458" s="3" t="s">
        <v>1753</v>
      </c>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5.75" customHeight="1" x14ac:dyDescent="0.35">
      <c r="A459" s="3"/>
      <c r="B459" s="3"/>
      <c r="C459" s="3" t="s">
        <v>1203</v>
      </c>
      <c r="D459" s="3"/>
      <c r="E459" s="3"/>
      <c r="F459" s="3"/>
      <c r="G459" s="3" t="s">
        <v>1204</v>
      </c>
      <c r="H459" s="3" t="s">
        <v>2759</v>
      </c>
      <c r="I459" s="3" t="s">
        <v>2760</v>
      </c>
      <c r="J459" s="3" t="s">
        <v>1204</v>
      </c>
      <c r="K459" s="3" t="s">
        <v>1204</v>
      </c>
      <c r="L459" s="3" t="s">
        <v>1204</v>
      </c>
      <c r="M459" s="3" t="s">
        <v>1753</v>
      </c>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5.75" customHeight="1" x14ac:dyDescent="0.35">
      <c r="A460" s="3"/>
      <c r="B460" s="3" t="s">
        <v>1208</v>
      </c>
      <c r="C460" s="3" t="s">
        <v>1209</v>
      </c>
      <c r="D460" s="3"/>
      <c r="E460" s="3"/>
      <c r="F460" s="3"/>
      <c r="G460" s="3" t="s">
        <v>2761</v>
      </c>
      <c r="H460" s="3" t="s">
        <v>2762</v>
      </c>
      <c r="I460" s="3" t="s">
        <v>2763</v>
      </c>
      <c r="J460" s="3" t="s">
        <v>1210</v>
      </c>
      <c r="K460" s="3" t="s">
        <v>2764</v>
      </c>
      <c r="L460" s="3" t="s">
        <v>2765</v>
      </c>
      <c r="M460" s="3" t="s">
        <v>1753</v>
      </c>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5.75" customHeight="1" x14ac:dyDescent="0.35">
      <c r="A461" s="3"/>
      <c r="B461" s="3" t="s">
        <v>1212</v>
      </c>
      <c r="C461" s="3" t="s">
        <v>1213</v>
      </c>
      <c r="D461" s="3" t="s">
        <v>1214</v>
      </c>
      <c r="E461" s="3" t="s">
        <v>1215</v>
      </c>
      <c r="F461" s="3"/>
      <c r="G461" s="3" t="s">
        <v>2766</v>
      </c>
      <c r="H461" s="3" t="s">
        <v>2766</v>
      </c>
      <c r="I461" s="3" t="s">
        <v>2766</v>
      </c>
      <c r="J461" s="3" t="s">
        <v>1216</v>
      </c>
      <c r="K461" s="3" t="s">
        <v>1216</v>
      </c>
      <c r="L461" s="3" t="s">
        <v>2767</v>
      </c>
      <c r="M461" s="3" t="s">
        <v>1753</v>
      </c>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5.75" customHeight="1" x14ac:dyDescent="0.35">
      <c r="A462" s="3"/>
      <c r="B462" s="3"/>
      <c r="C462" s="3" t="s">
        <v>1219</v>
      </c>
      <c r="D462" s="3"/>
      <c r="E462" s="3"/>
      <c r="F462" s="3"/>
      <c r="G462" s="3" t="s">
        <v>2768</v>
      </c>
      <c r="H462" s="3" t="s">
        <v>2768</v>
      </c>
      <c r="I462" s="3" t="s">
        <v>2768</v>
      </c>
      <c r="J462" s="3" t="s">
        <v>1220</v>
      </c>
      <c r="K462" s="3" t="s">
        <v>2769</v>
      </c>
      <c r="L462" s="3" t="s">
        <v>2770</v>
      </c>
      <c r="M462" s="3" t="s">
        <v>1753</v>
      </c>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5.75" customHeight="1" x14ac:dyDescent="0.35">
      <c r="A463" s="3"/>
      <c r="B463" s="3"/>
      <c r="C463" s="3" t="s">
        <v>1223</v>
      </c>
      <c r="D463" s="3"/>
      <c r="E463" s="3"/>
      <c r="F463" s="3"/>
      <c r="G463" s="3" t="s">
        <v>2771</v>
      </c>
      <c r="H463" s="3" t="s">
        <v>2771</v>
      </c>
      <c r="I463" s="3" t="s">
        <v>2772</v>
      </c>
      <c r="J463" s="3" t="s">
        <v>1224</v>
      </c>
      <c r="K463" s="3" t="s">
        <v>2773</v>
      </c>
      <c r="L463" s="3" t="s">
        <v>2774</v>
      </c>
      <c r="M463" s="3" t="s">
        <v>1753</v>
      </c>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5.75" customHeight="1" x14ac:dyDescent="0.35">
      <c r="A464" s="3"/>
      <c r="B464" s="3" t="s">
        <v>1229</v>
      </c>
      <c r="C464" s="3" t="s">
        <v>1213</v>
      </c>
      <c r="D464" s="3" t="s">
        <v>1214</v>
      </c>
      <c r="E464" s="3" t="s">
        <v>1215</v>
      </c>
      <c r="F464" s="3"/>
      <c r="G464" s="3" t="s">
        <v>2766</v>
      </c>
      <c r="H464" s="3" t="s">
        <v>2766</v>
      </c>
      <c r="I464" s="3" t="s">
        <v>2766</v>
      </c>
      <c r="J464" s="3" t="s">
        <v>1216</v>
      </c>
      <c r="K464" s="3" t="s">
        <v>2775</v>
      </c>
      <c r="L464" s="3" t="s">
        <v>1216</v>
      </c>
      <c r="M464" s="3" t="s">
        <v>1753</v>
      </c>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5.75" customHeight="1" x14ac:dyDescent="0.35">
      <c r="A465" s="3"/>
      <c r="B465" s="3"/>
      <c r="C465" s="3" t="s">
        <v>1230</v>
      </c>
      <c r="D465" s="3"/>
      <c r="E465" s="3"/>
      <c r="F465" s="3"/>
      <c r="G465" s="3" t="s">
        <v>2776</v>
      </c>
      <c r="H465" s="3" t="s">
        <v>2776</v>
      </c>
      <c r="I465" s="3" t="s">
        <v>2776</v>
      </c>
      <c r="J465" s="3" t="s">
        <v>1231</v>
      </c>
      <c r="K465" s="3" t="s">
        <v>1231</v>
      </c>
      <c r="L465" s="3" t="s">
        <v>1231</v>
      </c>
      <c r="M465" s="3" t="s">
        <v>1753</v>
      </c>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5.75" customHeight="1" x14ac:dyDescent="0.35">
      <c r="A466" s="3"/>
      <c r="B466" s="3"/>
      <c r="C466" s="3" t="s">
        <v>1234</v>
      </c>
      <c r="D466" s="3"/>
      <c r="E466" s="3"/>
      <c r="F466" s="3"/>
      <c r="G466" s="3" t="s">
        <v>2777</v>
      </c>
      <c r="H466" s="3" t="s">
        <v>2777</v>
      </c>
      <c r="I466" s="3" t="s">
        <v>2777</v>
      </c>
      <c r="J466" s="3" t="s">
        <v>1235</v>
      </c>
      <c r="K466" s="3" t="s">
        <v>2778</v>
      </c>
      <c r="L466" s="3" t="s">
        <v>2779</v>
      </c>
      <c r="M466" s="3" t="s">
        <v>1753</v>
      </c>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5.75" customHeight="1" x14ac:dyDescent="0.35">
      <c r="A467" s="3"/>
      <c r="B467" s="3" t="s">
        <v>1239</v>
      </c>
      <c r="C467" s="4" t="s">
        <v>1240</v>
      </c>
      <c r="D467" s="3" t="s">
        <v>1110</v>
      </c>
      <c r="E467" s="3" t="s">
        <v>1111</v>
      </c>
      <c r="F467" s="3"/>
      <c r="G467" s="3" t="s">
        <v>2780</v>
      </c>
      <c r="H467" s="3" t="s">
        <v>2780</v>
      </c>
      <c r="I467" s="3" t="s">
        <v>2780</v>
      </c>
      <c r="J467" s="3" t="s">
        <v>1241</v>
      </c>
      <c r="K467" s="3" t="s">
        <v>1241</v>
      </c>
      <c r="L467" s="3" t="s">
        <v>1241</v>
      </c>
      <c r="M467" s="3" t="s">
        <v>1753</v>
      </c>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5.75" customHeight="1" x14ac:dyDescent="0.35">
      <c r="A468" s="3"/>
      <c r="B468" s="3"/>
      <c r="C468" s="3" t="s">
        <v>1116</v>
      </c>
      <c r="D468" s="3"/>
      <c r="E468" s="3"/>
      <c r="F468" s="3"/>
      <c r="G468" s="3" t="s">
        <v>2781</v>
      </c>
      <c r="H468" s="3" t="s">
        <v>2782</v>
      </c>
      <c r="I468" s="3" t="s">
        <v>2781</v>
      </c>
      <c r="J468" s="3" t="s">
        <v>1244</v>
      </c>
      <c r="K468" s="3" t="s">
        <v>2783</v>
      </c>
      <c r="L468" s="3" t="s">
        <v>2784</v>
      </c>
      <c r="M468" s="3" t="s">
        <v>1753</v>
      </c>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5.75" customHeight="1" x14ac:dyDescent="0.35">
      <c r="A469" s="3"/>
      <c r="B469" s="3" t="s">
        <v>1245</v>
      </c>
      <c r="C469" s="4" t="s">
        <v>1246</v>
      </c>
      <c r="D469" s="3" t="s">
        <v>1110</v>
      </c>
      <c r="E469" s="3" t="s">
        <v>1111</v>
      </c>
      <c r="F469" s="3"/>
      <c r="G469" s="3" t="s">
        <v>2785</v>
      </c>
      <c r="H469" s="3" t="s">
        <v>2785</v>
      </c>
      <c r="I469" s="3" t="s">
        <v>2785</v>
      </c>
      <c r="J469" s="3" t="s">
        <v>1247</v>
      </c>
      <c r="K469" s="3" t="s">
        <v>2786</v>
      </c>
      <c r="L469" s="3" t="s">
        <v>2786</v>
      </c>
      <c r="M469" s="3" t="s">
        <v>1753</v>
      </c>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5.75" customHeight="1" x14ac:dyDescent="0.35">
      <c r="A470" s="3"/>
      <c r="B470" s="3"/>
      <c r="C470" s="3" t="s">
        <v>1116</v>
      </c>
      <c r="D470" s="3"/>
      <c r="E470" s="3"/>
      <c r="F470" s="3"/>
      <c r="G470" s="3" t="s">
        <v>2787</v>
      </c>
      <c r="H470" s="3" t="s">
        <v>2788</v>
      </c>
      <c r="I470" s="3" t="s">
        <v>2789</v>
      </c>
      <c r="J470" s="3" t="s">
        <v>1117</v>
      </c>
      <c r="K470" s="3" t="s">
        <v>2707</v>
      </c>
      <c r="L470" s="3" t="s">
        <v>1117</v>
      </c>
      <c r="M470" s="3" t="s">
        <v>1753</v>
      </c>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5.75" customHeight="1" x14ac:dyDescent="0.35">
      <c r="A471" s="3"/>
      <c r="B471" s="3" t="s">
        <v>1254</v>
      </c>
      <c r="C471" s="3" t="s">
        <v>1255</v>
      </c>
      <c r="D471" s="3" t="s">
        <v>1124</v>
      </c>
      <c r="E471" s="3" t="s">
        <v>1125</v>
      </c>
      <c r="F471" s="3"/>
      <c r="G471" s="3" t="s">
        <v>2790</v>
      </c>
      <c r="H471" s="3" t="s">
        <v>2791</v>
      </c>
      <c r="I471" s="3" t="s">
        <v>1256</v>
      </c>
      <c r="J471" s="3" t="s">
        <v>1256</v>
      </c>
      <c r="K471" s="3" t="s">
        <v>2792</v>
      </c>
      <c r="L471" s="3" t="s">
        <v>2792</v>
      </c>
      <c r="M471" s="3" t="s">
        <v>1753</v>
      </c>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5.75" customHeight="1" x14ac:dyDescent="0.35">
      <c r="A472" s="3"/>
      <c r="B472" s="3"/>
      <c r="C472" s="3" t="s">
        <v>1131</v>
      </c>
      <c r="D472" s="3"/>
      <c r="E472" s="3"/>
      <c r="F472" s="3"/>
      <c r="G472" s="3" t="s">
        <v>2739</v>
      </c>
      <c r="H472" s="3" t="s">
        <v>2793</v>
      </c>
      <c r="I472" s="3" t="s">
        <v>2794</v>
      </c>
      <c r="J472" s="3" t="s">
        <v>1132</v>
      </c>
      <c r="K472" s="3" t="s">
        <v>2795</v>
      </c>
      <c r="L472" s="3" t="s">
        <v>1132</v>
      </c>
      <c r="M472" s="3" t="s">
        <v>1753</v>
      </c>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5.75" customHeight="1" x14ac:dyDescent="0.35">
      <c r="A473" s="3"/>
      <c r="B473" s="3" t="s">
        <v>1265</v>
      </c>
      <c r="C473" s="3" t="s">
        <v>1266</v>
      </c>
      <c r="D473" s="3" t="s">
        <v>1124</v>
      </c>
      <c r="E473" s="3" t="s">
        <v>1125</v>
      </c>
      <c r="F473" s="3"/>
      <c r="G473" s="3" t="s">
        <v>2796</v>
      </c>
      <c r="H473" s="3" t="s">
        <v>2797</v>
      </c>
      <c r="I473" s="3" t="s">
        <v>2798</v>
      </c>
      <c r="J473" s="3" t="s">
        <v>1267</v>
      </c>
      <c r="K473" s="3" t="s">
        <v>2799</v>
      </c>
      <c r="L473" s="3" t="s">
        <v>1267</v>
      </c>
      <c r="M473" s="3" t="s">
        <v>1753</v>
      </c>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5.75" customHeight="1" x14ac:dyDescent="0.35">
      <c r="A474" s="3"/>
      <c r="B474" s="3"/>
      <c r="C474" s="3" t="s">
        <v>1131</v>
      </c>
      <c r="D474" s="3"/>
      <c r="E474" s="3"/>
      <c r="F474" s="3"/>
      <c r="G474" s="3" t="s">
        <v>2800</v>
      </c>
      <c r="H474" s="3" t="s">
        <v>2801</v>
      </c>
      <c r="I474" s="3" t="s">
        <v>2802</v>
      </c>
      <c r="J474" s="3" t="s">
        <v>1132</v>
      </c>
      <c r="K474" s="3" t="s">
        <v>2715</v>
      </c>
      <c r="L474" s="3" t="s">
        <v>1132</v>
      </c>
      <c r="M474" s="3" t="s">
        <v>1753</v>
      </c>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5.75" customHeight="1" x14ac:dyDescent="0.35">
      <c r="A475" s="3"/>
      <c r="B475" s="3" t="s">
        <v>188</v>
      </c>
      <c r="C475" s="3" t="s">
        <v>1105</v>
      </c>
      <c r="D475" s="3"/>
      <c r="E475" s="3"/>
      <c r="F475" s="3"/>
      <c r="G475" s="10" t="s">
        <v>2803</v>
      </c>
      <c r="H475" s="10" t="s">
        <v>2803</v>
      </c>
      <c r="I475" s="10" t="s">
        <v>2803</v>
      </c>
      <c r="J475" s="3" t="s">
        <v>1715</v>
      </c>
      <c r="K475" s="3" t="s">
        <v>2804</v>
      </c>
      <c r="L475" s="3" t="s">
        <v>2805</v>
      </c>
      <c r="M475" s="3" t="s">
        <v>1753</v>
      </c>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5.75" customHeight="1" x14ac:dyDescent="0.35">
      <c r="A476" s="3"/>
      <c r="B476" s="5" t="s">
        <v>1273</v>
      </c>
      <c r="C476" s="5" t="s">
        <v>131</v>
      </c>
      <c r="D476" s="3"/>
      <c r="E476" s="3"/>
      <c r="F476" s="3"/>
      <c r="G476" s="10"/>
      <c r="H476" s="10"/>
      <c r="I476" s="10"/>
      <c r="J476" s="3"/>
      <c r="K476" s="3"/>
      <c r="L476" s="3"/>
      <c r="M476" s="3" t="s">
        <v>1753</v>
      </c>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5.75" customHeight="1" x14ac:dyDescent="0.35">
      <c r="A477" s="3"/>
      <c r="B477" s="5" t="s">
        <v>1274</v>
      </c>
      <c r="C477" s="5" t="s">
        <v>131</v>
      </c>
      <c r="D477" s="3"/>
      <c r="E477" s="3"/>
      <c r="F477" s="3"/>
      <c r="G477" s="10"/>
      <c r="H477" s="10"/>
      <c r="I477" s="10"/>
      <c r="J477" s="3"/>
      <c r="K477" s="3"/>
      <c r="L477" s="3"/>
      <c r="M477" s="3" t="s">
        <v>1753</v>
      </c>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5.75" customHeight="1" x14ac:dyDescent="0.35">
      <c r="A478" s="3"/>
      <c r="B478" s="5" t="s">
        <v>456</v>
      </c>
      <c r="C478" s="5" t="s">
        <v>131</v>
      </c>
      <c r="D478" s="3"/>
      <c r="E478" s="3"/>
      <c r="F478" s="3"/>
      <c r="G478" s="10"/>
      <c r="H478" s="10"/>
      <c r="I478" s="10"/>
      <c r="J478" s="3"/>
      <c r="K478" s="3"/>
      <c r="L478" s="3"/>
      <c r="M478" s="3" t="s">
        <v>1753</v>
      </c>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5.75" customHeight="1" x14ac:dyDescent="0.35">
      <c r="A479" s="3"/>
      <c r="B479" s="3" t="s">
        <v>1275</v>
      </c>
      <c r="C479" s="3" t="s">
        <v>2806</v>
      </c>
      <c r="D479" s="3"/>
      <c r="E479" s="3"/>
      <c r="F479" s="3"/>
      <c r="G479" s="3" t="s">
        <v>2807</v>
      </c>
      <c r="H479" s="3" t="s">
        <v>2808</v>
      </c>
      <c r="I479" s="3" t="s">
        <v>2807</v>
      </c>
      <c r="J479" s="3" t="s">
        <v>1717</v>
      </c>
      <c r="K479" s="3" t="s">
        <v>1717</v>
      </c>
      <c r="L479" s="3" t="s">
        <v>2808</v>
      </c>
      <c r="M479" s="3" t="s">
        <v>1753</v>
      </c>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5.75" customHeight="1" x14ac:dyDescent="0.35">
      <c r="A480" s="3"/>
      <c r="B480" s="3" t="s">
        <v>1280</v>
      </c>
      <c r="C480" s="3" t="s">
        <v>2809</v>
      </c>
      <c r="D480" s="3"/>
      <c r="E480" s="3"/>
      <c r="F480" s="3"/>
      <c r="G480" s="3" t="s">
        <v>2810</v>
      </c>
      <c r="H480" s="3" t="s">
        <v>2810</v>
      </c>
      <c r="I480" s="3" t="s">
        <v>2810</v>
      </c>
      <c r="J480" s="3" t="s">
        <v>1282</v>
      </c>
      <c r="K480" s="3" t="s">
        <v>2811</v>
      </c>
      <c r="L480" s="3" t="s">
        <v>2812</v>
      </c>
      <c r="M480" s="3" t="s">
        <v>1753</v>
      </c>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5.75" customHeight="1" x14ac:dyDescent="0.35">
      <c r="A481" s="3"/>
      <c r="B481" s="3" t="s">
        <v>1287</v>
      </c>
      <c r="C481" s="3" t="s">
        <v>2813</v>
      </c>
      <c r="D481" s="3"/>
      <c r="E481" s="3"/>
      <c r="F481" s="3"/>
      <c r="G481" s="3" t="s">
        <v>2814</v>
      </c>
      <c r="H481" s="3" t="s">
        <v>2815</v>
      </c>
      <c r="I481" s="3" t="s">
        <v>2815</v>
      </c>
      <c r="J481" s="3" t="s">
        <v>1719</v>
      </c>
      <c r="K481" s="3" t="s">
        <v>1719</v>
      </c>
      <c r="L481" s="3" t="s">
        <v>1719</v>
      </c>
      <c r="M481" s="3" t="s">
        <v>1753</v>
      </c>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5.75" customHeight="1" x14ac:dyDescent="0.35">
      <c r="A482" s="3"/>
      <c r="B482" s="3" t="s">
        <v>1292</v>
      </c>
      <c r="C482" s="3" t="s">
        <v>2816</v>
      </c>
      <c r="D482" s="3"/>
      <c r="E482" s="3"/>
      <c r="F482" s="3"/>
      <c r="G482" s="3" t="s">
        <v>2817</v>
      </c>
      <c r="H482" s="3" t="s">
        <v>2818</v>
      </c>
      <c r="I482" s="3" t="s">
        <v>2818</v>
      </c>
      <c r="J482" s="3" t="s">
        <v>1294</v>
      </c>
      <c r="K482" s="3" t="s">
        <v>2819</v>
      </c>
      <c r="L482" s="3" t="s">
        <v>2820</v>
      </c>
      <c r="M482" s="3" t="s">
        <v>1753</v>
      </c>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5.75" customHeight="1" x14ac:dyDescent="0.35">
      <c r="A483" s="3"/>
      <c r="B483" s="3" t="s">
        <v>1299</v>
      </c>
      <c r="C483" s="3" t="s">
        <v>1300</v>
      </c>
      <c r="D483" s="3"/>
      <c r="E483" s="3"/>
      <c r="F483" s="3"/>
      <c r="G483" s="3" t="s">
        <v>2821</v>
      </c>
      <c r="H483" s="3" t="s">
        <v>2822</v>
      </c>
      <c r="I483" s="3" t="s">
        <v>2822</v>
      </c>
      <c r="J483" s="3" t="s">
        <v>1301</v>
      </c>
      <c r="K483" s="3" t="s">
        <v>2823</v>
      </c>
      <c r="L483" s="3" t="s">
        <v>2824</v>
      </c>
      <c r="M483" s="3" t="s">
        <v>1753</v>
      </c>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5.75" customHeight="1" x14ac:dyDescent="0.35">
      <c r="A484" s="3"/>
      <c r="B484" s="3"/>
      <c r="C484" s="3"/>
      <c r="D484" s="3"/>
      <c r="E484" s="3"/>
      <c r="F484" s="3"/>
      <c r="G484" s="3"/>
      <c r="H484" s="3"/>
      <c r="I484" s="3"/>
      <c r="J484" s="3"/>
      <c r="K484" s="3"/>
      <c r="L484" s="3"/>
      <c r="M484" s="3" t="s">
        <v>1753</v>
      </c>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5.75" customHeight="1" x14ac:dyDescent="0.35">
      <c r="A485" s="3" t="s">
        <v>1304</v>
      </c>
      <c r="B485" s="3" t="s">
        <v>1305</v>
      </c>
      <c r="C485" s="3" t="s">
        <v>25</v>
      </c>
      <c r="D485" s="3"/>
      <c r="E485" s="3"/>
      <c r="F485" s="3"/>
      <c r="G485" s="3" t="s">
        <v>1306</v>
      </c>
      <c r="H485" s="3" t="s">
        <v>1306</v>
      </c>
      <c r="I485" s="3" t="s">
        <v>2825</v>
      </c>
      <c r="J485" s="3" t="s">
        <v>1306</v>
      </c>
      <c r="K485" s="3" t="s">
        <v>2826</v>
      </c>
      <c r="L485" s="3" t="s">
        <v>1306</v>
      </c>
      <c r="M485" s="3" t="s">
        <v>1753</v>
      </c>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5.75" customHeight="1" x14ac:dyDescent="0.35">
      <c r="A486" s="3"/>
      <c r="B486" s="3"/>
      <c r="C486" s="3" t="s">
        <v>29</v>
      </c>
      <c r="D486" s="3"/>
      <c r="E486" s="3"/>
      <c r="F486" s="3"/>
      <c r="G486" s="3" t="s">
        <v>2827</v>
      </c>
      <c r="H486" s="3" t="s">
        <v>2828</v>
      </c>
      <c r="I486" s="3" t="s">
        <v>2828</v>
      </c>
      <c r="J486" s="3" t="s">
        <v>1307</v>
      </c>
      <c r="K486" s="3" t="s">
        <v>2829</v>
      </c>
      <c r="L486" s="3" t="s">
        <v>2829</v>
      </c>
      <c r="M486" s="3" t="s">
        <v>1753</v>
      </c>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5.75" customHeight="1" x14ac:dyDescent="0.35">
      <c r="A487" s="3"/>
      <c r="B487" s="3" t="s">
        <v>1308</v>
      </c>
      <c r="C487" s="3" t="s">
        <v>665</v>
      </c>
      <c r="D487" s="3" t="s">
        <v>1309</v>
      </c>
      <c r="E487" s="3" t="s">
        <v>1310</v>
      </c>
      <c r="F487" s="3"/>
      <c r="G487" s="3" t="s">
        <v>2830</v>
      </c>
      <c r="H487" s="3" t="s">
        <v>2830</v>
      </c>
      <c r="I487" s="3" t="s">
        <v>2830</v>
      </c>
      <c r="J487" s="3" t="s">
        <v>1311</v>
      </c>
      <c r="K487" s="3" t="s">
        <v>2831</v>
      </c>
      <c r="L487" s="3" t="s">
        <v>1311</v>
      </c>
      <c r="M487" s="3" t="s">
        <v>1753</v>
      </c>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5.75" customHeight="1" x14ac:dyDescent="0.35">
      <c r="A488" s="3"/>
      <c r="B488" s="3"/>
      <c r="C488" s="3" t="s">
        <v>669</v>
      </c>
      <c r="D488" s="3"/>
      <c r="E488" s="3"/>
      <c r="F488" s="3"/>
      <c r="G488" s="3" t="s">
        <v>2832</v>
      </c>
      <c r="H488" s="3" t="s">
        <v>2832</v>
      </c>
      <c r="I488" s="3" t="s">
        <v>2832</v>
      </c>
      <c r="J488" s="3" t="s">
        <v>1313</v>
      </c>
      <c r="K488" s="3" t="s">
        <v>2832</v>
      </c>
      <c r="L488" s="3" t="s">
        <v>1313</v>
      </c>
      <c r="M488" s="3" t="s">
        <v>1753</v>
      </c>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5.75" customHeight="1" x14ac:dyDescent="0.35">
      <c r="A489" s="3"/>
      <c r="B489" s="3" t="s">
        <v>1316</v>
      </c>
      <c r="C489" s="3" t="s">
        <v>1317</v>
      </c>
      <c r="D489" s="3" t="s">
        <v>1318</v>
      </c>
      <c r="E489" s="3" t="s">
        <v>1319</v>
      </c>
      <c r="F489" s="3"/>
      <c r="G489" s="3" t="s">
        <v>2833</v>
      </c>
      <c r="H489" s="3" t="s">
        <v>2834</v>
      </c>
      <c r="I489" s="3" t="s">
        <v>2833</v>
      </c>
      <c r="J489" s="3" t="s">
        <v>1320</v>
      </c>
      <c r="K489" s="3" t="s">
        <v>2835</v>
      </c>
      <c r="L489" s="3" t="s">
        <v>2836</v>
      </c>
      <c r="M489" s="3" t="s">
        <v>1753</v>
      </c>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5.75" customHeight="1" x14ac:dyDescent="0.35">
      <c r="A490" s="3"/>
      <c r="B490" s="3" t="s">
        <v>188</v>
      </c>
      <c r="C490" s="3" t="s">
        <v>1105</v>
      </c>
      <c r="D490" s="3"/>
      <c r="E490" s="3"/>
      <c r="F490" s="3"/>
      <c r="G490" s="3" t="s">
        <v>2837</v>
      </c>
      <c r="H490" s="3" t="s">
        <v>2838</v>
      </c>
      <c r="I490" s="3" t="s">
        <v>2838</v>
      </c>
      <c r="J490" s="3" t="s">
        <v>1721</v>
      </c>
      <c r="K490" s="3" t="s">
        <v>1721</v>
      </c>
      <c r="L490" s="3" t="s">
        <v>1721</v>
      </c>
      <c r="M490" s="3" t="s">
        <v>1753</v>
      </c>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5.75" customHeight="1" x14ac:dyDescent="0.35">
      <c r="A491" s="3"/>
      <c r="B491" s="3" t="s">
        <v>136</v>
      </c>
      <c r="C491" s="3" t="s">
        <v>1635</v>
      </c>
      <c r="D491" s="3"/>
      <c r="E491" s="3"/>
      <c r="F491" s="3"/>
      <c r="G491" s="3" t="s">
        <v>2839</v>
      </c>
      <c r="H491" s="3" t="s">
        <v>2840</v>
      </c>
      <c r="I491" s="3" t="s">
        <v>2839</v>
      </c>
      <c r="J491" s="3" t="s">
        <v>1722</v>
      </c>
      <c r="K491" s="3" t="s">
        <v>1722</v>
      </c>
      <c r="L491" s="3" t="s">
        <v>1722</v>
      </c>
      <c r="M491" s="3" t="s">
        <v>1753</v>
      </c>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5.75" customHeight="1" x14ac:dyDescent="0.35">
      <c r="A492" s="3"/>
      <c r="B492" s="3" t="s">
        <v>1323</v>
      </c>
      <c r="C492" s="3" t="s">
        <v>1324</v>
      </c>
      <c r="D492" s="3"/>
      <c r="E492" s="3"/>
      <c r="F492" s="3"/>
      <c r="G492" s="3" t="s">
        <v>2841</v>
      </c>
      <c r="H492" s="3" t="s">
        <v>2841</v>
      </c>
      <c r="I492" s="3" t="s">
        <v>2842</v>
      </c>
      <c r="J492" s="3" t="s">
        <v>1325</v>
      </c>
      <c r="K492" s="3" t="s">
        <v>1325</v>
      </c>
      <c r="L492" s="3" t="s">
        <v>1325</v>
      </c>
      <c r="M492" s="3" t="s">
        <v>1753</v>
      </c>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5.75" customHeight="1" x14ac:dyDescent="0.35">
      <c r="A493" s="3"/>
      <c r="B493" s="3"/>
      <c r="C493" s="3" t="s">
        <v>1328</v>
      </c>
      <c r="D493" s="3"/>
      <c r="E493" s="3"/>
      <c r="F493" s="3"/>
      <c r="G493" s="3" t="s">
        <v>2843</v>
      </c>
      <c r="H493" s="3" t="s">
        <v>2843</v>
      </c>
      <c r="I493" s="3" t="s">
        <v>2844</v>
      </c>
      <c r="J493" s="3" t="s">
        <v>1329</v>
      </c>
      <c r="K493" s="3" t="s">
        <v>1329</v>
      </c>
      <c r="L493" s="3" t="s">
        <v>1329</v>
      </c>
      <c r="M493" s="3" t="s">
        <v>1753</v>
      </c>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5.75" customHeight="1" x14ac:dyDescent="0.35">
      <c r="A494" s="3"/>
      <c r="B494" s="3" t="s">
        <v>1333</v>
      </c>
      <c r="C494" s="3"/>
      <c r="D494" s="3"/>
      <c r="E494" s="3"/>
      <c r="F494" s="3"/>
      <c r="G494" s="10"/>
      <c r="H494" s="10"/>
      <c r="I494" s="10"/>
      <c r="J494" s="3"/>
      <c r="K494" s="3"/>
      <c r="L494" s="3"/>
      <c r="M494" s="3" t="s">
        <v>1753</v>
      </c>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5.75" customHeight="1" x14ac:dyDescent="0.35">
      <c r="A495" s="3"/>
      <c r="B495" s="3" t="s">
        <v>1334</v>
      </c>
      <c r="C495" s="3" t="s">
        <v>1335</v>
      </c>
      <c r="D495" s="3"/>
      <c r="E495" s="3"/>
      <c r="F495" s="3"/>
      <c r="G495" s="3" t="s">
        <v>2845</v>
      </c>
      <c r="H495" s="3" t="s">
        <v>2846</v>
      </c>
      <c r="I495" s="3" t="s">
        <v>2847</v>
      </c>
      <c r="J495" s="3" t="s">
        <v>1336</v>
      </c>
      <c r="K495" s="3" t="s">
        <v>2848</v>
      </c>
      <c r="L495" s="3" t="s">
        <v>2848</v>
      </c>
      <c r="M495" s="3" t="s">
        <v>1753</v>
      </c>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5.75" customHeight="1" x14ac:dyDescent="0.35">
      <c r="A496" s="3"/>
      <c r="B496" s="3"/>
      <c r="C496" s="3" t="s">
        <v>1340</v>
      </c>
      <c r="D496" s="3"/>
      <c r="E496" s="3"/>
      <c r="F496" s="3"/>
      <c r="G496" s="3" t="s">
        <v>2849</v>
      </c>
      <c r="H496" s="3" t="s">
        <v>2850</v>
      </c>
      <c r="I496" s="3" t="s">
        <v>2849</v>
      </c>
      <c r="J496" s="3" t="s">
        <v>1341</v>
      </c>
      <c r="K496" s="3" t="s">
        <v>1341</v>
      </c>
      <c r="L496" s="3" t="s">
        <v>1341</v>
      </c>
      <c r="M496" s="3" t="s">
        <v>1753</v>
      </c>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5.75" customHeight="1" x14ac:dyDescent="0.35">
      <c r="A497" s="3"/>
      <c r="B497" s="3"/>
      <c r="C497" s="3" t="s">
        <v>1344</v>
      </c>
      <c r="D497" s="3"/>
      <c r="E497" s="3"/>
      <c r="F497" s="3"/>
      <c r="G497" s="3" t="s">
        <v>2851</v>
      </c>
      <c r="H497" s="3" t="s">
        <v>2852</v>
      </c>
      <c r="I497" s="3" t="s">
        <v>2852</v>
      </c>
      <c r="J497" s="3" t="s">
        <v>1345</v>
      </c>
      <c r="K497" s="3" t="s">
        <v>2853</v>
      </c>
      <c r="L497" s="3" t="s">
        <v>2854</v>
      </c>
      <c r="M497" s="3" t="s">
        <v>1753</v>
      </c>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5.75" customHeight="1" x14ac:dyDescent="0.35">
      <c r="A498" s="3"/>
      <c r="B498" s="3"/>
      <c r="C498" s="3" t="s">
        <v>1348</v>
      </c>
      <c r="D498" s="3"/>
      <c r="E498" s="3"/>
      <c r="F498" s="3"/>
      <c r="G498" s="3" t="s">
        <v>2855</v>
      </c>
      <c r="H498" s="3" t="s">
        <v>2856</v>
      </c>
      <c r="I498" s="3" t="s">
        <v>2857</v>
      </c>
      <c r="J498" s="3" t="s">
        <v>1349</v>
      </c>
      <c r="K498" s="3" t="s">
        <v>1349</v>
      </c>
      <c r="L498" s="3" t="s">
        <v>1349</v>
      </c>
      <c r="M498" s="3" t="s">
        <v>1753</v>
      </c>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5.75" customHeight="1" x14ac:dyDescent="0.35">
      <c r="A499" s="3"/>
      <c r="B499" s="3" t="s">
        <v>1352</v>
      </c>
      <c r="C499" s="3" t="s">
        <v>1317</v>
      </c>
      <c r="D499" s="3" t="s">
        <v>1318</v>
      </c>
      <c r="E499" s="3" t="s">
        <v>1319</v>
      </c>
      <c r="F499" s="3"/>
      <c r="G499" s="3" t="s">
        <v>1353</v>
      </c>
      <c r="H499" s="3" t="s">
        <v>1353</v>
      </c>
      <c r="I499" s="3" t="s">
        <v>2858</v>
      </c>
      <c r="J499" s="3" t="s">
        <v>1353</v>
      </c>
      <c r="K499" s="3" t="s">
        <v>1353</v>
      </c>
      <c r="L499" s="3" t="s">
        <v>1353</v>
      </c>
      <c r="M499" s="3" t="s">
        <v>1753</v>
      </c>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5.75" customHeight="1" x14ac:dyDescent="0.35">
      <c r="A500" s="3"/>
      <c r="B500" s="3" t="s">
        <v>1355</v>
      </c>
      <c r="C500" s="3" t="s">
        <v>1335</v>
      </c>
      <c r="D500" s="3"/>
      <c r="E500" s="3"/>
      <c r="F500" s="3"/>
      <c r="G500" s="3" t="s">
        <v>2859</v>
      </c>
      <c r="H500" s="3" t="s">
        <v>2860</v>
      </c>
      <c r="I500" s="3" t="s">
        <v>2861</v>
      </c>
      <c r="J500" s="3" t="s">
        <v>1356</v>
      </c>
      <c r="K500" s="3" t="s">
        <v>2862</v>
      </c>
      <c r="L500" s="3" t="s">
        <v>2848</v>
      </c>
      <c r="M500" s="3" t="s">
        <v>1753</v>
      </c>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5.75" customHeight="1" x14ac:dyDescent="0.35">
      <c r="A501" s="3"/>
      <c r="B501" s="3"/>
      <c r="C501" s="3" t="s">
        <v>1344</v>
      </c>
      <c r="D501" s="3"/>
      <c r="E501" s="3"/>
      <c r="F501" s="3"/>
      <c r="G501" s="3" t="s">
        <v>2863</v>
      </c>
      <c r="H501" s="3" t="s">
        <v>2864</v>
      </c>
      <c r="I501" s="3" t="s">
        <v>2863</v>
      </c>
      <c r="J501" s="3" t="s">
        <v>1357</v>
      </c>
      <c r="K501" s="3" t="s">
        <v>1357</v>
      </c>
      <c r="L501" s="3" t="s">
        <v>1357</v>
      </c>
      <c r="M501" s="3" t="s">
        <v>1753</v>
      </c>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5.75" customHeight="1" x14ac:dyDescent="0.35">
      <c r="A502" s="3"/>
      <c r="B502" s="3"/>
      <c r="C502" s="3" t="s">
        <v>1358</v>
      </c>
      <c r="D502" s="3"/>
      <c r="E502" s="3"/>
      <c r="F502" s="3"/>
      <c r="G502" s="3" t="s">
        <v>2865</v>
      </c>
      <c r="H502" s="3" t="s">
        <v>2866</v>
      </c>
      <c r="I502" s="3" t="s">
        <v>2865</v>
      </c>
      <c r="J502" s="3" t="s">
        <v>1359</v>
      </c>
      <c r="K502" s="3" t="s">
        <v>1359</v>
      </c>
      <c r="L502" s="3" t="s">
        <v>1359</v>
      </c>
      <c r="M502" s="3" t="s">
        <v>1753</v>
      </c>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5.75" customHeight="1" x14ac:dyDescent="0.35">
      <c r="A503" s="3"/>
      <c r="B503" s="3"/>
      <c r="C503" s="3" t="s">
        <v>1361</v>
      </c>
      <c r="D503" s="3"/>
      <c r="E503" s="3"/>
      <c r="F503" s="3"/>
      <c r="G503" s="3" t="s">
        <v>2867</v>
      </c>
      <c r="H503" s="3" t="s">
        <v>2868</v>
      </c>
      <c r="I503" s="3" t="s">
        <v>2867</v>
      </c>
      <c r="J503" s="3" t="s">
        <v>1362</v>
      </c>
      <c r="K503" s="3" t="s">
        <v>2869</v>
      </c>
      <c r="L503" s="3" t="s">
        <v>2870</v>
      </c>
      <c r="M503" s="3" t="s">
        <v>1753</v>
      </c>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5.75" customHeight="1" x14ac:dyDescent="0.35">
      <c r="A504" s="3"/>
      <c r="B504" s="3" t="s">
        <v>105</v>
      </c>
      <c r="C504" s="3" t="s">
        <v>25</v>
      </c>
      <c r="D504" s="3"/>
      <c r="E504" s="3"/>
      <c r="F504" s="3"/>
      <c r="G504" s="3" t="s">
        <v>2871</v>
      </c>
      <c r="H504" s="3" t="s">
        <v>2872</v>
      </c>
      <c r="I504" s="3" t="s">
        <v>2871</v>
      </c>
      <c r="J504" s="3" t="s">
        <v>1366</v>
      </c>
      <c r="K504" s="3" t="s">
        <v>1366</v>
      </c>
      <c r="L504" s="3" t="s">
        <v>1366</v>
      </c>
      <c r="M504" s="3" t="s">
        <v>1753</v>
      </c>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5.75" customHeight="1" x14ac:dyDescent="0.35">
      <c r="A505" s="3"/>
      <c r="B505" s="3"/>
      <c r="C505" s="3" t="s">
        <v>29</v>
      </c>
      <c r="D505" s="3"/>
      <c r="E505" s="3"/>
      <c r="F505" s="3"/>
      <c r="G505" s="3" t="s">
        <v>2873</v>
      </c>
      <c r="H505" s="3" t="s">
        <v>2873</v>
      </c>
      <c r="I505" s="3" t="s">
        <v>2874</v>
      </c>
      <c r="J505" s="3" t="s">
        <v>1367</v>
      </c>
      <c r="K505" s="3" t="s">
        <v>1367</v>
      </c>
      <c r="L505" s="3" t="s">
        <v>1367</v>
      </c>
      <c r="M505" s="3" t="s">
        <v>1753</v>
      </c>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5.75" customHeight="1" x14ac:dyDescent="0.35">
      <c r="A506" s="3"/>
      <c r="B506" s="3" t="s">
        <v>1368</v>
      </c>
      <c r="C506" s="3"/>
      <c r="D506" s="3"/>
      <c r="E506" s="3"/>
      <c r="F506" s="3"/>
      <c r="G506" s="10"/>
      <c r="H506" s="10"/>
      <c r="I506" s="10"/>
      <c r="J506" s="3"/>
      <c r="K506" s="3"/>
      <c r="L506" s="3"/>
      <c r="M506" s="3" t="s">
        <v>1753</v>
      </c>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5.75" customHeight="1" x14ac:dyDescent="0.35">
      <c r="A507" s="3"/>
      <c r="B507" s="3" t="s">
        <v>108</v>
      </c>
      <c r="C507" s="2" t="s">
        <v>109</v>
      </c>
      <c r="D507" s="3"/>
      <c r="E507" s="3"/>
      <c r="F507" s="3"/>
      <c r="G507" s="3" t="s">
        <v>2875</v>
      </c>
      <c r="H507" s="3" t="s">
        <v>2875</v>
      </c>
      <c r="I507" s="3" t="s">
        <v>2875</v>
      </c>
      <c r="J507" s="3" t="s">
        <v>1369</v>
      </c>
      <c r="K507" s="3" t="s">
        <v>1369</v>
      </c>
      <c r="L507" s="3" t="s">
        <v>1369</v>
      </c>
      <c r="M507" s="3" t="s">
        <v>1753</v>
      </c>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5.75" customHeight="1" x14ac:dyDescent="0.35">
      <c r="A508" s="3"/>
      <c r="B508" s="3"/>
      <c r="C508" s="2" t="s">
        <v>237</v>
      </c>
      <c r="D508" s="3"/>
      <c r="E508" s="3"/>
      <c r="F508" s="3"/>
      <c r="G508" s="3" t="s">
        <v>2876</v>
      </c>
      <c r="H508" s="3" t="s">
        <v>2877</v>
      </c>
      <c r="I508" s="3" t="s">
        <v>2877</v>
      </c>
      <c r="J508" s="3" t="s">
        <v>1371</v>
      </c>
      <c r="K508" s="3" t="s">
        <v>1371</v>
      </c>
      <c r="L508" s="3" t="s">
        <v>1371</v>
      </c>
      <c r="M508" s="3" t="s">
        <v>1753</v>
      </c>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5.75" customHeight="1" x14ac:dyDescent="0.35">
      <c r="A509" s="3"/>
      <c r="B509" s="5" t="s">
        <v>1374</v>
      </c>
      <c r="C509" s="5" t="s">
        <v>131</v>
      </c>
      <c r="D509" s="3"/>
      <c r="E509" s="3"/>
      <c r="F509" s="3"/>
      <c r="G509" s="3"/>
      <c r="H509" s="3"/>
      <c r="I509" s="3"/>
      <c r="J509" s="3"/>
      <c r="K509" s="3"/>
      <c r="L509" s="3"/>
      <c r="M509" s="3" t="s">
        <v>1753</v>
      </c>
      <c r="N509" s="3"/>
      <c r="O509" s="3"/>
      <c r="P509" s="3"/>
      <c r="Q509" s="3"/>
      <c r="R509" s="3"/>
      <c r="S509" s="3"/>
      <c r="T509" s="3">
        <f t="shared" ref="T509:T511" si="0">IF(COUNTA(O509:S509)=0, ,AND(AND(O509,P509,Q509,R509),S509))</f>
        <v>0</v>
      </c>
      <c r="U509" s="3"/>
      <c r="V509" s="3"/>
      <c r="W509" s="3"/>
      <c r="X509" s="3"/>
      <c r="Y509" s="3"/>
      <c r="Z509" s="3"/>
      <c r="AA509" s="3"/>
      <c r="AB509" s="3"/>
      <c r="AC509" s="3"/>
      <c r="AD509" s="3"/>
      <c r="AE509" s="3"/>
      <c r="AF509" s="3"/>
      <c r="AG509" s="3"/>
      <c r="AH509" s="3"/>
      <c r="AI509" s="3"/>
      <c r="AJ509" s="3"/>
      <c r="AK509" s="3"/>
      <c r="AL509" s="3"/>
    </row>
    <row r="510" spans="1:38" ht="15.75" customHeight="1" x14ac:dyDescent="0.35">
      <c r="A510" s="3"/>
      <c r="B510" s="5" t="s">
        <v>1375</v>
      </c>
      <c r="C510" s="5" t="s">
        <v>131</v>
      </c>
      <c r="D510" s="3"/>
      <c r="E510" s="3"/>
      <c r="F510" s="3"/>
      <c r="G510" s="3"/>
      <c r="H510" s="3"/>
      <c r="I510" s="3"/>
      <c r="J510" s="3"/>
      <c r="K510" s="3"/>
      <c r="L510" s="3"/>
      <c r="M510" s="3" t="s">
        <v>1753</v>
      </c>
      <c r="N510" s="3"/>
      <c r="O510" s="3"/>
      <c r="P510" s="3"/>
      <c r="Q510" s="3"/>
      <c r="R510" s="3"/>
      <c r="S510" s="3"/>
      <c r="T510" s="3">
        <f t="shared" si="0"/>
        <v>0</v>
      </c>
      <c r="U510" s="3"/>
      <c r="V510" s="3"/>
      <c r="W510" s="3"/>
      <c r="X510" s="3"/>
      <c r="Y510" s="3"/>
      <c r="Z510" s="3"/>
      <c r="AA510" s="3"/>
      <c r="AB510" s="3"/>
      <c r="AC510" s="3"/>
      <c r="AD510" s="3"/>
      <c r="AE510" s="3"/>
      <c r="AF510" s="3"/>
      <c r="AG510" s="3"/>
      <c r="AH510" s="3"/>
      <c r="AI510" s="3"/>
      <c r="AJ510" s="3"/>
      <c r="AK510" s="3"/>
      <c r="AL510" s="3"/>
    </row>
    <row r="511" spans="1:38" ht="15.75" customHeight="1" x14ac:dyDescent="0.35">
      <c r="A511" s="3"/>
      <c r="B511" s="5" t="s">
        <v>1376</v>
      </c>
      <c r="C511" s="5" t="s">
        <v>131</v>
      </c>
      <c r="D511" s="3"/>
      <c r="E511" s="3"/>
      <c r="F511" s="3"/>
      <c r="G511" s="3"/>
      <c r="H511" s="3"/>
      <c r="I511" s="3"/>
      <c r="J511" s="3"/>
      <c r="K511" s="3"/>
      <c r="L511" s="3"/>
      <c r="M511" s="3" t="s">
        <v>1753</v>
      </c>
      <c r="N511" s="3"/>
      <c r="O511" s="3"/>
      <c r="P511" s="3"/>
      <c r="Q511" s="3"/>
      <c r="R511" s="3"/>
      <c r="S511" s="3"/>
      <c r="T511" s="3">
        <f t="shared" si="0"/>
        <v>0</v>
      </c>
      <c r="U511" s="3"/>
      <c r="V511" s="3"/>
      <c r="W511" s="3"/>
      <c r="X511" s="3"/>
      <c r="Y511" s="3"/>
      <c r="Z511" s="3"/>
      <c r="AA511" s="3"/>
      <c r="AB511" s="3"/>
      <c r="AC511" s="3"/>
      <c r="AD511" s="3"/>
      <c r="AE511" s="3"/>
      <c r="AF511" s="3"/>
      <c r="AG511" s="3"/>
      <c r="AH511" s="3"/>
      <c r="AI511" s="3"/>
      <c r="AJ511" s="3"/>
      <c r="AK511" s="3"/>
      <c r="AL511" s="3"/>
    </row>
    <row r="512" spans="1:38" ht="15.75" customHeight="1" x14ac:dyDescent="0.35">
      <c r="A512" s="3"/>
      <c r="B512" s="3"/>
      <c r="C512" s="3"/>
      <c r="D512" s="3"/>
      <c r="E512" s="3"/>
      <c r="F512" s="3"/>
      <c r="G512" s="3"/>
      <c r="H512" s="3"/>
      <c r="I512" s="3"/>
      <c r="J512" s="3"/>
      <c r="K512" s="3"/>
      <c r="L512" s="3"/>
      <c r="M512" s="3"/>
      <c r="N512" s="3"/>
      <c r="O512" s="3"/>
      <c r="P512" s="3"/>
      <c r="Q512" s="3"/>
      <c r="R512" s="3"/>
      <c r="S512" s="3"/>
      <c r="U512" s="3"/>
      <c r="V512" s="3"/>
      <c r="W512" s="3"/>
      <c r="X512" s="3"/>
      <c r="Y512" s="3"/>
      <c r="Z512" s="3"/>
      <c r="AA512" s="3"/>
      <c r="AB512" s="3"/>
      <c r="AC512" s="3"/>
      <c r="AD512" s="3"/>
      <c r="AE512" s="3"/>
      <c r="AF512" s="3"/>
      <c r="AG512" s="3"/>
      <c r="AH512" s="3"/>
      <c r="AI512" s="3"/>
      <c r="AJ512" s="3"/>
      <c r="AK512" s="3"/>
      <c r="AL512" s="3"/>
    </row>
    <row r="513" spans="8:38" ht="15.75" customHeight="1" x14ac:dyDescent="0.35">
      <c r="H513" s="3"/>
      <c r="I513" s="3"/>
      <c r="J513" s="3"/>
      <c r="K513" s="3"/>
      <c r="L513" s="3"/>
      <c r="M513" s="3"/>
      <c r="N513" s="3"/>
      <c r="O513" s="3"/>
      <c r="P513" s="3"/>
      <c r="Q513" s="3"/>
      <c r="R513" s="3"/>
      <c r="S513" s="3"/>
      <c r="U513" s="3"/>
      <c r="V513" s="3"/>
      <c r="W513" s="3"/>
      <c r="X513" s="3"/>
      <c r="Y513" s="3"/>
      <c r="Z513" s="3"/>
      <c r="AA513" s="3"/>
      <c r="AB513" s="3"/>
      <c r="AC513" s="3"/>
      <c r="AD513" s="3"/>
      <c r="AE513" s="3"/>
      <c r="AF513" s="3"/>
      <c r="AG513" s="3"/>
      <c r="AH513" s="3"/>
      <c r="AI513" s="3"/>
      <c r="AJ513" s="3"/>
      <c r="AK513" s="3"/>
      <c r="AL513" s="3"/>
    </row>
    <row r="514" spans="8:38" ht="15.75" customHeight="1" x14ac:dyDescent="0.35">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8:38" ht="15.75" customHeight="1" x14ac:dyDescent="0.35">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8:38" ht="15.75" customHeight="1" x14ac:dyDescent="0.35">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8:38" ht="15.75" customHeight="1" x14ac:dyDescent="0.35">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8:38" ht="15.75" customHeight="1" x14ac:dyDescent="0.35">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8:38" ht="15.75" customHeight="1" x14ac:dyDescent="0.35">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8:38" ht="15.75" customHeight="1" x14ac:dyDescent="0.35">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8:38" ht="15.75" customHeight="1" x14ac:dyDescent="0.35">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8:38" ht="15.75" customHeight="1" x14ac:dyDescent="0.35">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8:38" ht="15.75" customHeight="1" x14ac:dyDescent="0.35">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8:38" ht="15.75" customHeight="1" x14ac:dyDescent="0.35">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8:38" ht="15.75" customHeight="1" x14ac:dyDescent="0.35">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8:38" ht="15.75" customHeight="1" x14ac:dyDescent="0.35">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8:38" ht="15.75" customHeight="1" x14ac:dyDescent="0.35">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8:38" ht="15.75" customHeight="1" x14ac:dyDescent="0.35">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5.75" customHeight="1" x14ac:dyDescent="0.35">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5.75" customHeight="1" x14ac:dyDescent="0.35">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5.75" customHeight="1" x14ac:dyDescent="0.35">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5.75" customHeight="1" x14ac:dyDescent="0.35">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5.75" customHeight="1" x14ac:dyDescent="0.35">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spans="1:38" ht="15.75" customHeight="1" x14ac:dyDescent="0.3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row r="1002" spans="1:38" ht="15.75" customHeight="1" x14ac:dyDescent="0.35">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row>
    <row r="1003" spans="1:38" ht="15.75" customHeight="1" x14ac:dyDescent="0.35">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row>
    <row r="1004" spans="1:38" ht="15.75" customHeight="1" x14ac:dyDescent="0.35">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row>
    <row r="1005" spans="1:38" ht="15.75" customHeight="1" x14ac:dyDescent="0.3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row>
    <row r="1006" spans="1:38" ht="15.75" customHeight="1" x14ac:dyDescent="0.35">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row>
    <row r="1007" spans="1:38" ht="15.75" customHeight="1" x14ac:dyDescent="0.35">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row>
    <row r="1008" spans="1:38" ht="15.75" customHeight="1" x14ac:dyDescent="0.35">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row>
    <row r="1009" spans="1:38" ht="15.75" customHeight="1" x14ac:dyDescent="0.35">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row>
    <row r="1010" spans="1:38" ht="15.75" customHeight="1" x14ac:dyDescent="0.35">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row>
    <row r="1011" spans="1:38" ht="15.75" customHeight="1" x14ac:dyDescent="0.35">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row>
    <row r="1012" spans="1:38" ht="15.75" customHeight="1" x14ac:dyDescent="0.35">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row>
    <row r="1013" spans="1:38" ht="15.75" customHeight="1" x14ac:dyDescent="0.35">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row>
    <row r="1014" spans="1:38" ht="15.75" customHeight="1" x14ac:dyDescent="0.35">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row>
    <row r="1015" spans="1:38" ht="15.75" customHeight="1" x14ac:dyDescent="0.3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row>
    <row r="1016" spans="1:38" ht="15.75" customHeight="1" x14ac:dyDescent="0.35">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row>
    <row r="1017" spans="1:38" ht="15.75" customHeight="1" x14ac:dyDescent="0.35">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row>
    <row r="1018" spans="1:38" ht="15.75" customHeight="1" x14ac:dyDescent="0.35">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row>
    <row r="1019" spans="1:38" ht="15.75" customHeight="1" x14ac:dyDescent="0.35">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row>
    <row r="1020" spans="1:38" ht="15.75" customHeight="1" x14ac:dyDescent="0.35">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row>
    <row r="1021" spans="1:38" ht="15.75" customHeight="1" x14ac:dyDescent="0.35">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row>
    <row r="1022" spans="1:38" ht="15.75" customHeight="1" x14ac:dyDescent="0.35">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row>
    <row r="1023" spans="1:38" ht="15.75" customHeight="1" x14ac:dyDescent="0.35">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row>
    <row r="1024" spans="1:38" ht="15.75" customHeight="1" x14ac:dyDescent="0.35">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row>
    <row r="1025" spans="1:38" ht="15.75" customHeight="1" x14ac:dyDescent="0.3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row>
    <row r="1026" spans="1:38" ht="15.75" customHeight="1" x14ac:dyDescent="0.35">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row>
    <row r="1027" spans="1:38" ht="15.75" customHeight="1" x14ac:dyDescent="0.35">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row>
    <row r="1028" spans="1:38" ht="15.75" customHeight="1" x14ac:dyDescent="0.35">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row>
    <row r="1029" spans="1:38" ht="15.75" customHeight="1" x14ac:dyDescent="0.35">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row>
    <row r="1030" spans="1:38" ht="15.75" customHeight="1" x14ac:dyDescent="0.35">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row>
    <row r="1031" spans="1:38" ht="15.75" customHeight="1" x14ac:dyDescent="0.35">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row>
    <row r="1032" spans="1:38" ht="15.75" customHeight="1" x14ac:dyDescent="0.35">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row>
    <row r="1033" spans="1:38" ht="15.75" customHeight="1" x14ac:dyDescent="0.35">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row>
    <row r="1034" spans="1:38" ht="15.75" customHeight="1" x14ac:dyDescent="0.35">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row>
    <row r="1035" spans="1:38" ht="15.75" customHeight="1" x14ac:dyDescent="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workbookViewId="0">
      <pane xSplit="3" topLeftCell="D1" activePane="topRight" state="frozen"/>
      <selection pane="topRight" activeCell="E2" sqref="E2"/>
    </sheetView>
  </sheetViews>
  <sheetFormatPr defaultColWidth="11.25" defaultRowHeight="15" customHeight="1" x14ac:dyDescent="0.35"/>
  <cols>
    <col min="1" max="1" width="36.58203125" customWidth="1"/>
    <col min="2" max="2" width="25.08203125" customWidth="1"/>
    <col min="3" max="3" width="41" customWidth="1"/>
    <col min="4" max="4" width="49.9140625" customWidth="1"/>
    <col min="5" max="5" width="26.33203125" customWidth="1"/>
    <col min="6" max="6" width="10.75" customWidth="1"/>
    <col min="7" max="7" width="56.9140625" customWidth="1"/>
    <col min="8" max="8" width="56.33203125" customWidth="1"/>
    <col min="9" max="9" width="57" customWidth="1"/>
    <col min="10" max="10" width="75.25" customWidth="1"/>
    <col min="11" max="11" width="65.33203125" customWidth="1"/>
    <col min="12" max="12" width="63" customWidth="1"/>
    <col min="13" max="13" width="10.58203125" customWidth="1"/>
    <col min="14" max="14" width="37.75" customWidth="1"/>
    <col min="15" max="19" width="10.58203125" customWidth="1"/>
    <col min="20" max="20" width="35.08203125" customWidth="1"/>
    <col min="21" max="25" width="10.58203125" customWidth="1"/>
    <col min="26" max="26" width="31.25" customWidth="1"/>
    <col min="27" max="31" width="10.58203125" customWidth="1"/>
  </cols>
  <sheetData>
    <row r="1" spans="1:31" ht="15.75" customHeight="1" x14ac:dyDescent="0.35">
      <c r="A1" s="11" t="s">
        <v>0</v>
      </c>
      <c r="B1" s="11" t="s">
        <v>1</v>
      </c>
      <c r="C1" s="11" t="s">
        <v>2</v>
      </c>
      <c r="D1" s="11" t="s">
        <v>3</v>
      </c>
      <c r="E1" s="11" t="s">
        <v>4</v>
      </c>
      <c r="G1" s="4" t="s">
        <v>1750</v>
      </c>
      <c r="I1" s="3"/>
      <c r="J1" s="3" t="s">
        <v>1751</v>
      </c>
      <c r="M1" t="s">
        <v>1752</v>
      </c>
      <c r="N1" s="3"/>
      <c r="O1" s="3"/>
      <c r="P1" s="3"/>
      <c r="Q1" s="3"/>
      <c r="R1" s="3"/>
      <c r="S1" s="3"/>
      <c r="T1" s="3"/>
      <c r="U1" s="3"/>
      <c r="V1" s="3"/>
      <c r="W1" s="3"/>
      <c r="X1" s="3"/>
      <c r="Y1" s="3"/>
      <c r="Z1" s="3"/>
      <c r="AA1" s="3"/>
      <c r="AB1" s="3"/>
      <c r="AC1" s="3"/>
      <c r="AD1" s="3"/>
      <c r="AE1" s="3"/>
    </row>
    <row r="2" spans="1:31" ht="15.75" customHeight="1" x14ac:dyDescent="0.35">
      <c r="A2" t="s">
        <v>1377</v>
      </c>
      <c r="B2" t="s">
        <v>1378</v>
      </c>
      <c r="C2" t="s">
        <v>1379</v>
      </c>
      <c r="D2" t="s">
        <v>1380</v>
      </c>
      <c r="E2" t="s">
        <v>1381</v>
      </c>
      <c r="G2" t="s">
        <v>2878</v>
      </c>
      <c r="H2" t="s">
        <v>2878</v>
      </c>
      <c r="I2" t="s">
        <v>2879</v>
      </c>
      <c r="J2" t="s">
        <v>1382</v>
      </c>
      <c r="K2" t="s">
        <v>1382</v>
      </c>
      <c r="L2" t="s">
        <v>1382</v>
      </c>
      <c r="M2" t="s">
        <v>1753</v>
      </c>
    </row>
    <row r="3" spans="1:31" ht="15.75" customHeight="1" x14ac:dyDescent="0.35">
      <c r="C3" t="s">
        <v>1386</v>
      </c>
      <c r="G3" t="s">
        <v>2880</v>
      </c>
      <c r="H3" t="s">
        <v>2880</v>
      </c>
      <c r="I3" t="s">
        <v>2880</v>
      </c>
      <c r="J3" t="s">
        <v>1387</v>
      </c>
      <c r="K3" t="s">
        <v>1387</v>
      </c>
      <c r="L3" t="s">
        <v>2881</v>
      </c>
      <c r="M3" t="s">
        <v>1753</v>
      </c>
    </row>
    <row r="4" spans="1:31" ht="15.75" customHeight="1" x14ac:dyDescent="0.35">
      <c r="B4" t="s">
        <v>636</v>
      </c>
      <c r="C4" t="s">
        <v>1635</v>
      </c>
      <c r="G4" t="s">
        <v>2346</v>
      </c>
      <c r="H4" t="s">
        <v>2346</v>
      </c>
      <c r="I4" t="s">
        <v>2346</v>
      </c>
      <c r="J4" t="s">
        <v>1723</v>
      </c>
      <c r="K4" t="s">
        <v>1723</v>
      </c>
      <c r="L4" t="s">
        <v>1723</v>
      </c>
      <c r="M4" t="s">
        <v>1753</v>
      </c>
    </row>
    <row r="5" spans="1:31" ht="15.75" customHeight="1" x14ac:dyDescent="0.35">
      <c r="B5" t="s">
        <v>254</v>
      </c>
      <c r="C5" t="s">
        <v>2347</v>
      </c>
      <c r="D5" t="s">
        <v>1687</v>
      </c>
      <c r="E5" t="s">
        <v>639</v>
      </c>
      <c r="G5" t="s">
        <v>2882</v>
      </c>
      <c r="H5" t="s">
        <v>2883</v>
      </c>
      <c r="I5" t="s">
        <v>2884</v>
      </c>
      <c r="J5" t="s">
        <v>2885</v>
      </c>
      <c r="K5" t="s">
        <v>2886</v>
      </c>
      <c r="L5" t="s">
        <v>2885</v>
      </c>
      <c r="M5" t="s">
        <v>1753</v>
      </c>
    </row>
    <row r="6" spans="1:31" ht="15.75" customHeight="1" x14ac:dyDescent="0.35">
      <c r="B6" t="s">
        <v>264</v>
      </c>
      <c r="C6" t="s">
        <v>2347</v>
      </c>
      <c r="D6" t="s">
        <v>638</v>
      </c>
      <c r="E6" t="s">
        <v>639</v>
      </c>
      <c r="G6" t="s">
        <v>2887</v>
      </c>
      <c r="H6" t="s">
        <v>2888</v>
      </c>
      <c r="I6" t="s">
        <v>2887</v>
      </c>
      <c r="J6" t="s">
        <v>2885</v>
      </c>
      <c r="K6" t="s">
        <v>2885</v>
      </c>
      <c r="L6" t="s">
        <v>2889</v>
      </c>
      <c r="M6" t="s">
        <v>1753</v>
      </c>
    </row>
    <row r="7" spans="1:31" ht="15.75" customHeight="1" x14ac:dyDescent="0.35">
      <c r="B7" t="s">
        <v>644</v>
      </c>
      <c r="C7" t="s">
        <v>61</v>
      </c>
      <c r="G7" t="s">
        <v>2890</v>
      </c>
      <c r="H7" t="s">
        <v>2890</v>
      </c>
      <c r="I7" t="s">
        <v>2890</v>
      </c>
      <c r="J7" t="s">
        <v>646</v>
      </c>
      <c r="K7" t="s">
        <v>646</v>
      </c>
      <c r="L7" t="s">
        <v>2891</v>
      </c>
      <c r="M7" t="s">
        <v>1753</v>
      </c>
    </row>
    <row r="8" spans="1:31" ht="15.75" customHeight="1" x14ac:dyDescent="0.35">
      <c r="C8" t="s">
        <v>648</v>
      </c>
      <c r="G8" t="s">
        <v>2892</v>
      </c>
      <c r="H8" t="s">
        <v>2893</v>
      </c>
      <c r="I8" t="s">
        <v>2894</v>
      </c>
      <c r="J8" t="s">
        <v>1395</v>
      </c>
      <c r="K8" t="s">
        <v>2895</v>
      </c>
      <c r="L8" t="s">
        <v>1395</v>
      </c>
      <c r="M8" t="s">
        <v>1753</v>
      </c>
    </row>
    <row r="9" spans="1:31" ht="15.75" customHeight="1" x14ac:dyDescent="0.35">
      <c r="M9" t="s">
        <v>1753</v>
      </c>
    </row>
    <row r="10" spans="1:31" ht="15.75" customHeight="1" x14ac:dyDescent="0.35">
      <c r="A10" s="6" t="s">
        <v>2896</v>
      </c>
      <c r="B10" s="6" t="s">
        <v>2897</v>
      </c>
      <c r="C10" s="6"/>
      <c r="D10" s="6" t="s">
        <v>2898</v>
      </c>
      <c r="E10" s="6" t="s">
        <v>2899</v>
      </c>
      <c r="M10" t="s">
        <v>1753</v>
      </c>
    </row>
    <row r="11" spans="1:31" ht="15.75" customHeight="1" x14ac:dyDescent="0.35">
      <c r="B11" s="6"/>
      <c r="C11" s="6"/>
      <c r="D11" s="6" t="s">
        <v>2900</v>
      </c>
      <c r="E11" s="6" t="s">
        <v>2901</v>
      </c>
      <c r="M11" t="s">
        <v>1753</v>
      </c>
    </row>
    <row r="12" spans="1:31" ht="15.75" customHeight="1" x14ac:dyDescent="0.35">
      <c r="B12" s="6" t="s">
        <v>2902</v>
      </c>
      <c r="C12" s="6"/>
      <c r="D12" s="6" t="s">
        <v>2898</v>
      </c>
      <c r="E12" s="6" t="s">
        <v>2899</v>
      </c>
      <c r="M12" t="s">
        <v>1753</v>
      </c>
    </row>
    <row r="13" spans="1:31" ht="15.75" customHeight="1" x14ac:dyDescent="0.35">
      <c r="B13" s="6"/>
      <c r="C13" s="6"/>
      <c r="D13" s="6" t="s">
        <v>2903</v>
      </c>
      <c r="E13" s="6" t="s">
        <v>2904</v>
      </c>
      <c r="M13" t="s">
        <v>1753</v>
      </c>
    </row>
    <row r="14" spans="1:31" ht="15.75" customHeight="1" x14ac:dyDescent="0.35">
      <c r="B14" s="6" t="s">
        <v>2905</v>
      </c>
      <c r="C14" s="6"/>
      <c r="D14" s="6" t="s">
        <v>2898</v>
      </c>
      <c r="E14" s="6" t="s">
        <v>2899</v>
      </c>
      <c r="M14" t="s">
        <v>1753</v>
      </c>
    </row>
    <row r="15" spans="1:31" ht="15.75" customHeight="1" x14ac:dyDescent="0.35">
      <c r="B15" s="6"/>
      <c r="C15" s="6"/>
      <c r="D15" s="6" t="s">
        <v>2906</v>
      </c>
      <c r="E15" s="6" t="s">
        <v>2907</v>
      </c>
      <c r="M15" t="s">
        <v>1753</v>
      </c>
    </row>
    <row r="16" spans="1:31" ht="15.75" customHeight="1" x14ac:dyDescent="0.35">
      <c r="B16" s="6" t="s">
        <v>2908</v>
      </c>
      <c r="C16" s="6"/>
      <c r="D16" s="6" t="s">
        <v>2898</v>
      </c>
      <c r="E16" s="6" t="s">
        <v>2899</v>
      </c>
      <c r="M16" t="s">
        <v>1753</v>
      </c>
    </row>
    <row r="17" spans="2:13" ht="15.75" customHeight="1" x14ac:dyDescent="0.35">
      <c r="B17" s="6"/>
      <c r="C17" s="6"/>
      <c r="D17" s="6" t="s">
        <v>2909</v>
      </c>
      <c r="E17" s="6" t="s">
        <v>2910</v>
      </c>
      <c r="M17" t="s">
        <v>1753</v>
      </c>
    </row>
    <row r="18" spans="2:13" ht="15.75" customHeight="1" x14ac:dyDescent="0.35">
      <c r="B18" s="6" t="s">
        <v>2911</v>
      </c>
      <c r="C18" s="6"/>
      <c r="D18" s="6" t="s">
        <v>2898</v>
      </c>
      <c r="E18" s="6" t="s">
        <v>2899</v>
      </c>
      <c r="M18" t="s">
        <v>1753</v>
      </c>
    </row>
    <row r="19" spans="2:13" ht="15.75" customHeight="1" x14ac:dyDescent="0.35">
      <c r="B19" s="6" t="s">
        <v>2912</v>
      </c>
      <c r="C19" s="6"/>
      <c r="D19" s="6" t="s">
        <v>1405</v>
      </c>
      <c r="E19" s="6" t="s">
        <v>1406</v>
      </c>
      <c r="M19" t="s">
        <v>1753</v>
      </c>
    </row>
    <row r="20" spans="2:13" ht="15.75" customHeight="1" x14ac:dyDescent="0.35">
      <c r="B20" s="6" t="s">
        <v>2913</v>
      </c>
      <c r="C20" s="6" t="s">
        <v>131</v>
      </c>
      <c r="D20" s="6" t="s">
        <v>208</v>
      </c>
      <c r="E20" s="6" t="s">
        <v>209</v>
      </c>
      <c r="M20" t="s">
        <v>1753</v>
      </c>
    </row>
    <row r="21" spans="2:13" ht="15.75" customHeight="1" x14ac:dyDescent="0.35">
      <c r="B21" s="6"/>
      <c r="C21" s="6"/>
      <c r="D21" s="6" t="s">
        <v>2914</v>
      </c>
      <c r="E21" s="6" t="s">
        <v>2915</v>
      </c>
      <c r="M21" t="s">
        <v>1753</v>
      </c>
    </row>
    <row r="22" spans="2:13" ht="15.75" customHeight="1" x14ac:dyDescent="0.35">
      <c r="B22" s="6" t="s">
        <v>2916</v>
      </c>
      <c r="C22" s="6" t="s">
        <v>131</v>
      </c>
      <c r="D22" s="6" t="s">
        <v>208</v>
      </c>
      <c r="E22" s="6" t="s">
        <v>209</v>
      </c>
      <c r="M22" t="s">
        <v>1753</v>
      </c>
    </row>
    <row r="23" spans="2:13" ht="15.75" customHeight="1" x14ac:dyDescent="0.35">
      <c r="B23" s="6"/>
      <c r="C23" s="6"/>
      <c r="D23" s="6" t="s">
        <v>2914</v>
      </c>
      <c r="E23" s="6" t="s">
        <v>2915</v>
      </c>
      <c r="M23" t="s">
        <v>1753</v>
      </c>
    </row>
    <row r="24" spans="2:13" ht="15.75" customHeight="1" x14ac:dyDescent="0.35">
      <c r="B24" s="6" t="s">
        <v>2917</v>
      </c>
      <c r="C24" s="6" t="s">
        <v>131</v>
      </c>
      <c r="D24" s="6" t="s">
        <v>208</v>
      </c>
      <c r="E24" s="6" t="s">
        <v>209</v>
      </c>
      <c r="M24" t="s">
        <v>1753</v>
      </c>
    </row>
    <row r="25" spans="2:13" ht="15.75" customHeight="1" x14ac:dyDescent="0.35">
      <c r="B25" s="6"/>
      <c r="C25" s="6"/>
      <c r="D25" s="6" t="s">
        <v>2914</v>
      </c>
      <c r="E25" s="6" t="s">
        <v>2915</v>
      </c>
      <c r="M25" t="s">
        <v>1753</v>
      </c>
    </row>
    <row r="26" spans="2:13" ht="15.75" customHeight="1" x14ac:dyDescent="0.35">
      <c r="B26" s="6"/>
      <c r="C26" s="6"/>
      <c r="D26" s="6" t="s">
        <v>34</v>
      </c>
      <c r="E26" s="6" t="s">
        <v>35</v>
      </c>
      <c r="M26" t="s">
        <v>1753</v>
      </c>
    </row>
    <row r="27" spans="2:13" ht="15.75" customHeight="1" x14ac:dyDescent="0.35">
      <c r="B27" s="6" t="s">
        <v>2918</v>
      </c>
      <c r="C27" s="6" t="s">
        <v>131</v>
      </c>
      <c r="D27" s="6" t="s">
        <v>208</v>
      </c>
      <c r="E27" s="6" t="s">
        <v>209</v>
      </c>
      <c r="M27" t="s">
        <v>1753</v>
      </c>
    </row>
    <row r="28" spans="2:13" ht="15.75" customHeight="1" x14ac:dyDescent="0.35">
      <c r="B28" s="6"/>
      <c r="C28" s="6"/>
      <c r="D28" s="6" t="s">
        <v>2914</v>
      </c>
      <c r="E28" s="6" t="s">
        <v>2915</v>
      </c>
      <c r="M28" t="s">
        <v>1753</v>
      </c>
    </row>
    <row r="29" spans="2:13" ht="15.75" customHeight="1" x14ac:dyDescent="0.35">
      <c r="B29" s="6"/>
      <c r="C29" s="6"/>
      <c r="D29" s="6" t="s">
        <v>34</v>
      </c>
      <c r="E29" s="6" t="s">
        <v>35</v>
      </c>
      <c r="M29" t="s">
        <v>1753</v>
      </c>
    </row>
    <row r="30" spans="2:13" ht="15.75" customHeight="1" x14ac:dyDescent="0.35">
      <c r="B30" s="6" t="s">
        <v>2919</v>
      </c>
      <c r="C30" s="6" t="s">
        <v>131</v>
      </c>
      <c r="D30" s="6" t="s">
        <v>2920</v>
      </c>
      <c r="E30" s="6" t="s">
        <v>2921</v>
      </c>
      <c r="M30" t="s">
        <v>1753</v>
      </c>
    </row>
    <row r="31" spans="2:13" ht="15.75" customHeight="1" x14ac:dyDescent="0.35">
      <c r="B31" s="6" t="s">
        <v>2922</v>
      </c>
      <c r="C31" s="6" t="s">
        <v>131</v>
      </c>
      <c r="D31" s="6" t="s">
        <v>2923</v>
      </c>
      <c r="E31" s="6" t="s">
        <v>2924</v>
      </c>
      <c r="M31" t="s">
        <v>1753</v>
      </c>
    </row>
    <row r="32" spans="2:13" ht="15.75" customHeight="1" x14ac:dyDescent="0.35">
      <c r="B32" s="6" t="s">
        <v>2925</v>
      </c>
      <c r="C32" s="6" t="s">
        <v>131</v>
      </c>
      <c r="D32" s="6" t="s">
        <v>2920</v>
      </c>
      <c r="E32" s="6" t="s">
        <v>2921</v>
      </c>
      <c r="M32" t="s">
        <v>1753</v>
      </c>
    </row>
    <row r="33" spans="2:13" ht="15.75" customHeight="1" x14ac:dyDescent="0.35">
      <c r="B33" s="6" t="s">
        <v>2926</v>
      </c>
      <c r="C33" s="6"/>
      <c r="D33" s="6"/>
      <c r="E33" s="6" t="s">
        <v>2927</v>
      </c>
      <c r="M33" t="s">
        <v>1753</v>
      </c>
    </row>
    <row r="34" spans="2:13" ht="15.75" customHeight="1" x14ac:dyDescent="0.35">
      <c r="B34" s="6"/>
      <c r="C34" s="6"/>
      <c r="D34" s="6"/>
      <c r="E34" s="6" t="s">
        <v>2928</v>
      </c>
      <c r="M34" t="s">
        <v>1753</v>
      </c>
    </row>
    <row r="35" spans="2:13" ht="15.75" customHeight="1" x14ac:dyDescent="0.35">
      <c r="B35" s="6" t="s">
        <v>2929</v>
      </c>
      <c r="C35" s="6"/>
      <c r="D35" s="6"/>
      <c r="E35" s="6" t="s">
        <v>2927</v>
      </c>
      <c r="M35" t="s">
        <v>1753</v>
      </c>
    </row>
    <row r="36" spans="2:13" ht="15.75" customHeight="1" x14ac:dyDescent="0.35">
      <c r="B36" s="6"/>
      <c r="C36" s="6"/>
      <c r="D36" s="6"/>
      <c r="E36" s="6" t="s">
        <v>2928</v>
      </c>
      <c r="M36" t="s">
        <v>1753</v>
      </c>
    </row>
    <row r="37" spans="2:13" ht="15.75" customHeight="1" x14ac:dyDescent="0.35">
      <c r="B37" s="6" t="s">
        <v>2930</v>
      </c>
      <c r="C37" s="6"/>
      <c r="D37" s="6"/>
      <c r="E37" s="6" t="s">
        <v>2927</v>
      </c>
      <c r="M37" t="s">
        <v>1753</v>
      </c>
    </row>
    <row r="38" spans="2:13" ht="15.75" customHeight="1" x14ac:dyDescent="0.35">
      <c r="B38" s="6"/>
      <c r="C38" s="6"/>
      <c r="D38" s="6"/>
      <c r="E38" s="6" t="s">
        <v>2928</v>
      </c>
      <c r="M38" t="s">
        <v>1753</v>
      </c>
    </row>
    <row r="39" spans="2:13" ht="15.75" customHeight="1" x14ac:dyDescent="0.35">
      <c r="B39" s="6" t="s">
        <v>2931</v>
      </c>
      <c r="C39" s="6" t="s">
        <v>131</v>
      </c>
      <c r="D39" s="6"/>
      <c r="E39" s="6" t="s">
        <v>209</v>
      </c>
      <c r="M39" t="s">
        <v>1753</v>
      </c>
    </row>
    <row r="40" spans="2:13" ht="15.75" customHeight="1" x14ac:dyDescent="0.35">
      <c r="B40" s="6"/>
      <c r="C40" s="6"/>
      <c r="D40" s="6"/>
      <c r="E40" s="6" t="s">
        <v>2915</v>
      </c>
      <c r="M40" t="s">
        <v>1753</v>
      </c>
    </row>
    <row r="41" spans="2:13" ht="15.75" customHeight="1" x14ac:dyDescent="0.35">
      <c r="B41" s="6" t="s">
        <v>2932</v>
      </c>
      <c r="C41" s="6" t="s">
        <v>131</v>
      </c>
      <c r="D41" s="6"/>
      <c r="E41" s="6"/>
      <c r="M41" t="s">
        <v>1753</v>
      </c>
    </row>
    <row r="42" spans="2:13" ht="15.75" customHeight="1" x14ac:dyDescent="0.35">
      <c r="B42" s="6" t="s">
        <v>2933</v>
      </c>
      <c r="C42" s="6" t="s">
        <v>131</v>
      </c>
      <c r="D42" s="6"/>
      <c r="E42" s="6"/>
      <c r="M42" t="s">
        <v>1753</v>
      </c>
    </row>
    <row r="43" spans="2:13" ht="15.75" customHeight="1" x14ac:dyDescent="0.35">
      <c r="B43" s="6" t="s">
        <v>2934</v>
      </c>
      <c r="C43" s="6"/>
      <c r="D43" s="6" t="s">
        <v>2898</v>
      </c>
      <c r="E43" s="6" t="s">
        <v>2899</v>
      </c>
      <c r="M43" t="s">
        <v>1753</v>
      </c>
    </row>
    <row r="44" spans="2:13" ht="15.75" customHeight="1" x14ac:dyDescent="0.35">
      <c r="B44" s="6"/>
      <c r="C44" s="6"/>
      <c r="D44" s="6" t="s">
        <v>2935</v>
      </c>
      <c r="E44" s="6"/>
      <c r="M44" t="s">
        <v>1753</v>
      </c>
    </row>
    <row r="45" spans="2:13" ht="15.75" customHeight="1" x14ac:dyDescent="0.35">
      <c r="B45" s="6" t="s">
        <v>2936</v>
      </c>
      <c r="C45" s="6" t="s">
        <v>2937</v>
      </c>
      <c r="D45" s="6"/>
      <c r="E45" s="6"/>
      <c r="M45" t="s">
        <v>1753</v>
      </c>
    </row>
    <row r="46" spans="2:13" ht="15.75" customHeight="1" x14ac:dyDescent="0.35">
      <c r="B46" s="6"/>
      <c r="C46" s="6" t="s">
        <v>2938</v>
      </c>
      <c r="D46" s="6"/>
      <c r="E46" s="6"/>
      <c r="M46" t="s">
        <v>1753</v>
      </c>
    </row>
    <row r="47" spans="2:13" ht="15.75" customHeight="1" x14ac:dyDescent="0.35">
      <c r="B47" s="6" t="s">
        <v>2939</v>
      </c>
      <c r="C47" s="6" t="s">
        <v>2940</v>
      </c>
      <c r="D47" s="6"/>
      <c r="E47" s="6"/>
      <c r="M47" t="s">
        <v>1753</v>
      </c>
    </row>
    <row r="48" spans="2:13" ht="15.75" customHeight="1" x14ac:dyDescent="0.35">
      <c r="B48" s="6"/>
      <c r="C48" s="6" t="s">
        <v>2938</v>
      </c>
      <c r="D48" s="6"/>
      <c r="E48" s="6"/>
      <c r="M48" t="s">
        <v>1753</v>
      </c>
    </row>
    <row r="49" spans="2:13" ht="15.75" customHeight="1" x14ac:dyDescent="0.35">
      <c r="B49" s="6" t="s">
        <v>2941</v>
      </c>
      <c r="C49" s="6"/>
      <c r="D49" s="6"/>
      <c r="E49" s="6" t="s">
        <v>1406</v>
      </c>
      <c r="M49" t="s">
        <v>1753</v>
      </c>
    </row>
    <row r="50" spans="2:13" ht="15.75" customHeight="1" x14ac:dyDescent="0.35">
      <c r="B50" s="6" t="s">
        <v>2942</v>
      </c>
      <c r="C50" s="6" t="s">
        <v>131</v>
      </c>
      <c r="D50" s="6"/>
      <c r="E50" s="6" t="s">
        <v>209</v>
      </c>
      <c r="M50" t="s">
        <v>1753</v>
      </c>
    </row>
    <row r="51" spans="2:13" ht="15.75" customHeight="1" x14ac:dyDescent="0.35">
      <c r="B51" s="6"/>
      <c r="C51" s="6"/>
      <c r="D51" s="6"/>
      <c r="E51" s="6" t="s">
        <v>2915</v>
      </c>
      <c r="M51" t="s">
        <v>1753</v>
      </c>
    </row>
    <row r="52" spans="2:13" ht="15.75" customHeight="1" x14ac:dyDescent="0.35">
      <c r="B52" s="6" t="s">
        <v>2943</v>
      </c>
      <c r="C52" s="6" t="s">
        <v>2944</v>
      </c>
      <c r="D52" s="6"/>
      <c r="E52" s="6"/>
      <c r="M52" t="s">
        <v>1753</v>
      </c>
    </row>
    <row r="53" spans="2:13" ht="15.75" customHeight="1" x14ac:dyDescent="0.35">
      <c r="B53" s="6"/>
      <c r="C53" s="6" t="s">
        <v>2945</v>
      </c>
      <c r="D53" s="6"/>
      <c r="E53" s="6"/>
      <c r="M53" t="s">
        <v>1753</v>
      </c>
    </row>
    <row r="54" spans="2:13" ht="15.75" customHeight="1" x14ac:dyDescent="0.35">
      <c r="B54" s="6" t="s">
        <v>2946</v>
      </c>
      <c r="C54" s="6"/>
      <c r="D54" s="6"/>
      <c r="E54" s="6" t="s">
        <v>209</v>
      </c>
      <c r="M54" t="s">
        <v>1753</v>
      </c>
    </row>
    <row r="55" spans="2:13" ht="15.75" customHeight="1" x14ac:dyDescent="0.35">
      <c r="B55" s="6"/>
      <c r="C55" s="6"/>
      <c r="D55" s="6"/>
      <c r="E55" s="6" t="s">
        <v>2915</v>
      </c>
      <c r="M55" t="s">
        <v>1753</v>
      </c>
    </row>
    <row r="56" spans="2:13" ht="15.75" customHeight="1" x14ac:dyDescent="0.35">
      <c r="B56" s="6" t="s">
        <v>2947</v>
      </c>
      <c r="C56" s="6"/>
      <c r="D56" s="6"/>
      <c r="E56" s="6" t="s">
        <v>209</v>
      </c>
      <c r="M56" t="s">
        <v>1753</v>
      </c>
    </row>
    <row r="57" spans="2:13" ht="15.75" customHeight="1" x14ac:dyDescent="0.35">
      <c r="B57" s="6"/>
      <c r="C57" s="6"/>
      <c r="D57" s="6"/>
      <c r="E57" s="6" t="s">
        <v>2915</v>
      </c>
      <c r="M57" t="s">
        <v>1753</v>
      </c>
    </row>
    <row r="58" spans="2:13" ht="15.75" customHeight="1" x14ac:dyDescent="0.35">
      <c r="B58" s="6"/>
      <c r="C58" s="6"/>
      <c r="D58" s="6" t="s">
        <v>2948</v>
      </c>
      <c r="E58" s="6" t="s">
        <v>2949</v>
      </c>
      <c r="M58" t="s">
        <v>1753</v>
      </c>
    </row>
    <row r="59" spans="2:13" ht="15.75" customHeight="1" x14ac:dyDescent="0.35">
      <c r="B59" s="6" t="s">
        <v>2950</v>
      </c>
      <c r="C59" s="6"/>
      <c r="D59" s="6" t="s">
        <v>1405</v>
      </c>
      <c r="E59" s="6" t="s">
        <v>1406</v>
      </c>
      <c r="M59" t="s">
        <v>1753</v>
      </c>
    </row>
    <row r="60" spans="2:13" ht="15.75" customHeight="1" x14ac:dyDescent="0.35">
      <c r="B60" s="6" t="s">
        <v>2951</v>
      </c>
      <c r="C60" s="6" t="s">
        <v>2952</v>
      </c>
      <c r="D60" s="6"/>
      <c r="E60" s="6"/>
      <c r="M60" t="s">
        <v>1753</v>
      </c>
    </row>
    <row r="61" spans="2:13" ht="15.75" customHeight="1" x14ac:dyDescent="0.35">
      <c r="B61" s="6" t="s">
        <v>2953</v>
      </c>
      <c r="C61" s="6"/>
      <c r="D61" s="6"/>
      <c r="E61" s="6" t="s">
        <v>209</v>
      </c>
      <c r="M61" t="s">
        <v>1753</v>
      </c>
    </row>
    <row r="62" spans="2:13" ht="15.75" customHeight="1" x14ac:dyDescent="0.35">
      <c r="B62" s="6"/>
      <c r="C62" s="6"/>
      <c r="D62" s="6"/>
      <c r="E62" s="6" t="s">
        <v>2915</v>
      </c>
      <c r="M62" t="s">
        <v>1753</v>
      </c>
    </row>
    <row r="63" spans="2:13" ht="15.75" customHeight="1" x14ac:dyDescent="0.35">
      <c r="B63" s="6" t="s">
        <v>2954</v>
      </c>
      <c r="C63" s="6"/>
      <c r="D63" s="6"/>
      <c r="E63" s="6" t="s">
        <v>209</v>
      </c>
      <c r="M63" t="s">
        <v>1753</v>
      </c>
    </row>
    <row r="64" spans="2:13" ht="15.75" customHeight="1" x14ac:dyDescent="0.35">
      <c r="B64" s="6"/>
      <c r="C64" s="6"/>
      <c r="D64" s="6"/>
      <c r="E64" s="6" t="s">
        <v>2915</v>
      </c>
      <c r="M64" t="s">
        <v>1753</v>
      </c>
    </row>
    <row r="65" spans="2:13" ht="15.75" customHeight="1" x14ac:dyDescent="0.35">
      <c r="B65" s="6" t="s">
        <v>2955</v>
      </c>
      <c r="C65" s="6"/>
      <c r="D65" s="6" t="s">
        <v>1405</v>
      </c>
      <c r="E65" s="6" t="s">
        <v>1406</v>
      </c>
      <c r="M65" t="s">
        <v>1753</v>
      </c>
    </row>
    <row r="66" spans="2:13" ht="15.75" customHeight="1" x14ac:dyDescent="0.35">
      <c r="B66" s="6" t="s">
        <v>2956</v>
      </c>
      <c r="C66" s="6"/>
      <c r="D66" s="6" t="s">
        <v>2898</v>
      </c>
      <c r="E66" s="6" t="s">
        <v>2899</v>
      </c>
      <c r="M66" t="s">
        <v>1753</v>
      </c>
    </row>
    <row r="67" spans="2:13" ht="15.75" customHeight="1" x14ac:dyDescent="0.35">
      <c r="B67" s="6" t="s">
        <v>2957</v>
      </c>
      <c r="C67" s="6" t="s">
        <v>131</v>
      </c>
      <c r="D67" s="6" t="s">
        <v>2898</v>
      </c>
      <c r="E67" s="6" t="s">
        <v>2899</v>
      </c>
      <c r="M67" t="s">
        <v>1753</v>
      </c>
    </row>
    <row r="68" spans="2:13" ht="15.75" customHeight="1" x14ac:dyDescent="0.35">
      <c r="B68" s="6"/>
      <c r="C68" s="6"/>
      <c r="D68" s="6"/>
      <c r="E68" s="6" t="s">
        <v>2958</v>
      </c>
      <c r="M68" t="s">
        <v>1753</v>
      </c>
    </row>
    <row r="69" spans="2:13" ht="15.75" customHeight="1" x14ac:dyDescent="0.35">
      <c r="B69" s="6" t="s">
        <v>2959</v>
      </c>
      <c r="C69" s="6" t="s">
        <v>131</v>
      </c>
      <c r="D69" s="6" t="s">
        <v>2898</v>
      </c>
      <c r="E69" s="6" t="s">
        <v>2899</v>
      </c>
      <c r="M69" t="s">
        <v>1753</v>
      </c>
    </row>
    <row r="70" spans="2:13" ht="15.75" customHeight="1" x14ac:dyDescent="0.35">
      <c r="B70" s="6"/>
      <c r="C70" s="6"/>
      <c r="D70" s="6" t="s">
        <v>2960</v>
      </c>
      <c r="E70" s="6" t="s">
        <v>2961</v>
      </c>
      <c r="M70" t="s">
        <v>1753</v>
      </c>
    </row>
    <row r="71" spans="2:13" ht="15.75" customHeight="1" x14ac:dyDescent="0.35">
      <c r="B71" s="6" t="s">
        <v>2962</v>
      </c>
      <c r="C71" s="6" t="s">
        <v>131</v>
      </c>
      <c r="D71" s="6" t="s">
        <v>2898</v>
      </c>
      <c r="E71" s="6" t="s">
        <v>2899</v>
      </c>
      <c r="M71" t="s">
        <v>1753</v>
      </c>
    </row>
    <row r="72" spans="2:13" ht="15.75" customHeight="1" x14ac:dyDescent="0.35">
      <c r="B72" s="6"/>
      <c r="C72" s="6"/>
      <c r="D72" s="6" t="s">
        <v>2960</v>
      </c>
      <c r="E72" s="6" t="s">
        <v>2961</v>
      </c>
      <c r="M72" t="s">
        <v>1753</v>
      </c>
    </row>
    <row r="73" spans="2:13" ht="15.75" customHeight="1" x14ac:dyDescent="0.35">
      <c r="B73" s="6"/>
      <c r="C73" s="6"/>
      <c r="D73" s="6" t="s">
        <v>2948</v>
      </c>
      <c r="E73" s="6" t="s">
        <v>2949</v>
      </c>
      <c r="M73" t="s">
        <v>1753</v>
      </c>
    </row>
    <row r="74" spans="2:13" ht="15.75" customHeight="1" x14ac:dyDescent="0.35">
      <c r="B74" s="6" t="s">
        <v>2963</v>
      </c>
      <c r="C74" s="6" t="s">
        <v>131</v>
      </c>
      <c r="D74" s="6" t="s">
        <v>2898</v>
      </c>
      <c r="E74" s="6" t="s">
        <v>2899</v>
      </c>
      <c r="M74" t="s">
        <v>1753</v>
      </c>
    </row>
    <row r="75" spans="2:13" ht="15.75" customHeight="1" x14ac:dyDescent="0.35">
      <c r="B75" s="6"/>
      <c r="C75" s="6"/>
      <c r="D75" s="6" t="s">
        <v>2964</v>
      </c>
      <c r="E75" s="6" t="s">
        <v>2965</v>
      </c>
      <c r="M75" t="s">
        <v>1753</v>
      </c>
    </row>
    <row r="76" spans="2:13" ht="15.75" customHeight="1" x14ac:dyDescent="0.35">
      <c r="B76" s="6" t="s">
        <v>2966</v>
      </c>
      <c r="C76" s="6" t="s">
        <v>131</v>
      </c>
      <c r="D76" s="6" t="s">
        <v>2898</v>
      </c>
      <c r="E76" s="6" t="s">
        <v>2899</v>
      </c>
      <c r="M76" t="s">
        <v>1753</v>
      </c>
    </row>
    <row r="77" spans="2:13" ht="15.75" customHeight="1" x14ac:dyDescent="0.35">
      <c r="B77" s="6"/>
      <c r="C77" s="6"/>
      <c r="D77" s="6" t="s">
        <v>2964</v>
      </c>
      <c r="E77" s="6" t="s">
        <v>2965</v>
      </c>
      <c r="M77" t="s">
        <v>1753</v>
      </c>
    </row>
    <row r="78" spans="2:13" ht="15.75" customHeight="1" x14ac:dyDescent="0.35">
      <c r="B78" s="6"/>
      <c r="C78" s="6"/>
      <c r="D78" s="6" t="s">
        <v>2948</v>
      </c>
      <c r="E78" s="6" t="s">
        <v>2949</v>
      </c>
      <c r="M78" t="s">
        <v>1753</v>
      </c>
    </row>
    <row r="79" spans="2:13" ht="15.75" customHeight="1" x14ac:dyDescent="0.35">
      <c r="B79" s="6" t="s">
        <v>2967</v>
      </c>
      <c r="C79" s="6" t="s">
        <v>131</v>
      </c>
      <c r="D79" s="6" t="s">
        <v>2923</v>
      </c>
      <c r="E79" s="6" t="s">
        <v>2924</v>
      </c>
      <c r="M79" t="s">
        <v>1753</v>
      </c>
    </row>
    <row r="80" spans="2:13" ht="15.75" customHeight="1" x14ac:dyDescent="0.35">
      <c r="B80" s="6" t="s">
        <v>2968</v>
      </c>
      <c r="C80" s="6" t="s">
        <v>131</v>
      </c>
      <c r="D80" s="6"/>
      <c r="E80" s="6"/>
      <c r="M80" t="s">
        <v>1753</v>
      </c>
    </row>
    <row r="81" spans="2:13" ht="15.75" customHeight="1" x14ac:dyDescent="0.35">
      <c r="B81" s="6" t="s">
        <v>2969</v>
      </c>
      <c r="C81" s="6" t="s">
        <v>131</v>
      </c>
      <c r="D81" s="6"/>
      <c r="E81" s="6"/>
      <c r="M81" t="s">
        <v>1753</v>
      </c>
    </row>
    <row r="82" spans="2:13" ht="15.75" customHeight="1" x14ac:dyDescent="0.35">
      <c r="B82" s="6" t="s">
        <v>2970</v>
      </c>
      <c r="C82" s="6" t="s">
        <v>131</v>
      </c>
      <c r="D82" s="6" t="s">
        <v>2923</v>
      </c>
      <c r="E82" s="6" t="s">
        <v>2924</v>
      </c>
      <c r="M82" t="s">
        <v>1753</v>
      </c>
    </row>
    <row r="83" spans="2:13" ht="15.75" customHeight="1" x14ac:dyDescent="0.35">
      <c r="B83" s="6" t="s">
        <v>2971</v>
      </c>
      <c r="C83" s="6" t="s">
        <v>131</v>
      </c>
      <c r="D83" s="6"/>
      <c r="E83" s="6"/>
      <c r="M83" t="s">
        <v>1753</v>
      </c>
    </row>
    <row r="84" spans="2:13" ht="15.75" customHeight="1" x14ac:dyDescent="0.35">
      <c r="B84" s="6" t="s">
        <v>188</v>
      </c>
      <c r="C84" s="6" t="s">
        <v>1105</v>
      </c>
      <c r="D84" s="6"/>
      <c r="E84" s="6"/>
      <c r="M84" t="s">
        <v>1753</v>
      </c>
    </row>
    <row r="85" spans="2:13" ht="15.75" customHeight="1" x14ac:dyDescent="0.35">
      <c r="B85" s="6" t="s">
        <v>2972</v>
      </c>
      <c r="C85" s="6" t="s">
        <v>2944</v>
      </c>
      <c r="D85" s="6"/>
      <c r="E85" s="6"/>
      <c r="M85" t="s">
        <v>1753</v>
      </c>
    </row>
    <row r="86" spans="2:13" ht="15.75" customHeight="1" x14ac:dyDescent="0.35">
      <c r="B86" s="6"/>
      <c r="C86" s="6" t="s">
        <v>2945</v>
      </c>
      <c r="D86" s="6"/>
      <c r="E86" s="6"/>
      <c r="M86" t="s">
        <v>1753</v>
      </c>
    </row>
    <row r="87" spans="2:13" ht="15.75" customHeight="1" x14ac:dyDescent="0.35">
      <c r="B87" s="6" t="s">
        <v>2973</v>
      </c>
      <c r="C87" s="6" t="s">
        <v>131</v>
      </c>
      <c r="D87" s="6"/>
      <c r="E87" s="6" t="s">
        <v>209</v>
      </c>
      <c r="M87" t="s">
        <v>1753</v>
      </c>
    </row>
    <row r="88" spans="2:13" ht="15.75" customHeight="1" x14ac:dyDescent="0.35">
      <c r="B88" s="6"/>
      <c r="C88" s="6"/>
      <c r="D88" s="6"/>
      <c r="E88" s="6" t="s">
        <v>2915</v>
      </c>
      <c r="M88" t="s">
        <v>1753</v>
      </c>
    </row>
    <row r="89" spans="2:13" ht="15.75" customHeight="1" x14ac:dyDescent="0.35">
      <c r="B89" s="6" t="s">
        <v>2974</v>
      </c>
      <c r="C89" s="6" t="s">
        <v>131</v>
      </c>
      <c r="D89" s="6"/>
      <c r="E89" s="6" t="s">
        <v>209</v>
      </c>
      <c r="M89" t="s">
        <v>1753</v>
      </c>
    </row>
    <row r="90" spans="2:13" ht="15.75" customHeight="1" x14ac:dyDescent="0.35">
      <c r="B90" s="6"/>
      <c r="C90" s="6"/>
      <c r="D90" s="6"/>
      <c r="E90" s="6" t="s">
        <v>2915</v>
      </c>
      <c r="M90" t="s">
        <v>1753</v>
      </c>
    </row>
    <row r="91" spans="2:13" ht="15.75" customHeight="1" x14ac:dyDescent="0.35">
      <c r="B91" s="6" t="s">
        <v>2975</v>
      </c>
      <c r="C91" s="6" t="s">
        <v>131</v>
      </c>
      <c r="D91" s="6" t="s">
        <v>2898</v>
      </c>
      <c r="E91" s="6" t="s">
        <v>2899</v>
      </c>
      <c r="M91" t="s">
        <v>1753</v>
      </c>
    </row>
    <row r="92" spans="2:13" ht="15.75" customHeight="1" x14ac:dyDescent="0.35">
      <c r="B92" s="6" t="s">
        <v>2976</v>
      </c>
      <c r="C92" s="6" t="s">
        <v>131</v>
      </c>
      <c r="D92" s="6" t="s">
        <v>2898</v>
      </c>
      <c r="E92" s="6" t="s">
        <v>2899</v>
      </c>
      <c r="M92" t="s">
        <v>1753</v>
      </c>
    </row>
    <row r="93" spans="2:13" ht="15.75" customHeight="1" x14ac:dyDescent="0.35">
      <c r="B93" s="6"/>
      <c r="C93" s="6"/>
      <c r="D93" s="6" t="s">
        <v>2977</v>
      </c>
      <c r="E93" s="6" t="s">
        <v>2978</v>
      </c>
      <c r="M93" t="s">
        <v>1753</v>
      </c>
    </row>
    <row r="94" spans="2:13" ht="15.75" customHeight="1" x14ac:dyDescent="0.35">
      <c r="B94" s="6" t="s">
        <v>2979</v>
      </c>
      <c r="C94" s="6" t="s">
        <v>131</v>
      </c>
      <c r="D94" s="6"/>
      <c r="E94" s="6" t="s">
        <v>209</v>
      </c>
      <c r="M94" t="s">
        <v>1753</v>
      </c>
    </row>
    <row r="95" spans="2:13" ht="15.75" customHeight="1" x14ac:dyDescent="0.35">
      <c r="B95" s="6"/>
      <c r="C95" s="6"/>
      <c r="D95" s="6"/>
      <c r="E95" s="6" t="s">
        <v>2915</v>
      </c>
      <c r="M95" t="s">
        <v>1753</v>
      </c>
    </row>
    <row r="96" spans="2:13" ht="15.75" customHeight="1" x14ac:dyDescent="0.35">
      <c r="B96" s="6"/>
      <c r="C96" s="6"/>
      <c r="D96" s="6"/>
      <c r="E96" s="6"/>
      <c r="M96" t="s">
        <v>1753</v>
      </c>
    </row>
    <row r="97" spans="1:13" ht="15.75" customHeight="1" x14ac:dyDescent="0.35">
      <c r="B97" s="6" t="s">
        <v>2980</v>
      </c>
      <c r="C97" s="6" t="s">
        <v>131</v>
      </c>
      <c r="D97" s="6" t="s">
        <v>2898</v>
      </c>
      <c r="E97" s="6" t="s">
        <v>2899</v>
      </c>
      <c r="M97" t="s">
        <v>1753</v>
      </c>
    </row>
    <row r="98" spans="1:13" ht="15.75" customHeight="1" x14ac:dyDescent="0.35">
      <c r="M98" t="s">
        <v>1753</v>
      </c>
    </row>
    <row r="99" spans="1:13" ht="15.75" customHeight="1" x14ac:dyDescent="0.35">
      <c r="A99" s="6" t="s">
        <v>2981</v>
      </c>
      <c r="B99" s="6" t="s">
        <v>2982</v>
      </c>
      <c r="C99" s="6"/>
      <c r="D99" s="6" t="s">
        <v>2983</v>
      </c>
      <c r="E99" s="6" t="s">
        <v>2958</v>
      </c>
      <c r="M99" t="s">
        <v>1753</v>
      </c>
    </row>
    <row r="100" spans="1:13" ht="15.75" customHeight="1" x14ac:dyDescent="0.35">
      <c r="B100" s="6" t="s">
        <v>2984</v>
      </c>
      <c r="C100" s="6"/>
      <c r="D100" s="6" t="s">
        <v>2983</v>
      </c>
      <c r="E100" s="6" t="s">
        <v>2958</v>
      </c>
      <c r="M100" t="s">
        <v>1753</v>
      </c>
    </row>
    <row r="101" spans="1:13" ht="15.75" customHeight="1" x14ac:dyDescent="0.35">
      <c r="B101" s="6" t="s">
        <v>2985</v>
      </c>
      <c r="C101" s="6" t="s">
        <v>131</v>
      </c>
      <c r="D101" s="6" t="s">
        <v>2986</v>
      </c>
      <c r="E101" s="6" t="s">
        <v>2987</v>
      </c>
      <c r="M101" t="s">
        <v>1753</v>
      </c>
    </row>
    <row r="102" spans="1:13" ht="15.75" customHeight="1" x14ac:dyDescent="0.35">
      <c r="B102" s="6" t="s">
        <v>2988</v>
      </c>
      <c r="C102" s="6" t="s">
        <v>131</v>
      </c>
      <c r="D102" s="6"/>
      <c r="E102" s="6"/>
      <c r="M102" t="s">
        <v>1753</v>
      </c>
    </row>
    <row r="103" spans="1:13" ht="15.75" customHeight="1" x14ac:dyDescent="0.35">
      <c r="B103" s="6" t="s">
        <v>2989</v>
      </c>
      <c r="C103" s="6" t="s">
        <v>131</v>
      </c>
      <c r="D103" s="6" t="s">
        <v>2986</v>
      </c>
      <c r="E103" s="6" t="s">
        <v>2987</v>
      </c>
      <c r="M103" t="s">
        <v>1753</v>
      </c>
    </row>
    <row r="104" spans="1:13" ht="15.75" customHeight="1" x14ac:dyDescent="0.35">
      <c r="B104" s="6" t="s">
        <v>2990</v>
      </c>
      <c r="C104" s="6" t="s">
        <v>131</v>
      </c>
      <c r="D104" s="6" t="s">
        <v>2986</v>
      </c>
      <c r="E104" s="6" t="s">
        <v>2987</v>
      </c>
      <c r="M104" t="s">
        <v>1753</v>
      </c>
    </row>
    <row r="105" spans="1:13" ht="15.75" customHeight="1" x14ac:dyDescent="0.35">
      <c r="B105" s="6" t="s">
        <v>2991</v>
      </c>
      <c r="C105" s="6"/>
      <c r="D105" s="6" t="s">
        <v>2898</v>
      </c>
      <c r="E105" s="6" t="s">
        <v>2899</v>
      </c>
      <c r="M105" t="s">
        <v>1753</v>
      </c>
    </row>
    <row r="106" spans="1:13" ht="15.75" customHeight="1" x14ac:dyDescent="0.35">
      <c r="B106" s="6" t="s">
        <v>636</v>
      </c>
      <c r="C106" s="6" t="s">
        <v>131</v>
      </c>
      <c r="D106" s="6"/>
      <c r="E106" s="6"/>
      <c r="M106" t="s">
        <v>1753</v>
      </c>
    </row>
    <row r="107" spans="1:13" ht="15.75" customHeight="1" x14ac:dyDescent="0.35">
      <c r="B107" s="6" t="s">
        <v>2992</v>
      </c>
      <c r="C107" s="6" t="s">
        <v>131</v>
      </c>
      <c r="D107" s="6" t="s">
        <v>2983</v>
      </c>
      <c r="E107" s="6" t="s">
        <v>2958</v>
      </c>
      <c r="M107" t="s">
        <v>1753</v>
      </c>
    </row>
    <row r="108" spans="1:13" ht="15.75" customHeight="1" x14ac:dyDescent="0.35">
      <c r="B108" s="6" t="s">
        <v>2993</v>
      </c>
      <c r="C108" s="6"/>
      <c r="D108" s="6" t="s">
        <v>2994</v>
      </c>
      <c r="E108" s="6" t="s">
        <v>2995</v>
      </c>
      <c r="M108" t="s">
        <v>1753</v>
      </c>
    </row>
    <row r="109" spans="1:13" ht="15.75" customHeight="1" x14ac:dyDescent="0.35">
      <c r="B109" s="6" t="s">
        <v>134</v>
      </c>
      <c r="C109" s="6"/>
      <c r="D109" s="6" t="s">
        <v>174</v>
      </c>
      <c r="E109" s="6" t="s">
        <v>175</v>
      </c>
      <c r="M109" t="s">
        <v>1753</v>
      </c>
    </row>
    <row r="110" spans="1:13" ht="15.75" customHeight="1" x14ac:dyDescent="0.35">
      <c r="B110" s="6" t="s">
        <v>136</v>
      </c>
      <c r="C110" s="6" t="s">
        <v>1635</v>
      </c>
      <c r="D110" s="6"/>
      <c r="E110" s="6"/>
      <c r="M110" t="s">
        <v>1753</v>
      </c>
    </row>
    <row r="111" spans="1:13" ht="15.75" customHeight="1" x14ac:dyDescent="0.35">
      <c r="B111" s="6" t="s">
        <v>2996</v>
      </c>
      <c r="C111" s="6" t="s">
        <v>131</v>
      </c>
      <c r="D111" s="6"/>
      <c r="E111" s="6"/>
      <c r="M111" t="s">
        <v>1753</v>
      </c>
    </row>
    <row r="112" spans="1:13" ht="15.75" customHeight="1" x14ac:dyDescent="0.35">
      <c r="B112" s="6" t="s">
        <v>2997</v>
      </c>
      <c r="C112" s="6" t="s">
        <v>131</v>
      </c>
      <c r="D112" s="6"/>
      <c r="E112" s="6"/>
      <c r="M112" t="s">
        <v>1753</v>
      </c>
    </row>
    <row r="113" spans="1:13" ht="15.75" customHeight="1" x14ac:dyDescent="0.35">
      <c r="B113" s="6" t="s">
        <v>2998</v>
      </c>
      <c r="C113" s="6" t="s">
        <v>131</v>
      </c>
      <c r="D113" s="6" t="s">
        <v>2906</v>
      </c>
      <c r="E113" s="6" t="s">
        <v>2907</v>
      </c>
      <c r="M113" t="s">
        <v>1753</v>
      </c>
    </row>
    <row r="114" spans="1:13" ht="15.75" customHeight="1" x14ac:dyDescent="0.35">
      <c r="B114" s="6" t="s">
        <v>2999</v>
      </c>
      <c r="C114" s="6" t="s">
        <v>131</v>
      </c>
      <c r="D114" s="6"/>
      <c r="E114" s="6"/>
      <c r="M114" t="s">
        <v>1753</v>
      </c>
    </row>
    <row r="115" spans="1:13" ht="15.75" customHeight="1" x14ac:dyDescent="0.35">
      <c r="B115" s="6" t="s">
        <v>3000</v>
      </c>
      <c r="C115" s="6" t="s">
        <v>131</v>
      </c>
      <c r="D115" s="6"/>
      <c r="E115" s="6"/>
      <c r="M115" t="s">
        <v>1753</v>
      </c>
    </row>
    <row r="116" spans="1:13" ht="15.75" customHeight="1" x14ac:dyDescent="0.35">
      <c r="B116" s="6" t="s">
        <v>3001</v>
      </c>
      <c r="C116" s="6" t="s">
        <v>131</v>
      </c>
      <c r="D116" s="6"/>
      <c r="E116" s="6"/>
      <c r="M116" t="s">
        <v>1753</v>
      </c>
    </row>
    <row r="117" spans="1:13" ht="15.75" customHeight="1" x14ac:dyDescent="0.35">
      <c r="B117" s="6" t="s">
        <v>188</v>
      </c>
      <c r="C117" s="6" t="s">
        <v>1105</v>
      </c>
      <c r="D117" s="6"/>
      <c r="E117" s="6"/>
      <c r="M117" t="s">
        <v>1753</v>
      </c>
    </row>
    <row r="118" spans="1:13" ht="15.75" customHeight="1" x14ac:dyDescent="0.35">
      <c r="B118" s="6" t="s">
        <v>3002</v>
      </c>
      <c r="C118" s="6" t="s">
        <v>131</v>
      </c>
      <c r="D118" s="6" t="s">
        <v>3003</v>
      </c>
      <c r="E118" s="6" t="s">
        <v>3004</v>
      </c>
      <c r="M118" t="s">
        <v>1753</v>
      </c>
    </row>
    <row r="119" spans="1:13" ht="15.75" customHeight="1" x14ac:dyDescent="0.35">
      <c r="B119" s="6" t="s">
        <v>3005</v>
      </c>
      <c r="C119" s="6" t="s">
        <v>131</v>
      </c>
      <c r="D119" s="6"/>
      <c r="E119" s="6"/>
      <c r="M119" t="s">
        <v>1753</v>
      </c>
    </row>
    <row r="120" spans="1:13" ht="15.75" customHeight="1" x14ac:dyDescent="0.35">
      <c r="B120" s="6"/>
      <c r="C120" s="6" t="s">
        <v>197</v>
      </c>
      <c r="D120" s="6"/>
      <c r="E120" s="6"/>
      <c r="M120" t="s">
        <v>1753</v>
      </c>
    </row>
    <row r="121" spans="1:13" ht="15.75" customHeight="1" x14ac:dyDescent="0.35">
      <c r="B121" s="6"/>
      <c r="C121" s="6" t="s">
        <v>200</v>
      </c>
      <c r="D121" s="6"/>
      <c r="E121" s="6"/>
      <c r="M121" t="s">
        <v>1753</v>
      </c>
    </row>
    <row r="122" spans="1:13" ht="15.75" customHeight="1" x14ac:dyDescent="0.35">
      <c r="B122" s="6" t="s">
        <v>3006</v>
      </c>
      <c r="C122" s="6" t="s">
        <v>131</v>
      </c>
      <c r="D122" s="6"/>
      <c r="E122" s="6"/>
      <c r="M122" t="s">
        <v>1753</v>
      </c>
    </row>
    <row r="123" spans="1:13" ht="15.75" customHeight="1" x14ac:dyDescent="0.35">
      <c r="B123" s="6" t="s">
        <v>3007</v>
      </c>
      <c r="C123" s="6" t="s">
        <v>131</v>
      </c>
      <c r="D123" s="6" t="s">
        <v>2977</v>
      </c>
      <c r="E123" s="6" t="s">
        <v>2978</v>
      </c>
      <c r="M123" t="s">
        <v>1753</v>
      </c>
    </row>
    <row r="124" spans="1:13" ht="15.75" customHeight="1" x14ac:dyDescent="0.35">
      <c r="B124" s="6" t="s">
        <v>3008</v>
      </c>
      <c r="C124" s="6" t="s">
        <v>131</v>
      </c>
      <c r="D124" s="6"/>
      <c r="E124" s="6"/>
      <c r="M124" t="s">
        <v>1753</v>
      </c>
    </row>
    <row r="125" spans="1:13" ht="15.75" customHeight="1" x14ac:dyDescent="0.35">
      <c r="B125" s="6" t="s">
        <v>3009</v>
      </c>
      <c r="C125" s="6" t="s">
        <v>131</v>
      </c>
      <c r="D125" s="6"/>
      <c r="E125" s="6"/>
      <c r="M125" t="s">
        <v>1753</v>
      </c>
    </row>
    <row r="126" spans="1:13" ht="15.75" customHeight="1" x14ac:dyDescent="0.35">
      <c r="B126" s="6" t="s">
        <v>3010</v>
      </c>
      <c r="C126" s="6" t="s">
        <v>131</v>
      </c>
      <c r="D126" s="6" t="s">
        <v>2986</v>
      </c>
      <c r="E126" s="6" t="s">
        <v>2987</v>
      </c>
      <c r="M126" t="s">
        <v>1753</v>
      </c>
    </row>
    <row r="127" spans="1:13" ht="15.75" customHeight="1" x14ac:dyDescent="0.35">
      <c r="B127" s="6"/>
      <c r="C127" s="6"/>
      <c r="D127" s="6"/>
      <c r="E127" s="6"/>
      <c r="M127" t="s">
        <v>1753</v>
      </c>
    </row>
    <row r="128" spans="1:13" ht="15.75" customHeight="1" x14ac:dyDescent="0.35">
      <c r="A128" s="6" t="s">
        <v>3011</v>
      </c>
      <c r="B128" s="6" t="s">
        <v>3012</v>
      </c>
      <c r="C128" s="6"/>
      <c r="D128" s="6" t="s">
        <v>3013</v>
      </c>
      <c r="E128" s="6" t="s">
        <v>3014</v>
      </c>
      <c r="M128" t="s">
        <v>1753</v>
      </c>
    </row>
    <row r="129" spans="1:13" ht="15.75" customHeight="1" x14ac:dyDescent="0.35">
      <c r="B129" s="6" t="s">
        <v>3015</v>
      </c>
      <c r="C129" s="6" t="s">
        <v>61</v>
      </c>
      <c r="D129" s="6"/>
      <c r="E129" s="6"/>
      <c r="M129" t="s">
        <v>1753</v>
      </c>
    </row>
    <row r="130" spans="1:13" ht="15.75" customHeight="1" x14ac:dyDescent="0.35">
      <c r="B130" s="6"/>
      <c r="C130" s="6" t="s">
        <v>64</v>
      </c>
      <c r="D130" s="6"/>
      <c r="E130" s="6"/>
      <c r="M130" t="s">
        <v>1753</v>
      </c>
    </row>
    <row r="131" spans="1:13" ht="15.75" customHeight="1" x14ac:dyDescent="0.35">
      <c r="B131" s="6" t="s">
        <v>3016</v>
      </c>
      <c r="C131" s="6" t="s">
        <v>64</v>
      </c>
      <c r="D131" s="6"/>
      <c r="E131" s="6"/>
      <c r="M131" t="s">
        <v>1753</v>
      </c>
    </row>
    <row r="132" spans="1:13" ht="15.75" customHeight="1" x14ac:dyDescent="0.35">
      <c r="B132" s="6" t="s">
        <v>3017</v>
      </c>
      <c r="C132" s="6" t="s">
        <v>131</v>
      </c>
      <c r="D132" s="6" t="s">
        <v>3013</v>
      </c>
      <c r="E132" s="6" t="s">
        <v>3014</v>
      </c>
      <c r="M132" t="s">
        <v>1753</v>
      </c>
    </row>
    <row r="133" spans="1:13" ht="15.75" customHeight="1" x14ac:dyDescent="0.35">
      <c r="B133" s="6"/>
      <c r="C133" s="6"/>
      <c r="D133" s="6"/>
      <c r="E133" s="6"/>
      <c r="M133" t="s">
        <v>1753</v>
      </c>
    </row>
    <row r="134" spans="1:13" ht="15.75" customHeight="1" x14ac:dyDescent="0.35">
      <c r="A134" s="6" t="s">
        <v>3018</v>
      </c>
      <c r="B134" s="6" t="s">
        <v>3019</v>
      </c>
      <c r="C134" s="6"/>
      <c r="D134" s="6" t="s">
        <v>3013</v>
      </c>
      <c r="E134" s="6" t="s">
        <v>3014</v>
      </c>
      <c r="M134" t="s">
        <v>1753</v>
      </c>
    </row>
    <row r="135" spans="1:13" ht="15.75" customHeight="1" x14ac:dyDescent="0.35">
      <c r="B135" s="6" t="s">
        <v>3015</v>
      </c>
      <c r="C135" s="6" t="s">
        <v>221</v>
      </c>
      <c r="D135" s="6"/>
      <c r="E135" s="6"/>
      <c r="M135" t="s">
        <v>1753</v>
      </c>
    </row>
    <row r="136" spans="1:13" ht="15.75" customHeight="1" x14ac:dyDescent="0.35">
      <c r="B136" s="6" t="s">
        <v>3020</v>
      </c>
      <c r="C136" s="6" t="s">
        <v>131</v>
      </c>
      <c r="D136" s="6" t="s">
        <v>3013</v>
      </c>
      <c r="E136" s="6" t="s">
        <v>3014</v>
      </c>
      <c r="M136" t="s">
        <v>1753</v>
      </c>
    </row>
    <row r="137" spans="1:13" ht="15.75" customHeight="1" x14ac:dyDescent="0.35">
      <c r="B137" s="6"/>
      <c r="C137" s="6"/>
      <c r="D137" s="6"/>
      <c r="E137" s="6"/>
      <c r="M137" t="s">
        <v>1753</v>
      </c>
    </row>
    <row r="138" spans="1:13" ht="15.75" customHeight="1" x14ac:dyDescent="0.35">
      <c r="A138" s="6" t="s">
        <v>3021</v>
      </c>
      <c r="B138" s="6" t="s">
        <v>3022</v>
      </c>
      <c r="C138" s="6" t="s">
        <v>25</v>
      </c>
      <c r="D138" s="6"/>
      <c r="E138" s="6"/>
      <c r="M138" t="s">
        <v>1753</v>
      </c>
    </row>
    <row r="139" spans="1:13" ht="15.75" customHeight="1" x14ac:dyDescent="0.35">
      <c r="B139" s="6"/>
      <c r="C139" s="6" t="s">
        <v>29</v>
      </c>
      <c r="D139" s="6"/>
      <c r="E139" s="6"/>
      <c r="M139" t="s">
        <v>1753</v>
      </c>
    </row>
    <row r="140" spans="1:13" ht="15.75" customHeight="1" x14ac:dyDescent="0.35">
      <c r="B140" s="6" t="s">
        <v>3023</v>
      </c>
      <c r="C140" s="6" t="s">
        <v>3024</v>
      </c>
      <c r="D140" s="6"/>
      <c r="E140" s="6"/>
      <c r="M140" t="s">
        <v>1753</v>
      </c>
    </row>
    <row r="141" spans="1:13" ht="15.75" customHeight="1" x14ac:dyDescent="0.35">
      <c r="B141" s="6"/>
      <c r="C141" s="6" t="s">
        <v>3025</v>
      </c>
      <c r="D141" s="6"/>
      <c r="E141" s="6"/>
      <c r="M141" t="s">
        <v>1753</v>
      </c>
    </row>
    <row r="142" spans="1:13" ht="15.75" customHeight="1" x14ac:dyDescent="0.35">
      <c r="B142" s="6" t="s">
        <v>105</v>
      </c>
      <c r="C142" s="6" t="s">
        <v>25</v>
      </c>
      <c r="D142" s="6"/>
      <c r="E142" s="6"/>
      <c r="M142" t="s">
        <v>1753</v>
      </c>
    </row>
    <row r="143" spans="1:13" ht="15.75" customHeight="1" x14ac:dyDescent="0.35">
      <c r="B143" s="6"/>
      <c r="C143" s="6" t="s">
        <v>29</v>
      </c>
      <c r="D143" s="6"/>
      <c r="E143" s="6"/>
      <c r="M143" t="s">
        <v>1753</v>
      </c>
    </row>
    <row r="144" spans="1:13" ht="15.75" customHeight="1" x14ac:dyDescent="0.35">
      <c r="B144" s="6" t="s">
        <v>3026</v>
      </c>
      <c r="C144" s="6" t="s">
        <v>131</v>
      </c>
      <c r="D144" s="6"/>
      <c r="E144" s="6"/>
      <c r="M144" t="s">
        <v>1753</v>
      </c>
    </row>
    <row r="145" spans="1:13" ht="15.75" customHeight="1" x14ac:dyDescent="0.35">
      <c r="B145" s="6" t="s">
        <v>136</v>
      </c>
      <c r="C145" s="6" t="s">
        <v>1635</v>
      </c>
      <c r="D145" s="6"/>
      <c r="E145" s="6"/>
      <c r="M145" t="s">
        <v>1753</v>
      </c>
    </row>
    <row r="146" spans="1:13" ht="15.75" customHeight="1" x14ac:dyDescent="0.35">
      <c r="B146" s="6" t="s">
        <v>137</v>
      </c>
      <c r="C146" s="6" t="s">
        <v>131</v>
      </c>
      <c r="D146" s="6"/>
      <c r="E146" s="6"/>
      <c r="M146" t="s">
        <v>1753</v>
      </c>
    </row>
    <row r="147" spans="1:13" ht="15.75" customHeight="1" x14ac:dyDescent="0.35">
      <c r="B147" s="6" t="s">
        <v>188</v>
      </c>
      <c r="C147" s="6" t="s">
        <v>1105</v>
      </c>
      <c r="D147" s="6"/>
      <c r="E147" s="6"/>
      <c r="M147" t="s">
        <v>1753</v>
      </c>
    </row>
    <row r="148" spans="1:13" ht="15.75" customHeight="1" x14ac:dyDescent="0.35">
      <c r="B148" s="6" t="s">
        <v>195</v>
      </c>
      <c r="C148" s="6" t="s">
        <v>131</v>
      </c>
      <c r="D148" s="6"/>
      <c r="E148" s="6"/>
      <c r="M148" t="s">
        <v>1753</v>
      </c>
    </row>
    <row r="149" spans="1:13" ht="15.75" customHeight="1" x14ac:dyDescent="0.35">
      <c r="B149" s="6"/>
      <c r="C149" s="6" t="s">
        <v>197</v>
      </c>
      <c r="D149" s="6"/>
      <c r="E149" s="6"/>
      <c r="M149" t="s">
        <v>1753</v>
      </c>
    </row>
    <row r="150" spans="1:13" ht="15.75" customHeight="1" x14ac:dyDescent="0.35">
      <c r="B150" s="6" t="s">
        <v>3027</v>
      </c>
      <c r="C150" s="6" t="s">
        <v>131</v>
      </c>
      <c r="D150" s="6"/>
      <c r="E150" s="6"/>
      <c r="M150" t="s">
        <v>1753</v>
      </c>
    </row>
    <row r="151" spans="1:13" ht="15.75" customHeight="1" x14ac:dyDescent="0.35">
      <c r="B151" s="6"/>
      <c r="C151" s="6"/>
      <c r="D151" s="6"/>
      <c r="E151" s="6"/>
      <c r="M151" t="s">
        <v>1753</v>
      </c>
    </row>
    <row r="152" spans="1:13" ht="15.75" customHeight="1" x14ac:dyDescent="0.35">
      <c r="A152" s="6" t="s">
        <v>3028</v>
      </c>
      <c r="B152" s="6" t="s">
        <v>3029</v>
      </c>
      <c r="C152" s="6"/>
      <c r="D152" s="6" t="s">
        <v>3030</v>
      </c>
      <c r="E152" s="6" t="s">
        <v>702</v>
      </c>
      <c r="M152" t="s">
        <v>1753</v>
      </c>
    </row>
    <row r="153" spans="1:13" ht="15.75" customHeight="1" x14ac:dyDescent="0.35">
      <c r="B153" s="6" t="s">
        <v>3031</v>
      </c>
      <c r="C153" s="6" t="s">
        <v>131</v>
      </c>
      <c r="D153" s="6" t="s">
        <v>3030</v>
      </c>
      <c r="E153" s="6" t="s">
        <v>702</v>
      </c>
      <c r="M153" t="s">
        <v>1753</v>
      </c>
    </row>
    <row r="154" spans="1:13" ht="15.75" customHeight="1" x14ac:dyDescent="0.35">
      <c r="B154" s="6" t="s">
        <v>3032</v>
      </c>
      <c r="C154" s="6" t="s">
        <v>1105</v>
      </c>
      <c r="D154" s="6"/>
      <c r="E154" s="6"/>
      <c r="M154" t="s">
        <v>1753</v>
      </c>
    </row>
    <row r="155" spans="1:13" ht="15.75" customHeight="1" x14ac:dyDescent="0.35">
      <c r="B155" s="6"/>
      <c r="C155" s="6"/>
      <c r="D155" s="6"/>
      <c r="E155" s="6"/>
      <c r="M155" t="s">
        <v>1753</v>
      </c>
    </row>
    <row r="156" spans="1:13" ht="15.75" customHeight="1" x14ac:dyDescent="0.35">
      <c r="A156" s="6" t="s">
        <v>3033</v>
      </c>
      <c r="B156" s="6" t="s">
        <v>3034</v>
      </c>
      <c r="C156" s="6"/>
      <c r="D156" s="6" t="s">
        <v>3030</v>
      </c>
      <c r="E156" s="6" t="s">
        <v>702</v>
      </c>
      <c r="M156" t="s">
        <v>1753</v>
      </c>
    </row>
    <row r="157" spans="1:13" ht="15.75" customHeight="1" x14ac:dyDescent="0.35">
      <c r="B157" s="6" t="s">
        <v>3035</v>
      </c>
      <c r="C157" s="6" t="s">
        <v>131</v>
      </c>
      <c r="D157" s="6" t="s">
        <v>3030</v>
      </c>
      <c r="E157" s="6" t="s">
        <v>702</v>
      </c>
      <c r="M157" t="s">
        <v>1753</v>
      </c>
    </row>
    <row r="158" spans="1:13" ht="15.75" customHeight="1" x14ac:dyDescent="0.35">
      <c r="B158" s="6"/>
      <c r="C158" s="6"/>
      <c r="D158" s="6"/>
      <c r="E158" s="6"/>
      <c r="M158" t="s">
        <v>1753</v>
      </c>
    </row>
    <row r="159" spans="1:13" ht="15.75" customHeight="1" x14ac:dyDescent="0.35">
      <c r="A159" s="6" t="s">
        <v>3036</v>
      </c>
      <c r="B159" s="6" t="s">
        <v>3037</v>
      </c>
      <c r="C159" s="6"/>
      <c r="D159" s="6" t="s">
        <v>3030</v>
      </c>
      <c r="E159" s="6" t="s">
        <v>702</v>
      </c>
      <c r="M159" t="s">
        <v>1753</v>
      </c>
    </row>
    <row r="160" spans="1:13" ht="15.75" customHeight="1" x14ac:dyDescent="0.35">
      <c r="B160" s="6"/>
      <c r="C160" s="6"/>
      <c r="D160" s="6" t="s">
        <v>3038</v>
      </c>
      <c r="E160" s="6" t="s">
        <v>3039</v>
      </c>
      <c r="M160" t="s">
        <v>1753</v>
      </c>
    </row>
    <row r="161" spans="1:13" ht="15.75" customHeight="1" x14ac:dyDescent="0.35">
      <c r="B161" s="6" t="s">
        <v>3040</v>
      </c>
      <c r="C161" s="6"/>
      <c r="D161" s="6" t="s">
        <v>3030</v>
      </c>
      <c r="E161" s="6" t="s">
        <v>702</v>
      </c>
      <c r="M161" t="s">
        <v>1753</v>
      </c>
    </row>
    <row r="162" spans="1:13" ht="15.75" customHeight="1" x14ac:dyDescent="0.35">
      <c r="B162" s="6"/>
      <c r="C162" s="6"/>
      <c r="D162" s="6" t="s">
        <v>2977</v>
      </c>
      <c r="E162" s="6" t="s">
        <v>2978</v>
      </c>
      <c r="M162" t="s">
        <v>1753</v>
      </c>
    </row>
    <row r="163" spans="1:13" ht="15.75" customHeight="1" x14ac:dyDescent="0.35">
      <c r="B163" s="6" t="s">
        <v>3041</v>
      </c>
      <c r="C163" s="6"/>
      <c r="D163" s="6" t="s">
        <v>3030</v>
      </c>
      <c r="E163" s="6" t="s">
        <v>702</v>
      </c>
      <c r="M163" t="s">
        <v>1753</v>
      </c>
    </row>
    <row r="164" spans="1:13" ht="15.75" customHeight="1" x14ac:dyDescent="0.35">
      <c r="B164" s="6"/>
      <c r="C164" s="6"/>
      <c r="D164" s="6" t="s">
        <v>3038</v>
      </c>
      <c r="E164" s="6" t="s">
        <v>3039</v>
      </c>
      <c r="M164" t="s">
        <v>1753</v>
      </c>
    </row>
    <row r="165" spans="1:13" ht="15.75" customHeight="1" x14ac:dyDescent="0.35">
      <c r="B165" s="6" t="s">
        <v>3042</v>
      </c>
      <c r="C165" s="6"/>
      <c r="D165" s="6" t="s">
        <v>3030</v>
      </c>
      <c r="E165" s="6" t="s">
        <v>702</v>
      </c>
      <c r="M165" t="s">
        <v>1753</v>
      </c>
    </row>
    <row r="166" spans="1:13" ht="15.75" customHeight="1" x14ac:dyDescent="0.35">
      <c r="B166" s="6"/>
      <c r="C166" s="6"/>
      <c r="D166" s="6" t="s">
        <v>2977</v>
      </c>
      <c r="E166" s="6" t="s">
        <v>2978</v>
      </c>
      <c r="M166" t="s">
        <v>1753</v>
      </c>
    </row>
    <row r="167" spans="1:13" ht="15.75" customHeight="1" x14ac:dyDescent="0.35">
      <c r="A167" s="6" t="s">
        <v>3043</v>
      </c>
      <c r="B167" s="6" t="s">
        <v>3044</v>
      </c>
      <c r="C167" s="6"/>
      <c r="D167" s="6" t="s">
        <v>3030</v>
      </c>
      <c r="E167" s="6" t="s">
        <v>702</v>
      </c>
      <c r="M167" t="s">
        <v>1753</v>
      </c>
    </row>
    <row r="168" spans="1:13" ht="15.75" customHeight="1" x14ac:dyDescent="0.35">
      <c r="B168" s="6"/>
      <c r="C168" s="6"/>
      <c r="D168" s="6" t="s">
        <v>2983</v>
      </c>
      <c r="E168" s="6" t="s">
        <v>2958</v>
      </c>
      <c r="M168" t="s">
        <v>1753</v>
      </c>
    </row>
    <row r="169" spans="1:13" ht="15.75" customHeight="1" x14ac:dyDescent="0.35">
      <c r="B169" s="6" t="s">
        <v>3045</v>
      </c>
      <c r="C169" s="6" t="s">
        <v>131</v>
      </c>
      <c r="D169" s="6"/>
      <c r="E169" s="6"/>
      <c r="M169" t="s">
        <v>1753</v>
      </c>
    </row>
    <row r="170" spans="1:13" ht="15.75" customHeight="1" x14ac:dyDescent="0.35">
      <c r="B170" s="6" t="s">
        <v>3046</v>
      </c>
      <c r="C170" s="6" t="s">
        <v>131</v>
      </c>
      <c r="D170" s="6" t="s">
        <v>3030</v>
      </c>
      <c r="E170" s="6" t="s">
        <v>702</v>
      </c>
      <c r="M170" t="s">
        <v>1753</v>
      </c>
    </row>
    <row r="171" spans="1:13" ht="15.75" customHeight="1" x14ac:dyDescent="0.35">
      <c r="B171" s="6"/>
      <c r="C171" s="6"/>
      <c r="D171" s="6" t="s">
        <v>2983</v>
      </c>
      <c r="E171" s="6" t="s">
        <v>2958</v>
      </c>
      <c r="M171" t="s">
        <v>1753</v>
      </c>
    </row>
    <row r="172" spans="1:13" ht="15.75" customHeight="1" x14ac:dyDescent="0.35">
      <c r="A172" s="6" t="s">
        <v>3047</v>
      </c>
      <c r="B172" s="6" t="s">
        <v>3048</v>
      </c>
      <c r="C172" s="6" t="s">
        <v>131</v>
      </c>
      <c r="D172" s="6"/>
      <c r="E172" s="6"/>
      <c r="M172" t="s">
        <v>1753</v>
      </c>
    </row>
    <row r="173" spans="1:13" ht="15.75" customHeight="1" x14ac:dyDescent="0.35">
      <c r="B173" s="6" t="s">
        <v>3049</v>
      </c>
      <c r="C173" s="6" t="s">
        <v>131</v>
      </c>
      <c r="D173" s="6" t="s">
        <v>3030</v>
      </c>
      <c r="E173" s="6" t="s">
        <v>702</v>
      </c>
      <c r="M173" t="s">
        <v>1753</v>
      </c>
    </row>
    <row r="174" spans="1:13" ht="15.75" customHeight="1" x14ac:dyDescent="0.35">
      <c r="B174" s="6"/>
      <c r="C174" s="6"/>
      <c r="D174" s="6" t="s">
        <v>2977</v>
      </c>
      <c r="E174" s="6" t="s">
        <v>2978</v>
      </c>
      <c r="M174" t="s">
        <v>1753</v>
      </c>
    </row>
    <row r="175" spans="1:13" ht="15.75" customHeight="1" x14ac:dyDescent="0.35">
      <c r="B175" s="6" t="s">
        <v>3050</v>
      </c>
      <c r="C175" s="6" t="s">
        <v>131</v>
      </c>
      <c r="D175" s="6" t="s">
        <v>3030</v>
      </c>
      <c r="E175" s="6" t="s">
        <v>702</v>
      </c>
      <c r="M175" t="s">
        <v>1753</v>
      </c>
    </row>
    <row r="176" spans="1:13" ht="15.75" customHeight="1" x14ac:dyDescent="0.35">
      <c r="B176" s="6"/>
      <c r="C176" s="6"/>
      <c r="D176" s="6" t="s">
        <v>2977</v>
      </c>
      <c r="E176" s="6" t="s">
        <v>2978</v>
      </c>
      <c r="M176" t="s">
        <v>1753</v>
      </c>
    </row>
    <row r="177" spans="1:13" ht="15.75" customHeight="1" x14ac:dyDescent="0.35">
      <c r="M177" t="s">
        <v>1753</v>
      </c>
    </row>
    <row r="178" spans="1:13" ht="15.75" customHeight="1" x14ac:dyDescent="0.35">
      <c r="A178" t="s">
        <v>1400</v>
      </c>
      <c r="B178" t="s">
        <v>1401</v>
      </c>
      <c r="C178" t="s">
        <v>25</v>
      </c>
      <c r="G178" t="s">
        <v>1402</v>
      </c>
      <c r="H178" t="s">
        <v>1402</v>
      </c>
      <c r="I178" t="s">
        <v>1402</v>
      </c>
      <c r="J178" t="s">
        <v>1402</v>
      </c>
      <c r="K178" t="s">
        <v>3051</v>
      </c>
      <c r="L178" t="s">
        <v>1402</v>
      </c>
      <c r="M178" t="s">
        <v>1753</v>
      </c>
    </row>
    <row r="179" spans="1:13" ht="15.75" customHeight="1" x14ac:dyDescent="0.35">
      <c r="C179" t="s">
        <v>29</v>
      </c>
      <c r="G179" t="s">
        <v>461</v>
      </c>
      <c r="H179" t="s">
        <v>3052</v>
      </c>
      <c r="I179" t="s">
        <v>3052</v>
      </c>
      <c r="J179" t="s">
        <v>461</v>
      </c>
      <c r="K179" t="s">
        <v>461</v>
      </c>
      <c r="L179" t="s">
        <v>461</v>
      </c>
      <c r="M179" t="s">
        <v>1753</v>
      </c>
    </row>
    <row r="180" spans="1:13" ht="15.75" customHeight="1" x14ac:dyDescent="0.35">
      <c r="B180" t="s">
        <v>1403</v>
      </c>
      <c r="C180" t="s">
        <v>1404</v>
      </c>
      <c r="D180" t="s">
        <v>1405</v>
      </c>
      <c r="E180" t="s">
        <v>1406</v>
      </c>
      <c r="G180" t="s">
        <v>1757</v>
      </c>
      <c r="H180" t="s">
        <v>1757</v>
      </c>
      <c r="I180" t="s">
        <v>1756</v>
      </c>
      <c r="J180" t="s">
        <v>1407</v>
      </c>
      <c r="K180" t="s">
        <v>3053</v>
      </c>
      <c r="L180" t="s">
        <v>3054</v>
      </c>
      <c r="M180" t="s">
        <v>1753</v>
      </c>
    </row>
    <row r="181" spans="1:13" ht="15.75" customHeight="1" x14ac:dyDescent="0.35">
      <c r="C181" t="s">
        <v>1725</v>
      </c>
      <c r="G181" t="s">
        <v>3055</v>
      </c>
      <c r="H181" t="s">
        <v>1759</v>
      </c>
      <c r="I181" t="s">
        <v>3056</v>
      </c>
      <c r="J181" t="s">
        <v>1411</v>
      </c>
      <c r="K181" t="s">
        <v>3057</v>
      </c>
      <c r="L181" t="s">
        <v>1411</v>
      </c>
      <c r="M181" t="s">
        <v>1753</v>
      </c>
    </row>
    <row r="182" spans="1:13" ht="15.75" customHeight="1" x14ac:dyDescent="0.35">
      <c r="C182" t="s">
        <v>1415</v>
      </c>
      <c r="G182" t="s">
        <v>1762</v>
      </c>
      <c r="H182" t="s">
        <v>1762</v>
      </c>
      <c r="I182" t="s">
        <v>3058</v>
      </c>
      <c r="J182" t="s">
        <v>1416</v>
      </c>
      <c r="K182" t="s">
        <v>1416</v>
      </c>
      <c r="L182" t="s">
        <v>1416</v>
      </c>
      <c r="M182" t="s">
        <v>1753</v>
      </c>
    </row>
    <row r="183" spans="1:13" ht="15.75" customHeight="1" x14ac:dyDescent="0.35">
      <c r="B183" t="s">
        <v>1420</v>
      </c>
      <c r="C183" t="s">
        <v>2029</v>
      </c>
      <c r="G183" t="s">
        <v>3059</v>
      </c>
      <c r="H183" t="s">
        <v>3059</v>
      </c>
      <c r="I183" t="s">
        <v>3059</v>
      </c>
      <c r="J183" t="s">
        <v>3060</v>
      </c>
      <c r="K183" t="s">
        <v>3060</v>
      </c>
      <c r="L183" t="s">
        <v>3060</v>
      </c>
      <c r="M183" t="s">
        <v>1753</v>
      </c>
    </row>
    <row r="184" spans="1:13" ht="15.75" customHeight="1" x14ac:dyDescent="0.35">
      <c r="C184" t="s">
        <v>2031</v>
      </c>
      <c r="G184" t="s">
        <v>3061</v>
      </c>
      <c r="H184" t="s">
        <v>3061</v>
      </c>
      <c r="I184" t="s">
        <v>3061</v>
      </c>
      <c r="J184" t="s">
        <v>3062</v>
      </c>
      <c r="K184" t="s">
        <v>3063</v>
      </c>
      <c r="L184" t="s">
        <v>3062</v>
      </c>
      <c r="M184" t="s">
        <v>1753</v>
      </c>
    </row>
    <row r="185" spans="1:13" ht="15.75" customHeight="1" x14ac:dyDescent="0.35">
      <c r="C185" t="s">
        <v>756</v>
      </c>
      <c r="G185" t="s">
        <v>3064</v>
      </c>
      <c r="H185" t="s">
        <v>3065</v>
      </c>
      <c r="I185" t="s">
        <v>3066</v>
      </c>
      <c r="J185" t="s">
        <v>3067</v>
      </c>
      <c r="K185" t="s">
        <v>3068</v>
      </c>
      <c r="L185" t="s">
        <v>3069</v>
      </c>
      <c r="M185" t="s">
        <v>1753</v>
      </c>
    </row>
    <row r="186" spans="1:13" ht="15.75" customHeight="1" x14ac:dyDescent="0.35">
      <c r="C186" t="s">
        <v>1792</v>
      </c>
      <c r="G186" t="s">
        <v>3070</v>
      </c>
      <c r="H186" t="s">
        <v>3070</v>
      </c>
      <c r="I186" t="s">
        <v>3071</v>
      </c>
      <c r="J186" t="s">
        <v>3072</v>
      </c>
      <c r="K186" t="s">
        <v>3073</v>
      </c>
      <c r="L186" t="s">
        <v>3074</v>
      </c>
      <c r="M186" t="s">
        <v>1753</v>
      </c>
    </row>
    <row r="187" spans="1:13" ht="15.75" customHeight="1" x14ac:dyDescent="0.35">
      <c r="B187" t="s">
        <v>103</v>
      </c>
      <c r="D187" t="s">
        <v>34</v>
      </c>
      <c r="E187" t="s">
        <v>35</v>
      </c>
      <c r="M187" t="s">
        <v>1753</v>
      </c>
    </row>
    <row r="188" spans="1:13" ht="15.75" customHeight="1" x14ac:dyDescent="0.35">
      <c r="B188" t="s">
        <v>105</v>
      </c>
      <c r="C188" t="s">
        <v>25</v>
      </c>
      <c r="G188" t="s">
        <v>3075</v>
      </c>
      <c r="H188" t="s">
        <v>3075</v>
      </c>
      <c r="I188" t="s">
        <v>3075</v>
      </c>
      <c r="J188" t="s">
        <v>1436</v>
      </c>
      <c r="K188" t="s">
        <v>1436</v>
      </c>
      <c r="L188" t="s">
        <v>505</v>
      </c>
      <c r="M188" t="s">
        <v>1753</v>
      </c>
    </row>
    <row r="189" spans="1:13" ht="15.75" customHeight="1" x14ac:dyDescent="0.35">
      <c r="C189" t="s">
        <v>29</v>
      </c>
      <c r="G189" t="s">
        <v>3076</v>
      </c>
      <c r="H189" t="s">
        <v>1801</v>
      </c>
      <c r="I189" t="s">
        <v>3076</v>
      </c>
      <c r="J189" t="s">
        <v>107</v>
      </c>
      <c r="K189" t="s">
        <v>107</v>
      </c>
      <c r="L189" t="s">
        <v>107</v>
      </c>
      <c r="M189" t="s">
        <v>1753</v>
      </c>
    </row>
    <row r="190" spans="1:13" ht="15.75" customHeight="1" x14ac:dyDescent="0.35">
      <c r="B190" s="6" t="s">
        <v>137</v>
      </c>
      <c r="C190" s="6" t="s">
        <v>131</v>
      </c>
      <c r="M190" t="s">
        <v>1753</v>
      </c>
    </row>
    <row r="191" spans="1:13" ht="15.75" customHeight="1" x14ac:dyDescent="0.35">
      <c r="B191" s="6" t="s">
        <v>139</v>
      </c>
      <c r="C191" s="6" t="s">
        <v>131</v>
      </c>
      <c r="M191" t="s">
        <v>1753</v>
      </c>
    </row>
    <row r="192" spans="1:13" ht="15.75" customHeight="1" x14ac:dyDescent="0.35">
      <c r="B192" s="6" t="s">
        <v>1437</v>
      </c>
      <c r="C192" s="6" t="s">
        <v>131</v>
      </c>
      <c r="M192" t="s">
        <v>1753</v>
      </c>
    </row>
    <row r="193" spans="1:13" ht="15.75" customHeight="1" x14ac:dyDescent="0.35">
      <c r="B193" t="s">
        <v>141</v>
      </c>
      <c r="C193" t="s">
        <v>777</v>
      </c>
      <c r="G193" t="s">
        <v>3077</v>
      </c>
      <c r="H193" t="s">
        <v>3077</v>
      </c>
      <c r="I193" t="s">
        <v>3077</v>
      </c>
      <c r="J193" t="s">
        <v>3078</v>
      </c>
      <c r="K193" t="s">
        <v>3079</v>
      </c>
      <c r="L193" t="s">
        <v>3080</v>
      </c>
      <c r="M193" t="s">
        <v>1753</v>
      </c>
    </row>
    <row r="194" spans="1:13" ht="15.75" customHeight="1" x14ac:dyDescent="0.35">
      <c r="C194" t="s">
        <v>779</v>
      </c>
      <c r="G194" t="s">
        <v>3081</v>
      </c>
      <c r="H194" t="s">
        <v>3081</v>
      </c>
      <c r="I194" t="s">
        <v>3082</v>
      </c>
      <c r="J194" t="s">
        <v>3083</v>
      </c>
      <c r="K194" t="s">
        <v>3084</v>
      </c>
      <c r="L194" t="s">
        <v>3085</v>
      </c>
      <c r="M194" t="s">
        <v>1753</v>
      </c>
    </row>
    <row r="195" spans="1:13" ht="15.75" customHeight="1" x14ac:dyDescent="0.35">
      <c r="C195" t="s">
        <v>3086</v>
      </c>
      <c r="G195" t="s">
        <v>3087</v>
      </c>
      <c r="H195" t="s">
        <v>3088</v>
      </c>
      <c r="I195" t="s">
        <v>3089</v>
      </c>
      <c r="J195" t="s">
        <v>2271</v>
      </c>
      <c r="K195" t="s">
        <v>3090</v>
      </c>
      <c r="L195" t="s">
        <v>3091</v>
      </c>
      <c r="M195" t="s">
        <v>1753</v>
      </c>
    </row>
    <row r="196" spans="1:13" ht="15.75" customHeight="1" x14ac:dyDescent="0.35">
      <c r="B196" t="s">
        <v>1447</v>
      </c>
      <c r="C196" t="s">
        <v>777</v>
      </c>
      <c r="G196" t="s">
        <v>3092</v>
      </c>
      <c r="H196" t="s">
        <v>3093</v>
      </c>
      <c r="I196" t="s">
        <v>3094</v>
      </c>
      <c r="J196" t="s">
        <v>3095</v>
      </c>
      <c r="K196" t="s">
        <v>3096</v>
      </c>
      <c r="L196" t="s">
        <v>3097</v>
      </c>
      <c r="M196" t="s">
        <v>1753</v>
      </c>
    </row>
    <row r="197" spans="1:13" ht="15.75" customHeight="1" x14ac:dyDescent="0.35">
      <c r="C197" t="s">
        <v>3098</v>
      </c>
      <c r="G197" t="s">
        <v>3099</v>
      </c>
      <c r="H197" t="s">
        <v>3100</v>
      </c>
      <c r="I197" t="s">
        <v>3101</v>
      </c>
      <c r="J197" t="s">
        <v>3102</v>
      </c>
      <c r="K197" t="s">
        <v>3103</v>
      </c>
      <c r="L197" t="s">
        <v>3104</v>
      </c>
      <c r="M197" t="s">
        <v>1753</v>
      </c>
    </row>
    <row r="198" spans="1:13" ht="15.75" customHeight="1" x14ac:dyDescent="0.35">
      <c r="C198" t="s">
        <v>780</v>
      </c>
      <c r="G198" t="s">
        <v>3105</v>
      </c>
      <c r="H198" t="s">
        <v>3106</v>
      </c>
      <c r="I198" t="s">
        <v>3107</v>
      </c>
      <c r="J198" t="s">
        <v>3108</v>
      </c>
      <c r="K198" t="s">
        <v>3109</v>
      </c>
      <c r="L198" t="s">
        <v>3110</v>
      </c>
      <c r="M198" t="s">
        <v>1753</v>
      </c>
    </row>
    <row r="199" spans="1:13" ht="15.75" customHeight="1" x14ac:dyDescent="0.35">
      <c r="B199" t="s">
        <v>188</v>
      </c>
      <c r="C199" t="s">
        <v>1105</v>
      </c>
      <c r="G199" t="s">
        <v>1874</v>
      </c>
      <c r="H199" t="s">
        <v>2332</v>
      </c>
      <c r="I199" t="s">
        <v>1874</v>
      </c>
      <c r="J199" t="s">
        <v>1728</v>
      </c>
      <c r="K199" t="s">
        <v>3111</v>
      </c>
      <c r="L199" t="s">
        <v>1728</v>
      </c>
      <c r="M199" t="s">
        <v>1753</v>
      </c>
    </row>
    <row r="200" spans="1:13" ht="15.75" customHeight="1" x14ac:dyDescent="0.35">
      <c r="B200" t="s">
        <v>195</v>
      </c>
      <c r="C200" t="s">
        <v>131</v>
      </c>
      <c r="G200" t="s">
        <v>2119</v>
      </c>
      <c r="H200" t="s">
        <v>2119</v>
      </c>
      <c r="I200" t="s">
        <v>2119</v>
      </c>
      <c r="J200" t="s">
        <v>1463</v>
      </c>
      <c r="K200" t="s">
        <v>1463</v>
      </c>
      <c r="L200" t="s">
        <v>1463</v>
      </c>
      <c r="M200" t="s">
        <v>1753</v>
      </c>
    </row>
    <row r="201" spans="1:13" ht="15.75" customHeight="1" x14ac:dyDescent="0.35">
      <c r="C201" t="s">
        <v>197</v>
      </c>
      <c r="G201" t="s">
        <v>2335</v>
      </c>
      <c r="H201" t="s">
        <v>2335</v>
      </c>
      <c r="I201" t="s">
        <v>621</v>
      </c>
      <c r="J201" t="s">
        <v>621</v>
      </c>
      <c r="K201" t="s">
        <v>621</v>
      </c>
      <c r="L201" t="s">
        <v>621</v>
      </c>
      <c r="M201" t="s">
        <v>1753</v>
      </c>
    </row>
    <row r="202" spans="1:13" ht="15.75" customHeight="1" x14ac:dyDescent="0.35">
      <c r="C202" t="s">
        <v>200</v>
      </c>
      <c r="G202" t="s">
        <v>3112</v>
      </c>
      <c r="H202" t="s">
        <v>3112</v>
      </c>
      <c r="I202" t="s">
        <v>3112</v>
      </c>
      <c r="J202" t="s">
        <v>1465</v>
      </c>
      <c r="K202" t="s">
        <v>3113</v>
      </c>
      <c r="L202" t="s">
        <v>3114</v>
      </c>
      <c r="M202" t="s">
        <v>1753</v>
      </c>
    </row>
    <row r="203" spans="1:13" ht="15.75" customHeight="1" x14ac:dyDescent="0.35">
      <c r="M203" t="s">
        <v>1753</v>
      </c>
    </row>
    <row r="204" spans="1:13" ht="15.75" customHeight="1" x14ac:dyDescent="0.35">
      <c r="A204" s="6" t="s">
        <v>3115</v>
      </c>
      <c r="B204" s="6" t="s">
        <v>3116</v>
      </c>
      <c r="C204" s="6"/>
      <c r="D204" s="6" t="s">
        <v>3030</v>
      </c>
      <c r="E204" s="6" t="s">
        <v>702</v>
      </c>
      <c r="M204" t="s">
        <v>1753</v>
      </c>
    </row>
    <row r="205" spans="1:13" ht="15.75" customHeight="1" x14ac:dyDescent="0.35">
      <c r="B205" s="6" t="s">
        <v>3117</v>
      </c>
      <c r="C205" s="6" t="s">
        <v>131</v>
      </c>
      <c r="D205" s="6" t="s">
        <v>3030</v>
      </c>
      <c r="E205" s="6" t="s">
        <v>702</v>
      </c>
      <c r="M205" t="s">
        <v>1753</v>
      </c>
    </row>
    <row r="206" spans="1:13" ht="15.75" customHeight="1" x14ac:dyDescent="0.35">
      <c r="M206" t="s">
        <v>1753</v>
      </c>
    </row>
    <row r="207" spans="1:13" ht="15.75" customHeight="1" x14ac:dyDescent="0.35">
      <c r="A207" t="s">
        <v>1470</v>
      </c>
      <c r="B207" t="s">
        <v>1471</v>
      </c>
      <c r="C207" t="s">
        <v>25</v>
      </c>
      <c r="G207" t="s">
        <v>3118</v>
      </c>
      <c r="H207" t="s">
        <v>3118</v>
      </c>
      <c r="I207" t="s">
        <v>3119</v>
      </c>
      <c r="J207" t="s">
        <v>1472</v>
      </c>
      <c r="K207" t="s">
        <v>3120</v>
      </c>
      <c r="L207" t="s">
        <v>3120</v>
      </c>
      <c r="M207" t="s">
        <v>1753</v>
      </c>
    </row>
    <row r="208" spans="1:13" ht="15.75" customHeight="1" x14ac:dyDescent="0.35">
      <c r="C208" t="s">
        <v>29</v>
      </c>
      <c r="G208" t="s">
        <v>1473</v>
      </c>
      <c r="H208" t="s">
        <v>1473</v>
      </c>
      <c r="I208" t="s">
        <v>3121</v>
      </c>
      <c r="J208" t="s">
        <v>1473</v>
      </c>
      <c r="K208" t="s">
        <v>3122</v>
      </c>
      <c r="L208" t="s">
        <v>1473</v>
      </c>
      <c r="M208" t="s">
        <v>1753</v>
      </c>
    </row>
    <row r="209" spans="2:13" ht="15.75" customHeight="1" x14ac:dyDescent="0.35">
      <c r="B209" t="s">
        <v>1474</v>
      </c>
      <c r="C209" t="s">
        <v>1404</v>
      </c>
      <c r="D209" t="s">
        <v>1405</v>
      </c>
      <c r="E209" t="s">
        <v>1406</v>
      </c>
      <c r="G209" t="s">
        <v>3123</v>
      </c>
      <c r="H209" t="s">
        <v>3123</v>
      </c>
      <c r="I209" t="s">
        <v>3124</v>
      </c>
      <c r="J209" t="s">
        <v>1475</v>
      </c>
      <c r="K209" t="s">
        <v>3125</v>
      </c>
      <c r="L209" t="s">
        <v>3125</v>
      </c>
      <c r="M209" t="s">
        <v>1753</v>
      </c>
    </row>
    <row r="210" spans="2:13" ht="15.75" customHeight="1" x14ac:dyDescent="0.35">
      <c r="C210" t="s">
        <v>1725</v>
      </c>
      <c r="G210" t="s">
        <v>3126</v>
      </c>
      <c r="H210" t="s">
        <v>3127</v>
      </c>
      <c r="I210" t="s">
        <v>3127</v>
      </c>
      <c r="J210" t="s">
        <v>1729</v>
      </c>
      <c r="K210" t="s">
        <v>1729</v>
      </c>
      <c r="L210" t="s">
        <v>1729</v>
      </c>
      <c r="M210" t="s">
        <v>1753</v>
      </c>
    </row>
    <row r="211" spans="2:13" ht="15.75" customHeight="1" x14ac:dyDescent="0.35">
      <c r="C211" t="s">
        <v>1415</v>
      </c>
      <c r="G211" t="s">
        <v>3128</v>
      </c>
      <c r="H211" t="s">
        <v>3129</v>
      </c>
      <c r="I211" t="s">
        <v>3128</v>
      </c>
      <c r="J211" t="s">
        <v>1483</v>
      </c>
      <c r="K211" t="s">
        <v>1483</v>
      </c>
      <c r="L211" t="s">
        <v>1483</v>
      </c>
      <c r="M211" t="s">
        <v>1753</v>
      </c>
    </row>
    <row r="212" spans="2:13" ht="15.75" customHeight="1" x14ac:dyDescent="0.35">
      <c r="B212" t="s">
        <v>1487</v>
      </c>
      <c r="C212" t="s">
        <v>1488</v>
      </c>
      <c r="D212" t="s">
        <v>1489</v>
      </c>
      <c r="E212" t="s">
        <v>1490</v>
      </c>
      <c r="G212" t="s">
        <v>3130</v>
      </c>
      <c r="H212" t="s">
        <v>3130</v>
      </c>
      <c r="I212" t="s">
        <v>3130</v>
      </c>
      <c r="J212" t="s">
        <v>1491</v>
      </c>
      <c r="K212" t="s">
        <v>1491</v>
      </c>
      <c r="L212" t="s">
        <v>1491</v>
      </c>
      <c r="M212" t="s">
        <v>1753</v>
      </c>
    </row>
    <row r="213" spans="2:13" ht="15.75" customHeight="1" x14ac:dyDescent="0.35">
      <c r="C213" t="s">
        <v>1494</v>
      </c>
      <c r="G213" t="s">
        <v>3131</v>
      </c>
      <c r="H213" t="s">
        <v>3132</v>
      </c>
      <c r="I213" t="s">
        <v>3132</v>
      </c>
      <c r="J213" t="s">
        <v>1495</v>
      </c>
      <c r="K213" t="s">
        <v>3133</v>
      </c>
      <c r="L213" t="s">
        <v>3133</v>
      </c>
      <c r="M213" t="s">
        <v>1753</v>
      </c>
    </row>
    <row r="214" spans="2:13" ht="15.75" customHeight="1" x14ac:dyDescent="0.35">
      <c r="B214" t="s">
        <v>1497</v>
      </c>
      <c r="C214" t="s">
        <v>1498</v>
      </c>
      <c r="D214" t="s">
        <v>1499</v>
      </c>
      <c r="E214" t="s">
        <v>1500</v>
      </c>
      <c r="G214" t="s">
        <v>3134</v>
      </c>
      <c r="H214" t="s">
        <v>3134</v>
      </c>
      <c r="I214" t="s">
        <v>1515</v>
      </c>
      <c r="J214" t="s">
        <v>1501</v>
      </c>
      <c r="K214" t="s">
        <v>3135</v>
      </c>
      <c r="L214" t="s">
        <v>3136</v>
      </c>
      <c r="M214" t="s">
        <v>1753</v>
      </c>
    </row>
    <row r="215" spans="2:13" ht="15.75" customHeight="1" x14ac:dyDescent="0.35">
      <c r="C215" t="s">
        <v>1504</v>
      </c>
      <c r="G215" t="s">
        <v>1896</v>
      </c>
      <c r="H215" t="s">
        <v>1896</v>
      </c>
      <c r="I215" t="s">
        <v>1896</v>
      </c>
      <c r="J215" t="s">
        <v>248</v>
      </c>
      <c r="K215" t="s">
        <v>248</v>
      </c>
      <c r="L215" t="s">
        <v>3137</v>
      </c>
      <c r="M215" t="s">
        <v>1753</v>
      </c>
    </row>
    <row r="216" spans="2:13" ht="15.75" customHeight="1" x14ac:dyDescent="0.35">
      <c r="C216" t="s">
        <v>1507</v>
      </c>
      <c r="G216" t="s">
        <v>3138</v>
      </c>
      <c r="H216" t="s">
        <v>3139</v>
      </c>
      <c r="I216" t="s">
        <v>3138</v>
      </c>
      <c r="J216" t="s">
        <v>1508</v>
      </c>
      <c r="K216" t="s">
        <v>1508</v>
      </c>
      <c r="L216" t="s">
        <v>3140</v>
      </c>
      <c r="M216" t="s">
        <v>1753</v>
      </c>
    </row>
    <row r="217" spans="2:13" ht="15.75" customHeight="1" x14ac:dyDescent="0.35">
      <c r="B217" t="s">
        <v>105</v>
      </c>
      <c r="C217" t="s">
        <v>25</v>
      </c>
      <c r="G217" t="s">
        <v>3141</v>
      </c>
      <c r="H217" t="s">
        <v>3141</v>
      </c>
      <c r="I217" t="s">
        <v>3142</v>
      </c>
      <c r="J217" t="s">
        <v>1512</v>
      </c>
      <c r="K217" t="s">
        <v>3141</v>
      </c>
      <c r="L217" t="s">
        <v>3141</v>
      </c>
      <c r="M217" t="s">
        <v>1753</v>
      </c>
    </row>
    <row r="218" spans="2:13" ht="15.75" customHeight="1" x14ac:dyDescent="0.35">
      <c r="C218" t="s">
        <v>29</v>
      </c>
      <c r="G218" t="s">
        <v>3143</v>
      </c>
      <c r="H218" t="s">
        <v>3144</v>
      </c>
      <c r="I218" t="s">
        <v>3145</v>
      </c>
      <c r="J218" t="s">
        <v>1513</v>
      </c>
      <c r="K218" t="s">
        <v>1513</v>
      </c>
      <c r="L218" t="s">
        <v>1513</v>
      </c>
      <c r="M218" t="s">
        <v>1753</v>
      </c>
    </row>
    <row r="219" spans="2:13" ht="15.75" customHeight="1" x14ac:dyDescent="0.35">
      <c r="B219" t="s">
        <v>134</v>
      </c>
      <c r="D219" t="s">
        <v>174</v>
      </c>
      <c r="E219" t="s">
        <v>175</v>
      </c>
      <c r="M219" t="s">
        <v>1753</v>
      </c>
    </row>
    <row r="220" spans="2:13" ht="15.75" customHeight="1" x14ac:dyDescent="0.35">
      <c r="B220" t="s">
        <v>136</v>
      </c>
      <c r="C220" t="s">
        <v>1635</v>
      </c>
      <c r="G220" t="s">
        <v>3146</v>
      </c>
      <c r="H220" t="s">
        <v>3146</v>
      </c>
      <c r="I220" t="s">
        <v>3146</v>
      </c>
      <c r="J220" t="s">
        <v>1730</v>
      </c>
      <c r="K220" t="s">
        <v>1730</v>
      </c>
      <c r="L220" t="s">
        <v>1730</v>
      </c>
      <c r="M220" t="s">
        <v>1753</v>
      </c>
    </row>
    <row r="221" spans="2:13" ht="15.75" customHeight="1" x14ac:dyDescent="0.35">
      <c r="B221" s="6" t="s">
        <v>137</v>
      </c>
      <c r="C221" s="6" t="s">
        <v>131</v>
      </c>
      <c r="M221" t="s">
        <v>1753</v>
      </c>
    </row>
    <row r="222" spans="2:13" ht="15.75" customHeight="1" x14ac:dyDescent="0.35">
      <c r="B222" t="s">
        <v>1514</v>
      </c>
      <c r="C222" t="s">
        <v>1498</v>
      </c>
      <c r="D222" t="s">
        <v>1499</v>
      </c>
      <c r="E222" t="s">
        <v>1500</v>
      </c>
      <c r="G222" t="s">
        <v>3147</v>
      </c>
      <c r="H222" t="s">
        <v>3147</v>
      </c>
      <c r="I222" t="s">
        <v>3147</v>
      </c>
      <c r="J222" t="s">
        <v>1515</v>
      </c>
      <c r="K222" t="s">
        <v>1515</v>
      </c>
      <c r="L222" t="s">
        <v>1515</v>
      </c>
      <c r="M222" t="s">
        <v>1753</v>
      </c>
    </row>
    <row r="223" spans="2:13" ht="15.75" customHeight="1" x14ac:dyDescent="0.35">
      <c r="C223" t="s">
        <v>1504</v>
      </c>
      <c r="G223" t="s">
        <v>1896</v>
      </c>
      <c r="H223" t="s">
        <v>1896</v>
      </c>
      <c r="I223" t="s">
        <v>1896</v>
      </c>
      <c r="J223" t="s">
        <v>1516</v>
      </c>
      <c r="K223" t="s">
        <v>1516</v>
      </c>
      <c r="L223" t="s">
        <v>248</v>
      </c>
      <c r="M223" t="s">
        <v>1753</v>
      </c>
    </row>
    <row r="224" spans="2:13" ht="15.75" customHeight="1" x14ac:dyDescent="0.35">
      <c r="C224" t="s">
        <v>1507</v>
      </c>
      <c r="G224" t="s">
        <v>3148</v>
      </c>
      <c r="H224" t="s">
        <v>3149</v>
      </c>
      <c r="I224" t="s">
        <v>3148</v>
      </c>
      <c r="J224" t="s">
        <v>1519</v>
      </c>
      <c r="K224" t="s">
        <v>3150</v>
      </c>
      <c r="L224" t="s">
        <v>3151</v>
      </c>
      <c r="M224" t="s">
        <v>1753</v>
      </c>
    </row>
    <row r="225" spans="1:13" ht="15.75" customHeight="1" x14ac:dyDescent="0.35">
      <c r="B225" t="s">
        <v>188</v>
      </c>
      <c r="C225" t="s">
        <v>1105</v>
      </c>
      <c r="G225" t="s">
        <v>3152</v>
      </c>
      <c r="H225" t="s">
        <v>3152</v>
      </c>
      <c r="I225" t="s">
        <v>3152</v>
      </c>
      <c r="J225" t="s">
        <v>1731</v>
      </c>
      <c r="K225" t="s">
        <v>3153</v>
      </c>
      <c r="L225" t="s">
        <v>3153</v>
      </c>
      <c r="M225" t="s">
        <v>1753</v>
      </c>
    </row>
    <row r="226" spans="1:13" ht="15.75" customHeight="1" x14ac:dyDescent="0.35">
      <c r="M226" t="s">
        <v>1753</v>
      </c>
    </row>
    <row r="227" spans="1:13" ht="15.75" customHeight="1" x14ac:dyDescent="0.35">
      <c r="A227" s="6" t="s">
        <v>3154</v>
      </c>
      <c r="B227" s="6" t="s">
        <v>3155</v>
      </c>
      <c r="C227" s="6" t="s">
        <v>25</v>
      </c>
      <c r="M227" t="s">
        <v>1753</v>
      </c>
    </row>
    <row r="228" spans="1:13" ht="15.75" customHeight="1" x14ac:dyDescent="0.35">
      <c r="B228" s="6"/>
      <c r="C228" s="6" t="s">
        <v>29</v>
      </c>
      <c r="M228" t="s">
        <v>1753</v>
      </c>
    </row>
    <row r="229" spans="1:13" ht="15.75" customHeight="1" x14ac:dyDescent="0.35">
      <c r="B229" s="6" t="s">
        <v>3156</v>
      </c>
      <c r="C229" s="6" t="s">
        <v>3157</v>
      </c>
      <c r="M229" t="s">
        <v>1753</v>
      </c>
    </row>
    <row r="230" spans="1:13" ht="15.75" customHeight="1" x14ac:dyDescent="0.35">
      <c r="B230" s="6"/>
      <c r="C230" s="6" t="s">
        <v>3158</v>
      </c>
      <c r="M230" t="s">
        <v>1753</v>
      </c>
    </row>
    <row r="231" spans="1:13" ht="15.75" customHeight="1" x14ac:dyDescent="0.35">
      <c r="B231" s="6" t="s">
        <v>105</v>
      </c>
      <c r="C231" s="6" t="s">
        <v>25</v>
      </c>
      <c r="M231" t="s">
        <v>1753</v>
      </c>
    </row>
    <row r="232" spans="1:13" ht="15.75" customHeight="1" x14ac:dyDescent="0.35">
      <c r="B232" s="6"/>
      <c r="C232" s="6" t="s">
        <v>29</v>
      </c>
      <c r="M232" t="s">
        <v>1753</v>
      </c>
    </row>
    <row r="233" spans="1:13" ht="15.75" customHeight="1" x14ac:dyDescent="0.35">
      <c r="B233" s="6" t="s">
        <v>3159</v>
      </c>
      <c r="C233" s="6" t="s">
        <v>131</v>
      </c>
      <c r="M233" t="s">
        <v>1753</v>
      </c>
    </row>
    <row r="234" spans="1:13" ht="15.75" customHeight="1" x14ac:dyDescent="0.35">
      <c r="B234" s="6" t="s">
        <v>136</v>
      </c>
      <c r="C234" s="6" t="s">
        <v>1635</v>
      </c>
      <c r="M234" t="s">
        <v>1753</v>
      </c>
    </row>
    <row r="235" spans="1:13" ht="15.75" customHeight="1" x14ac:dyDescent="0.35">
      <c r="B235" s="6" t="s">
        <v>137</v>
      </c>
      <c r="C235" s="6" t="s">
        <v>131</v>
      </c>
      <c r="M235" t="s">
        <v>1753</v>
      </c>
    </row>
    <row r="236" spans="1:13" ht="15.75" customHeight="1" x14ac:dyDescent="0.35">
      <c r="B236" s="6" t="s">
        <v>188</v>
      </c>
      <c r="C236" s="6" t="s">
        <v>1105</v>
      </c>
      <c r="M236" t="s">
        <v>1753</v>
      </c>
    </row>
    <row r="237" spans="1:13" ht="15.75" customHeight="1" x14ac:dyDescent="0.35">
      <c r="B237" s="6" t="s">
        <v>195</v>
      </c>
      <c r="C237" s="6" t="s">
        <v>131</v>
      </c>
      <c r="M237" t="s">
        <v>1753</v>
      </c>
    </row>
    <row r="238" spans="1:13" ht="15.75" customHeight="1" x14ac:dyDescent="0.35">
      <c r="B238" s="6"/>
      <c r="C238" s="6" t="s">
        <v>197</v>
      </c>
      <c r="M238" t="s">
        <v>1753</v>
      </c>
    </row>
    <row r="239" spans="1:13" ht="15.75" customHeight="1" x14ac:dyDescent="0.35">
      <c r="B239" s="6" t="s">
        <v>3160</v>
      </c>
      <c r="C239" s="6" t="s">
        <v>131</v>
      </c>
      <c r="M239" t="s">
        <v>1753</v>
      </c>
    </row>
    <row r="240" spans="1:13" ht="15.75" customHeight="1" x14ac:dyDescent="0.35">
      <c r="M240" t="s">
        <v>1753</v>
      </c>
    </row>
    <row r="241" spans="1:13" ht="15.75" customHeight="1" x14ac:dyDescent="0.35">
      <c r="A241" t="s">
        <v>1523</v>
      </c>
      <c r="B241" t="s">
        <v>1524</v>
      </c>
      <c r="C241" t="s">
        <v>25</v>
      </c>
      <c r="G241" t="s">
        <v>3161</v>
      </c>
      <c r="H241" t="s">
        <v>3161</v>
      </c>
      <c r="I241" t="s">
        <v>3162</v>
      </c>
      <c r="J241" t="s">
        <v>1525</v>
      </c>
      <c r="K241" t="s">
        <v>1525</v>
      </c>
      <c r="L241" t="s">
        <v>1525</v>
      </c>
      <c r="M241" t="s">
        <v>1753</v>
      </c>
    </row>
    <row r="242" spans="1:13" ht="15.75" customHeight="1" x14ac:dyDescent="0.35">
      <c r="C242" t="s">
        <v>29</v>
      </c>
      <c r="G242" t="s">
        <v>3163</v>
      </c>
      <c r="H242" t="s">
        <v>2361</v>
      </c>
      <c r="I242" t="s">
        <v>3164</v>
      </c>
      <c r="J242" t="s">
        <v>1526</v>
      </c>
      <c r="K242" t="s">
        <v>3165</v>
      </c>
      <c r="L242" t="s">
        <v>1526</v>
      </c>
      <c r="M242" t="s">
        <v>1753</v>
      </c>
    </row>
    <row r="243" spans="1:13" ht="15.75" customHeight="1" x14ac:dyDescent="0.35">
      <c r="B243" t="s">
        <v>1527</v>
      </c>
      <c r="C243" t="s">
        <v>3166</v>
      </c>
      <c r="G243" t="s">
        <v>3167</v>
      </c>
      <c r="H243" t="s">
        <v>3168</v>
      </c>
      <c r="I243" t="s">
        <v>3168</v>
      </c>
      <c r="J243" t="s">
        <v>3169</v>
      </c>
      <c r="K243" t="s">
        <v>3170</v>
      </c>
      <c r="L243" t="s">
        <v>3170</v>
      </c>
      <c r="M243" t="s">
        <v>1753</v>
      </c>
    </row>
    <row r="244" spans="1:13" ht="15.75" customHeight="1" x14ac:dyDescent="0.35">
      <c r="C244" t="s">
        <v>3171</v>
      </c>
      <c r="G244" t="s">
        <v>3172</v>
      </c>
      <c r="H244" t="s">
        <v>3173</v>
      </c>
      <c r="I244" t="s">
        <v>3174</v>
      </c>
      <c r="J244" t="s">
        <v>3175</v>
      </c>
      <c r="K244" t="s">
        <v>3176</v>
      </c>
      <c r="L244" t="s">
        <v>3177</v>
      </c>
      <c r="M244" t="s">
        <v>1753</v>
      </c>
    </row>
    <row r="245" spans="1:13" ht="15.75" customHeight="1" x14ac:dyDescent="0.35">
      <c r="C245" t="s">
        <v>756</v>
      </c>
      <c r="G245" t="s">
        <v>2263</v>
      </c>
      <c r="H245" t="s">
        <v>3178</v>
      </c>
      <c r="I245" t="s">
        <v>3179</v>
      </c>
      <c r="J245" t="s">
        <v>3180</v>
      </c>
      <c r="K245" t="s">
        <v>3181</v>
      </c>
      <c r="L245" t="s">
        <v>3182</v>
      </c>
      <c r="M245" t="s">
        <v>1753</v>
      </c>
    </row>
    <row r="246" spans="1:13" ht="15.75" customHeight="1" x14ac:dyDescent="0.35">
      <c r="C246" t="s">
        <v>1792</v>
      </c>
      <c r="G246" t="s">
        <v>3183</v>
      </c>
      <c r="H246" t="s">
        <v>3184</v>
      </c>
      <c r="I246" t="s">
        <v>3185</v>
      </c>
      <c r="J246" t="s">
        <v>3183</v>
      </c>
      <c r="K246" t="s">
        <v>3183</v>
      </c>
      <c r="L246" t="s">
        <v>3183</v>
      </c>
      <c r="M246" t="s">
        <v>1753</v>
      </c>
    </row>
    <row r="247" spans="1:13" ht="15.75" customHeight="1" x14ac:dyDescent="0.35">
      <c r="B247" s="6" t="s">
        <v>761</v>
      </c>
      <c r="C247" s="6" t="s">
        <v>131</v>
      </c>
      <c r="M247" t="s">
        <v>1753</v>
      </c>
    </row>
    <row r="248" spans="1:13" ht="15.75" customHeight="1" x14ac:dyDescent="0.35">
      <c r="B248" t="s">
        <v>1552</v>
      </c>
      <c r="C248" t="s">
        <v>1735</v>
      </c>
      <c r="G248" t="s">
        <v>1814</v>
      </c>
      <c r="H248" t="s">
        <v>1814</v>
      </c>
      <c r="I248" t="s">
        <v>1814</v>
      </c>
      <c r="J248" t="s">
        <v>1736</v>
      </c>
      <c r="K248" t="s">
        <v>1736</v>
      </c>
      <c r="L248" t="s">
        <v>3186</v>
      </c>
      <c r="M248" t="s">
        <v>1753</v>
      </c>
    </row>
    <row r="249" spans="1:13" ht="15.75" customHeight="1" x14ac:dyDescent="0.35">
      <c r="C249" t="s">
        <v>1737</v>
      </c>
      <c r="G249" t="s">
        <v>3187</v>
      </c>
      <c r="H249" t="s">
        <v>3188</v>
      </c>
      <c r="I249" t="s">
        <v>3188</v>
      </c>
      <c r="J249" t="s">
        <v>1738</v>
      </c>
      <c r="K249" t="s">
        <v>1738</v>
      </c>
      <c r="L249" t="s">
        <v>3189</v>
      </c>
      <c r="M249" t="s">
        <v>1753</v>
      </c>
    </row>
    <row r="250" spans="1:13" ht="15.75" customHeight="1" x14ac:dyDescent="0.35">
      <c r="C250" t="s">
        <v>3190</v>
      </c>
      <c r="G250" t="s">
        <v>3191</v>
      </c>
      <c r="H250" t="s">
        <v>3192</v>
      </c>
      <c r="I250" t="s">
        <v>3191</v>
      </c>
      <c r="J250" t="s">
        <v>1740</v>
      </c>
      <c r="K250" t="s">
        <v>3193</v>
      </c>
      <c r="L250" t="s">
        <v>3194</v>
      </c>
      <c r="M250" t="s">
        <v>1753</v>
      </c>
    </row>
    <row r="251" spans="1:13" ht="15.75" customHeight="1" x14ac:dyDescent="0.35">
      <c r="B251" s="6" t="s">
        <v>137</v>
      </c>
      <c r="C251" s="6" t="s">
        <v>131</v>
      </c>
      <c r="M251" t="s">
        <v>1753</v>
      </c>
    </row>
    <row r="252" spans="1:13" ht="15.75" customHeight="1" x14ac:dyDescent="0.35">
      <c r="B252" s="6" t="s">
        <v>1553</v>
      </c>
      <c r="C252" s="6" t="s">
        <v>131</v>
      </c>
      <c r="M252" t="s">
        <v>1753</v>
      </c>
    </row>
    <row r="253" spans="1:13" ht="15.75" customHeight="1" x14ac:dyDescent="0.35">
      <c r="B253" s="6" t="s">
        <v>1554</v>
      </c>
      <c r="C253" s="6" t="s">
        <v>131</v>
      </c>
      <c r="M253" t="s">
        <v>1753</v>
      </c>
    </row>
    <row r="254" spans="1:13" ht="15.75" customHeight="1" x14ac:dyDescent="0.35">
      <c r="B254" s="6" t="s">
        <v>1555</v>
      </c>
      <c r="C254" s="6" t="s">
        <v>131</v>
      </c>
      <c r="M254" t="s">
        <v>1753</v>
      </c>
    </row>
    <row r="255" spans="1:13" ht="15.75" customHeight="1" x14ac:dyDescent="0.35">
      <c r="B255" t="s">
        <v>141</v>
      </c>
      <c r="C255" t="s">
        <v>777</v>
      </c>
      <c r="G255" t="s">
        <v>3195</v>
      </c>
      <c r="H255" t="s">
        <v>3195</v>
      </c>
      <c r="I255" t="s">
        <v>3195</v>
      </c>
      <c r="J255" t="s">
        <v>3196</v>
      </c>
      <c r="K255" t="s">
        <v>3197</v>
      </c>
      <c r="L255" t="s">
        <v>3198</v>
      </c>
      <c r="M255" t="s">
        <v>1753</v>
      </c>
    </row>
    <row r="256" spans="1:13" ht="15.75" customHeight="1" x14ac:dyDescent="0.35">
      <c r="C256" t="s">
        <v>779</v>
      </c>
      <c r="G256" t="s">
        <v>3199</v>
      </c>
      <c r="H256" t="s">
        <v>2319</v>
      </c>
      <c r="I256" t="s">
        <v>2319</v>
      </c>
      <c r="J256" t="s">
        <v>3200</v>
      </c>
      <c r="K256" t="s">
        <v>3201</v>
      </c>
      <c r="L256" t="s">
        <v>3202</v>
      </c>
      <c r="M256" t="s">
        <v>1753</v>
      </c>
    </row>
    <row r="257" spans="1:13" ht="15.75" customHeight="1" x14ac:dyDescent="0.35">
      <c r="C257" t="s">
        <v>1845</v>
      </c>
      <c r="G257" t="s">
        <v>3203</v>
      </c>
      <c r="H257" t="s">
        <v>3204</v>
      </c>
      <c r="I257" t="s">
        <v>3205</v>
      </c>
      <c r="J257" t="s">
        <v>3206</v>
      </c>
      <c r="K257" t="s">
        <v>3207</v>
      </c>
      <c r="L257" t="s">
        <v>3208</v>
      </c>
      <c r="M257" t="s">
        <v>1753</v>
      </c>
    </row>
    <row r="258" spans="1:13" ht="15.75" customHeight="1" x14ac:dyDescent="0.35">
      <c r="B258" t="s">
        <v>188</v>
      </c>
      <c r="C258" t="s">
        <v>1105</v>
      </c>
      <c r="G258" t="s">
        <v>1741</v>
      </c>
      <c r="H258" t="s">
        <v>1741</v>
      </c>
      <c r="I258" t="s">
        <v>1741</v>
      </c>
      <c r="J258" t="s">
        <v>1741</v>
      </c>
      <c r="K258" t="s">
        <v>3209</v>
      </c>
      <c r="L258" t="s">
        <v>3209</v>
      </c>
      <c r="M258" t="s">
        <v>1753</v>
      </c>
    </row>
    <row r="259" spans="1:13" ht="15.75" customHeight="1" x14ac:dyDescent="0.35">
      <c r="M259" t="s">
        <v>1753</v>
      </c>
    </row>
    <row r="260" spans="1:13" ht="15.75" customHeight="1" x14ac:dyDescent="0.35">
      <c r="A260" s="6" t="s">
        <v>3210</v>
      </c>
      <c r="B260" s="6" t="s">
        <v>3211</v>
      </c>
      <c r="C260" s="6" t="s">
        <v>131</v>
      </c>
      <c r="D260" s="6" t="s">
        <v>3212</v>
      </c>
      <c r="E260" s="6" t="s">
        <v>3213</v>
      </c>
      <c r="M260" t="s">
        <v>1753</v>
      </c>
    </row>
    <row r="261" spans="1:13" ht="15.75" customHeight="1" x14ac:dyDescent="0.35">
      <c r="B261" s="6" t="s">
        <v>3214</v>
      </c>
      <c r="C261" s="6" t="s">
        <v>131</v>
      </c>
      <c r="D261" s="6" t="s">
        <v>3212</v>
      </c>
      <c r="E261" s="6" t="s">
        <v>3213</v>
      </c>
      <c r="M261" t="s">
        <v>1753</v>
      </c>
    </row>
    <row r="262" spans="1:13" ht="15.75" customHeight="1" x14ac:dyDescent="0.35">
      <c r="B262" s="6"/>
      <c r="C262" s="6"/>
      <c r="D262" s="6"/>
      <c r="E262" s="6"/>
      <c r="M262" t="s">
        <v>1753</v>
      </c>
    </row>
    <row r="263" spans="1:13" ht="15.75" customHeight="1" x14ac:dyDescent="0.35">
      <c r="A263" s="6" t="s">
        <v>3215</v>
      </c>
      <c r="B263" s="6" t="s">
        <v>3045</v>
      </c>
      <c r="C263" s="6" t="s">
        <v>131</v>
      </c>
      <c r="D263" s="6"/>
      <c r="E263" s="6"/>
      <c r="M263" t="s">
        <v>1753</v>
      </c>
    </row>
    <row r="264" spans="1:13" ht="15.75" customHeight="1" x14ac:dyDescent="0.35">
      <c r="B264" s="6" t="s">
        <v>3216</v>
      </c>
      <c r="C264" s="6" t="s">
        <v>131</v>
      </c>
      <c r="D264" s="6" t="s">
        <v>3217</v>
      </c>
      <c r="E264" s="6" t="s">
        <v>3218</v>
      </c>
      <c r="M264" t="s">
        <v>1753</v>
      </c>
    </row>
    <row r="265" spans="1:13" ht="15.75" customHeight="1" x14ac:dyDescent="0.35">
      <c r="B265" s="6"/>
      <c r="C265" s="6"/>
      <c r="D265" s="6" t="s">
        <v>2983</v>
      </c>
      <c r="E265" s="6" t="s">
        <v>2958</v>
      </c>
      <c r="M265" t="s">
        <v>1753</v>
      </c>
    </row>
    <row r="266" spans="1:13" ht="15.75" customHeight="1" x14ac:dyDescent="0.35">
      <c r="B266" s="6"/>
      <c r="C266" s="6"/>
      <c r="D266" s="6"/>
      <c r="E266" s="6"/>
      <c r="M266" t="s">
        <v>1753</v>
      </c>
    </row>
    <row r="267" spans="1:13" ht="15.75" customHeight="1" x14ac:dyDescent="0.35">
      <c r="A267" s="6" t="s">
        <v>3219</v>
      </c>
      <c r="B267" s="6" t="s">
        <v>3045</v>
      </c>
      <c r="C267" s="6" t="s">
        <v>131</v>
      </c>
      <c r="D267" s="6"/>
      <c r="E267" s="6"/>
      <c r="M267" t="s">
        <v>1753</v>
      </c>
    </row>
    <row r="268" spans="1:13" ht="15.75" customHeight="1" x14ac:dyDescent="0.35">
      <c r="B268" s="6" t="s">
        <v>3220</v>
      </c>
      <c r="C268" s="6" t="s">
        <v>131</v>
      </c>
      <c r="D268" s="6" t="s">
        <v>3217</v>
      </c>
      <c r="E268" s="6" t="s">
        <v>3218</v>
      </c>
      <c r="M268" t="s">
        <v>1753</v>
      </c>
    </row>
    <row r="269" spans="1:13" ht="15.75" customHeight="1" x14ac:dyDescent="0.35">
      <c r="B269" s="6"/>
      <c r="C269" s="6"/>
      <c r="D269" s="6" t="s">
        <v>2983</v>
      </c>
      <c r="E269" s="6" t="s">
        <v>2958</v>
      </c>
      <c r="M269" t="s">
        <v>1753</v>
      </c>
    </row>
    <row r="270" spans="1:13" ht="15.75" customHeight="1" x14ac:dyDescent="0.35">
      <c r="B270" s="6"/>
      <c r="C270" s="6"/>
      <c r="D270" s="6"/>
      <c r="E270" s="6"/>
      <c r="M270" t="s">
        <v>1753</v>
      </c>
    </row>
    <row r="271" spans="1:13" ht="15.75" customHeight="1" x14ac:dyDescent="0.35">
      <c r="A271" s="6" t="s">
        <v>3221</v>
      </c>
      <c r="B271" s="6" t="s">
        <v>3045</v>
      </c>
      <c r="C271" s="6" t="s">
        <v>131</v>
      </c>
      <c r="D271" s="6"/>
      <c r="E271" s="6"/>
      <c r="M271" t="s">
        <v>1753</v>
      </c>
    </row>
    <row r="272" spans="1:13" ht="15.75" customHeight="1" x14ac:dyDescent="0.35">
      <c r="B272" s="6" t="s">
        <v>3222</v>
      </c>
      <c r="C272" s="6" t="s">
        <v>131</v>
      </c>
      <c r="D272" s="6" t="s">
        <v>3217</v>
      </c>
      <c r="E272" s="6" t="s">
        <v>3218</v>
      </c>
      <c r="M272" t="s">
        <v>1753</v>
      </c>
    </row>
    <row r="273" spans="1:13" ht="15.75" customHeight="1" x14ac:dyDescent="0.35">
      <c r="A273" s="6" t="s">
        <v>3223</v>
      </c>
      <c r="B273" s="6" t="s">
        <v>3045</v>
      </c>
      <c r="C273" s="6" t="s">
        <v>131</v>
      </c>
      <c r="D273" s="6"/>
      <c r="E273" s="6"/>
      <c r="M273" t="s">
        <v>1753</v>
      </c>
    </row>
    <row r="274" spans="1:13" ht="15.75" customHeight="1" x14ac:dyDescent="0.35">
      <c r="B274" s="6" t="s">
        <v>3224</v>
      </c>
      <c r="C274" s="6" t="s">
        <v>131</v>
      </c>
      <c r="D274" s="6" t="s">
        <v>3217</v>
      </c>
      <c r="E274" s="6" t="s">
        <v>3218</v>
      </c>
      <c r="M274" t="s">
        <v>1753</v>
      </c>
    </row>
    <row r="275" spans="1:13" ht="15.75" customHeight="1" x14ac:dyDescent="0.35">
      <c r="B275" s="6"/>
      <c r="C275" s="6"/>
      <c r="D275" s="6" t="s">
        <v>2977</v>
      </c>
      <c r="E275" s="6" t="s">
        <v>2978</v>
      </c>
      <c r="M275" t="s">
        <v>1753</v>
      </c>
    </row>
    <row r="276" spans="1:13" ht="15.75" customHeight="1" x14ac:dyDescent="0.35">
      <c r="B276" s="6" t="s">
        <v>3225</v>
      </c>
      <c r="C276" s="6" t="s">
        <v>131</v>
      </c>
      <c r="D276" s="6" t="s">
        <v>3217</v>
      </c>
      <c r="E276" s="6" t="s">
        <v>3218</v>
      </c>
      <c r="M276" t="s">
        <v>1753</v>
      </c>
    </row>
    <row r="277" spans="1:13" ht="15.75" customHeight="1" x14ac:dyDescent="0.35">
      <c r="A277" s="6" t="s">
        <v>3226</v>
      </c>
      <c r="B277" s="6" t="s">
        <v>3227</v>
      </c>
      <c r="C277" s="6" t="s">
        <v>131</v>
      </c>
      <c r="D277" s="6" t="s">
        <v>3217</v>
      </c>
      <c r="E277" s="6" t="s">
        <v>3218</v>
      </c>
      <c r="M277" t="s">
        <v>1753</v>
      </c>
    </row>
    <row r="278" spans="1:13" ht="15.75" customHeight="1" x14ac:dyDescent="0.35">
      <c r="B278" s="6"/>
      <c r="C278" s="6"/>
      <c r="D278" s="6" t="s">
        <v>2977</v>
      </c>
      <c r="E278" s="6" t="s">
        <v>2978</v>
      </c>
      <c r="M278" t="s">
        <v>1753</v>
      </c>
    </row>
    <row r="279" spans="1:13" ht="15.75" customHeight="1" x14ac:dyDescent="0.35">
      <c r="B279" s="6" t="s">
        <v>3228</v>
      </c>
      <c r="C279" s="6" t="s">
        <v>131</v>
      </c>
      <c r="D279" s="6" t="s">
        <v>3217</v>
      </c>
      <c r="E279" s="6" t="s">
        <v>3218</v>
      </c>
      <c r="M279" t="s">
        <v>1753</v>
      </c>
    </row>
    <row r="280" spans="1:13" ht="15.75" customHeight="1" x14ac:dyDescent="0.35">
      <c r="A280" s="6" t="s">
        <v>3229</v>
      </c>
      <c r="B280" s="6" t="s">
        <v>3230</v>
      </c>
      <c r="C280" s="6" t="s">
        <v>131</v>
      </c>
      <c r="D280" s="6"/>
      <c r="E280" s="6"/>
      <c r="M280" t="s">
        <v>1753</v>
      </c>
    </row>
    <row r="281" spans="1:13" ht="15.75" customHeight="1" x14ac:dyDescent="0.35">
      <c r="B281" s="6" t="s">
        <v>3231</v>
      </c>
      <c r="C281" s="6" t="s">
        <v>131</v>
      </c>
      <c r="D281" s="6" t="s">
        <v>3217</v>
      </c>
      <c r="E281" s="6" t="s">
        <v>3218</v>
      </c>
      <c r="M281" t="s">
        <v>1753</v>
      </c>
    </row>
    <row r="282" spans="1:13" ht="15.75" customHeight="1" x14ac:dyDescent="0.35">
      <c r="B282" s="6"/>
      <c r="C282" s="6"/>
      <c r="D282" s="6" t="s">
        <v>2977</v>
      </c>
      <c r="E282" s="6" t="s">
        <v>2978</v>
      </c>
      <c r="M282" t="s">
        <v>1753</v>
      </c>
    </row>
    <row r="283" spans="1:13" ht="15.75" customHeight="1" x14ac:dyDescent="0.35">
      <c r="B283" s="6" t="s">
        <v>3232</v>
      </c>
      <c r="C283" s="6" t="s">
        <v>131</v>
      </c>
      <c r="D283" s="6" t="s">
        <v>3217</v>
      </c>
      <c r="E283" s="6" t="s">
        <v>3218</v>
      </c>
      <c r="M283" t="s">
        <v>1753</v>
      </c>
    </row>
    <row r="284" spans="1:13" ht="15.75" customHeight="1" x14ac:dyDescent="0.35">
      <c r="B284" s="6"/>
      <c r="C284" s="6"/>
      <c r="D284" s="6" t="s">
        <v>2977</v>
      </c>
      <c r="E284" s="6" t="s">
        <v>2978</v>
      </c>
      <c r="M284" t="s">
        <v>1753</v>
      </c>
    </row>
    <row r="285" spans="1:13" ht="15.75" customHeight="1" x14ac:dyDescent="0.35">
      <c r="A285" s="6" t="s">
        <v>3233</v>
      </c>
      <c r="B285" s="6" t="s">
        <v>3234</v>
      </c>
      <c r="C285" s="6" t="s">
        <v>131</v>
      </c>
      <c r="D285" s="6" t="s">
        <v>3217</v>
      </c>
      <c r="E285" s="6" t="s">
        <v>3218</v>
      </c>
      <c r="M285" t="s">
        <v>1753</v>
      </c>
    </row>
    <row r="286" spans="1:13" ht="15.75" customHeight="1" x14ac:dyDescent="0.35">
      <c r="A286" s="6" t="s">
        <v>3235</v>
      </c>
      <c r="B286" s="6" t="s">
        <v>3236</v>
      </c>
      <c r="C286" s="6" t="s">
        <v>131</v>
      </c>
      <c r="D286" s="6" t="s">
        <v>3217</v>
      </c>
      <c r="E286" s="6" t="s">
        <v>3218</v>
      </c>
      <c r="M286" t="s">
        <v>1753</v>
      </c>
    </row>
    <row r="287" spans="1:13" ht="15.75" customHeight="1" x14ac:dyDescent="0.35">
      <c r="A287" s="6" t="s">
        <v>3237</v>
      </c>
      <c r="B287" s="6" t="s">
        <v>3238</v>
      </c>
      <c r="C287" s="6" t="s">
        <v>131</v>
      </c>
      <c r="D287" s="6" t="s">
        <v>3217</v>
      </c>
      <c r="E287" s="6" t="s">
        <v>3218</v>
      </c>
      <c r="M287" t="s">
        <v>1753</v>
      </c>
    </row>
    <row r="288" spans="1:13"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25" defaultRowHeight="15" customHeight="1" x14ac:dyDescent="0.35"/>
  <cols>
    <col min="1" max="1" width="36.4140625" customWidth="1"/>
    <col min="2" max="2" width="37.08203125" customWidth="1"/>
    <col min="3" max="3" width="36.75" customWidth="1"/>
    <col min="4" max="4" width="41.25" customWidth="1"/>
    <col min="5" max="5" width="21" customWidth="1"/>
    <col min="6" max="6" width="10.75" customWidth="1"/>
    <col min="7" max="26" width="10.58203125" customWidth="1"/>
  </cols>
  <sheetData>
    <row r="1" spans="1:26" ht="15.75" customHeight="1" x14ac:dyDescent="0.35">
      <c r="A1" s="9" t="s">
        <v>0</v>
      </c>
      <c r="B1" s="9" t="s">
        <v>1</v>
      </c>
      <c r="C1" s="9" t="s">
        <v>2</v>
      </c>
      <c r="D1" s="9" t="s">
        <v>3</v>
      </c>
      <c r="E1" s="9" t="s">
        <v>4</v>
      </c>
      <c r="F1" s="3"/>
      <c r="G1" s="3"/>
      <c r="H1" s="3"/>
      <c r="I1" s="3"/>
      <c r="J1" s="3"/>
      <c r="K1" s="3"/>
      <c r="L1" s="3"/>
      <c r="M1" s="3"/>
      <c r="N1" s="3"/>
      <c r="O1" s="3"/>
      <c r="P1" s="3"/>
      <c r="Q1" s="3"/>
      <c r="R1" s="3"/>
      <c r="S1" s="3"/>
      <c r="T1" s="3"/>
      <c r="U1" s="3"/>
      <c r="V1" s="3"/>
      <c r="W1" s="3"/>
      <c r="X1" s="3"/>
      <c r="Y1" s="3"/>
      <c r="Z1" s="3"/>
    </row>
    <row r="2" spans="1:26" ht="15.75" customHeight="1" x14ac:dyDescent="0.35">
      <c r="A2" s="12" t="s">
        <v>3239</v>
      </c>
      <c r="B2" s="12" t="s">
        <v>3240</v>
      </c>
      <c r="C2" s="5"/>
      <c r="D2" s="5" t="s">
        <v>3241</v>
      </c>
      <c r="E2" s="5" t="s">
        <v>3242</v>
      </c>
      <c r="F2" s="3"/>
      <c r="G2" s="3"/>
      <c r="H2" s="3"/>
      <c r="I2" s="3"/>
      <c r="J2" s="3"/>
      <c r="K2" s="3"/>
      <c r="L2" s="3"/>
      <c r="M2" s="3"/>
      <c r="N2" s="3"/>
      <c r="O2" s="3"/>
      <c r="P2" s="3"/>
      <c r="Q2" s="3"/>
      <c r="R2" s="3"/>
      <c r="S2" s="3"/>
      <c r="T2" s="3"/>
      <c r="U2" s="3"/>
      <c r="V2" s="3"/>
      <c r="W2" s="3"/>
      <c r="X2" s="3"/>
      <c r="Y2" s="3"/>
      <c r="Z2" s="3"/>
    </row>
    <row r="3" spans="1:26" ht="15.75" customHeight="1" x14ac:dyDescent="0.35">
      <c r="A3" s="13"/>
      <c r="B3" s="12"/>
      <c r="C3" s="5"/>
      <c r="D3" s="5" t="s">
        <v>3243</v>
      </c>
      <c r="E3" s="5" t="s">
        <v>3244</v>
      </c>
      <c r="F3" s="3"/>
      <c r="G3" s="3"/>
      <c r="H3" s="3"/>
      <c r="I3" s="3"/>
      <c r="J3" s="3"/>
      <c r="K3" s="3"/>
      <c r="L3" s="3"/>
      <c r="M3" s="3"/>
      <c r="N3" s="3"/>
      <c r="O3" s="3"/>
      <c r="P3" s="3"/>
      <c r="Q3" s="3"/>
      <c r="R3" s="3"/>
      <c r="S3" s="3"/>
      <c r="T3" s="3"/>
      <c r="U3" s="3"/>
      <c r="V3" s="3"/>
      <c r="W3" s="3"/>
      <c r="X3" s="3"/>
      <c r="Y3" s="3"/>
      <c r="Z3" s="3"/>
    </row>
    <row r="4" spans="1:26" ht="15.75" customHeight="1" x14ac:dyDescent="0.35">
      <c r="A4" s="13"/>
      <c r="B4" s="12" t="s">
        <v>3245</v>
      </c>
      <c r="C4" s="5" t="s">
        <v>131</v>
      </c>
      <c r="D4" s="14"/>
      <c r="E4" s="14"/>
      <c r="F4" s="3"/>
      <c r="G4" s="3"/>
      <c r="H4" s="3"/>
      <c r="I4" s="3"/>
      <c r="J4" s="3"/>
      <c r="K4" s="3"/>
      <c r="L4" s="3"/>
      <c r="M4" s="3"/>
      <c r="N4" s="3"/>
      <c r="O4" s="3"/>
      <c r="P4" s="3"/>
      <c r="Q4" s="3"/>
      <c r="R4" s="3"/>
      <c r="S4" s="3"/>
      <c r="T4" s="3"/>
      <c r="U4" s="3"/>
      <c r="V4" s="3"/>
      <c r="W4" s="3"/>
      <c r="X4" s="3"/>
      <c r="Y4" s="3"/>
      <c r="Z4" s="3"/>
    </row>
    <row r="5" spans="1:26" ht="15.75" customHeight="1" x14ac:dyDescent="0.35">
      <c r="A5" s="13"/>
      <c r="B5" s="12" t="s">
        <v>3246</v>
      </c>
      <c r="C5" s="5" t="s">
        <v>131</v>
      </c>
      <c r="D5" s="14"/>
      <c r="E5" s="14"/>
      <c r="F5" s="3"/>
      <c r="G5" s="3"/>
      <c r="H5" s="3"/>
      <c r="I5" s="3"/>
      <c r="J5" s="3"/>
      <c r="K5" s="3"/>
      <c r="L5" s="3"/>
      <c r="M5" s="3"/>
      <c r="N5" s="3"/>
      <c r="O5" s="3"/>
      <c r="P5" s="3"/>
      <c r="Q5" s="3"/>
      <c r="R5" s="3"/>
      <c r="S5" s="3"/>
      <c r="T5" s="3"/>
      <c r="U5" s="3"/>
      <c r="V5" s="3"/>
      <c r="W5" s="3"/>
      <c r="X5" s="3"/>
      <c r="Y5" s="3"/>
      <c r="Z5" s="3"/>
    </row>
    <row r="6" spans="1:26" ht="15.75" customHeight="1" x14ac:dyDescent="0.35">
      <c r="A6" s="13"/>
      <c r="B6" s="12" t="s">
        <v>3247</v>
      </c>
      <c r="C6" s="5" t="s">
        <v>131</v>
      </c>
      <c r="D6" s="14"/>
      <c r="E6" s="14"/>
      <c r="F6" s="3"/>
      <c r="G6" s="3"/>
      <c r="H6" s="3"/>
      <c r="I6" s="3"/>
      <c r="J6" s="3"/>
      <c r="K6" s="3"/>
      <c r="L6" s="3"/>
      <c r="M6" s="3"/>
      <c r="N6" s="3"/>
      <c r="O6" s="3"/>
      <c r="P6" s="3"/>
      <c r="Q6" s="3"/>
      <c r="R6" s="3"/>
      <c r="S6" s="3"/>
      <c r="T6" s="3"/>
      <c r="U6" s="3"/>
      <c r="V6" s="3"/>
      <c r="W6" s="3"/>
      <c r="X6" s="3"/>
      <c r="Y6" s="3"/>
      <c r="Z6" s="3"/>
    </row>
    <row r="7" spans="1:26" ht="15.75" customHeight="1" x14ac:dyDescent="0.35">
      <c r="A7" s="13"/>
      <c r="B7" s="12" t="s">
        <v>3248</v>
      </c>
      <c r="C7" s="5" t="s">
        <v>131</v>
      </c>
      <c r="D7" s="14"/>
      <c r="E7" s="14"/>
      <c r="F7" s="3"/>
      <c r="G7" s="3"/>
      <c r="H7" s="3"/>
      <c r="I7" s="3"/>
      <c r="J7" s="3"/>
      <c r="K7" s="3"/>
      <c r="L7" s="3"/>
      <c r="M7" s="3"/>
      <c r="N7" s="3"/>
      <c r="O7" s="3"/>
      <c r="P7" s="3"/>
      <c r="Q7" s="3"/>
      <c r="R7" s="3"/>
      <c r="S7" s="3"/>
      <c r="T7" s="3"/>
      <c r="U7" s="3"/>
      <c r="V7" s="3"/>
      <c r="W7" s="3"/>
      <c r="X7" s="3"/>
      <c r="Y7" s="3"/>
      <c r="Z7" s="3"/>
    </row>
    <row r="8" spans="1:26" ht="15.75" customHeight="1" x14ac:dyDescent="0.35">
      <c r="A8" s="13"/>
      <c r="B8" s="12" t="s">
        <v>3249</v>
      </c>
      <c r="C8" s="5" t="s">
        <v>131</v>
      </c>
      <c r="D8" s="14"/>
      <c r="E8" s="14"/>
      <c r="F8" s="3"/>
      <c r="G8" s="3"/>
      <c r="H8" s="3"/>
      <c r="I8" s="3"/>
      <c r="J8" s="3"/>
      <c r="K8" s="3"/>
      <c r="L8" s="3"/>
      <c r="M8" s="3"/>
      <c r="N8" s="3"/>
      <c r="O8" s="3"/>
      <c r="P8" s="3"/>
      <c r="Q8" s="3"/>
      <c r="R8" s="3"/>
      <c r="S8" s="3"/>
      <c r="T8" s="3"/>
      <c r="U8" s="3"/>
      <c r="V8" s="3"/>
      <c r="W8" s="3"/>
      <c r="X8" s="3"/>
      <c r="Y8" s="3"/>
      <c r="Z8" s="3"/>
    </row>
    <row r="9" spans="1:26" ht="15.75" customHeight="1" x14ac:dyDescent="0.35">
      <c r="A9" s="13"/>
      <c r="B9" s="12" t="s">
        <v>3250</v>
      </c>
      <c r="C9" s="5" t="s">
        <v>131</v>
      </c>
      <c r="D9" s="14"/>
      <c r="E9" s="14"/>
      <c r="F9" s="3"/>
      <c r="G9" s="3"/>
      <c r="H9" s="3"/>
      <c r="I9" s="3"/>
      <c r="J9" s="3"/>
      <c r="K9" s="3"/>
      <c r="L9" s="3"/>
      <c r="M9" s="3"/>
      <c r="N9" s="3"/>
      <c r="O9" s="3"/>
      <c r="P9" s="3"/>
      <c r="Q9" s="3"/>
      <c r="R9" s="3"/>
      <c r="S9" s="3"/>
      <c r="T9" s="3"/>
      <c r="U9" s="3"/>
      <c r="V9" s="3"/>
      <c r="W9" s="3"/>
      <c r="X9" s="3"/>
      <c r="Y9" s="3"/>
      <c r="Z9" s="3"/>
    </row>
    <row r="10" spans="1:26" ht="15.75" customHeight="1" x14ac:dyDescent="0.35">
      <c r="A10" s="13"/>
      <c r="B10" s="12" t="s">
        <v>3251</v>
      </c>
      <c r="C10" s="5" t="s">
        <v>131</v>
      </c>
      <c r="D10" s="14"/>
      <c r="E10" s="14"/>
      <c r="F10" s="3"/>
      <c r="G10" s="3"/>
      <c r="H10" s="3"/>
      <c r="I10" s="3"/>
      <c r="J10" s="3"/>
      <c r="K10" s="3"/>
      <c r="L10" s="3"/>
      <c r="M10" s="3"/>
      <c r="N10" s="3"/>
      <c r="O10" s="3"/>
      <c r="P10" s="3"/>
      <c r="Q10" s="3"/>
      <c r="R10" s="3"/>
      <c r="S10" s="3"/>
      <c r="T10" s="3"/>
      <c r="U10" s="3"/>
      <c r="V10" s="3"/>
      <c r="W10" s="3"/>
      <c r="X10" s="3"/>
      <c r="Y10" s="3"/>
      <c r="Z10" s="3"/>
    </row>
    <row r="11" spans="1:26" ht="15.75" customHeight="1" x14ac:dyDescent="0.35">
      <c r="A11" s="13"/>
      <c r="B11" s="12" t="s">
        <v>3252</v>
      </c>
      <c r="C11" s="5" t="s">
        <v>131</v>
      </c>
      <c r="D11" s="14"/>
      <c r="E11" s="14"/>
      <c r="F11" s="3"/>
      <c r="G11" s="3"/>
      <c r="H11" s="3"/>
      <c r="I11" s="3"/>
      <c r="J11" s="3"/>
      <c r="K11" s="3"/>
      <c r="L11" s="3"/>
      <c r="M11" s="3"/>
      <c r="N11" s="3"/>
      <c r="O11" s="3"/>
      <c r="P11" s="3"/>
      <c r="Q11" s="3"/>
      <c r="R11" s="3"/>
      <c r="S11" s="3"/>
      <c r="T11" s="3"/>
      <c r="U11" s="3"/>
      <c r="V11" s="3"/>
      <c r="W11" s="3"/>
      <c r="X11" s="3"/>
      <c r="Y11" s="3"/>
      <c r="Z11" s="3"/>
    </row>
    <row r="12" spans="1:26" ht="15.75" customHeight="1" x14ac:dyDescent="0.35">
      <c r="A12" s="13"/>
      <c r="B12" s="12" t="s">
        <v>3253</v>
      </c>
      <c r="C12" s="5" t="s">
        <v>131</v>
      </c>
      <c r="D12" s="14"/>
      <c r="E12" s="14"/>
      <c r="F12" s="3"/>
      <c r="G12" s="3"/>
      <c r="H12" s="3"/>
      <c r="I12" s="3"/>
      <c r="J12" s="3"/>
      <c r="K12" s="3"/>
      <c r="L12" s="3"/>
      <c r="M12" s="3"/>
      <c r="N12" s="3"/>
      <c r="O12" s="3"/>
      <c r="P12" s="3"/>
      <c r="Q12" s="3"/>
      <c r="R12" s="3"/>
      <c r="S12" s="3"/>
      <c r="T12" s="3"/>
      <c r="U12" s="3"/>
      <c r="V12" s="3"/>
      <c r="W12" s="3"/>
      <c r="X12" s="3"/>
      <c r="Y12" s="3"/>
      <c r="Z12" s="3"/>
    </row>
    <row r="13" spans="1:26" ht="15.75" customHeight="1" x14ac:dyDescent="0.35">
      <c r="A13" s="13"/>
      <c r="B13" s="12" t="s">
        <v>3254</v>
      </c>
      <c r="C13" s="5" t="s">
        <v>131</v>
      </c>
      <c r="D13" s="14"/>
      <c r="E13" s="14"/>
      <c r="F13" s="3"/>
      <c r="G13" s="3"/>
      <c r="H13" s="3"/>
      <c r="I13" s="3"/>
      <c r="J13" s="3"/>
      <c r="K13" s="3"/>
      <c r="L13" s="3"/>
      <c r="M13" s="3"/>
      <c r="N13" s="3"/>
      <c r="O13" s="3"/>
      <c r="P13" s="3"/>
      <c r="Q13" s="3"/>
      <c r="R13" s="3"/>
      <c r="S13" s="3"/>
      <c r="T13" s="3"/>
      <c r="U13" s="3"/>
      <c r="V13" s="3"/>
      <c r="W13" s="3"/>
      <c r="X13" s="3"/>
      <c r="Y13" s="3"/>
      <c r="Z13" s="3"/>
    </row>
    <row r="14" spans="1:26" ht="15.75" customHeight="1" x14ac:dyDescent="0.35">
      <c r="A14" s="13"/>
      <c r="B14" s="12" t="s">
        <v>3255</v>
      </c>
      <c r="C14" s="5" t="s">
        <v>131</v>
      </c>
      <c r="D14" s="14"/>
      <c r="E14" s="14"/>
      <c r="F14" s="3"/>
      <c r="G14" s="3"/>
      <c r="H14" s="3"/>
      <c r="I14" s="3"/>
      <c r="J14" s="3"/>
      <c r="K14" s="3"/>
      <c r="L14" s="3"/>
      <c r="M14" s="3"/>
      <c r="N14" s="3"/>
      <c r="O14" s="3"/>
      <c r="P14" s="3"/>
      <c r="Q14" s="3"/>
      <c r="R14" s="3"/>
      <c r="S14" s="3"/>
      <c r="T14" s="3"/>
      <c r="U14" s="3"/>
      <c r="V14" s="3"/>
      <c r="W14" s="3"/>
      <c r="X14" s="3"/>
      <c r="Y14" s="3"/>
      <c r="Z14" s="3"/>
    </row>
    <row r="15" spans="1:26" ht="15.75" customHeight="1" x14ac:dyDescent="0.35">
      <c r="A15" s="13"/>
      <c r="B15" s="12" t="s">
        <v>3256</v>
      </c>
      <c r="C15" s="5"/>
      <c r="D15" s="5" t="s">
        <v>3241</v>
      </c>
      <c r="E15" s="5" t="s">
        <v>3242</v>
      </c>
      <c r="F15" s="3"/>
      <c r="G15" s="3"/>
      <c r="H15" s="3"/>
      <c r="I15" s="3"/>
      <c r="J15" s="3"/>
      <c r="K15" s="3"/>
      <c r="L15" s="3"/>
      <c r="M15" s="3"/>
      <c r="N15" s="3"/>
      <c r="O15" s="3"/>
      <c r="P15" s="3"/>
      <c r="Q15" s="3"/>
      <c r="R15" s="3"/>
      <c r="S15" s="3"/>
      <c r="T15" s="3"/>
      <c r="U15" s="3"/>
      <c r="V15" s="3"/>
      <c r="W15" s="3"/>
      <c r="X15" s="3"/>
      <c r="Y15" s="3"/>
      <c r="Z15" s="3"/>
    </row>
    <row r="16" spans="1:26" ht="15.75" customHeight="1" x14ac:dyDescent="0.35">
      <c r="A16" s="13"/>
      <c r="B16" s="12"/>
      <c r="C16" s="5"/>
      <c r="D16" s="5" t="s">
        <v>3243</v>
      </c>
      <c r="E16" s="5" t="s">
        <v>3244</v>
      </c>
      <c r="F16" s="3"/>
      <c r="G16" s="3"/>
      <c r="H16" s="3"/>
      <c r="I16" s="3"/>
      <c r="J16" s="3"/>
      <c r="K16" s="3"/>
      <c r="L16" s="3"/>
      <c r="M16" s="3"/>
      <c r="N16" s="3"/>
      <c r="O16" s="3"/>
      <c r="P16" s="3"/>
      <c r="Q16" s="3"/>
      <c r="R16" s="3"/>
      <c r="S16" s="3"/>
      <c r="T16" s="3"/>
      <c r="U16" s="3"/>
      <c r="V16" s="3"/>
      <c r="W16" s="3"/>
      <c r="X16" s="3"/>
      <c r="Y16" s="3"/>
      <c r="Z16" s="3"/>
    </row>
    <row r="17" spans="1:26" ht="15.75" customHeight="1" x14ac:dyDescent="0.35">
      <c r="A17" s="13"/>
      <c r="B17" s="12" t="s">
        <v>3257</v>
      </c>
      <c r="C17" s="5" t="s">
        <v>131</v>
      </c>
      <c r="D17" s="14"/>
      <c r="E17" s="14"/>
      <c r="F17" s="3"/>
      <c r="G17" s="3"/>
      <c r="H17" s="3"/>
      <c r="I17" s="3"/>
      <c r="J17" s="3"/>
      <c r="K17" s="3"/>
      <c r="L17" s="3"/>
      <c r="M17" s="3"/>
      <c r="N17" s="3"/>
      <c r="O17" s="3"/>
      <c r="P17" s="3"/>
      <c r="Q17" s="3"/>
      <c r="R17" s="3"/>
      <c r="S17" s="3"/>
      <c r="T17" s="3"/>
      <c r="U17" s="3"/>
      <c r="V17" s="3"/>
      <c r="W17" s="3"/>
      <c r="X17" s="3"/>
      <c r="Y17" s="3"/>
      <c r="Z17" s="3"/>
    </row>
    <row r="18" spans="1:26" ht="15.75" customHeight="1" x14ac:dyDescent="0.35">
      <c r="A18" s="13"/>
      <c r="B18" s="12" t="s">
        <v>1375</v>
      </c>
      <c r="C18" s="5" t="s">
        <v>131</v>
      </c>
      <c r="D18" s="14"/>
      <c r="E18" s="14"/>
      <c r="F18" s="3"/>
      <c r="G18" s="3"/>
      <c r="H18" s="3"/>
      <c r="I18" s="3"/>
      <c r="J18" s="3"/>
      <c r="K18" s="3"/>
      <c r="L18" s="3"/>
      <c r="M18" s="3"/>
      <c r="N18" s="3"/>
      <c r="O18" s="3"/>
      <c r="P18" s="3"/>
      <c r="Q18" s="3"/>
      <c r="R18" s="3"/>
      <c r="S18" s="3"/>
      <c r="T18" s="3"/>
      <c r="U18" s="3"/>
      <c r="V18" s="3"/>
      <c r="W18" s="3"/>
      <c r="X18" s="3"/>
      <c r="Y18" s="3"/>
      <c r="Z18" s="3"/>
    </row>
    <row r="19" spans="1:26" ht="15.75" customHeight="1" x14ac:dyDescent="0.35">
      <c r="A19" s="13"/>
      <c r="B19" s="12"/>
      <c r="C19" s="5"/>
      <c r="D19" s="14"/>
      <c r="E19" s="14"/>
      <c r="F19" s="3"/>
      <c r="G19" s="3"/>
      <c r="H19" s="3"/>
      <c r="I19" s="3"/>
      <c r="J19" s="3"/>
      <c r="K19" s="3"/>
      <c r="L19" s="3"/>
      <c r="M19" s="3"/>
      <c r="N19" s="3"/>
      <c r="O19" s="3"/>
      <c r="P19" s="3"/>
      <c r="Q19" s="3"/>
      <c r="R19" s="3"/>
      <c r="S19" s="3"/>
      <c r="T19" s="3"/>
      <c r="U19" s="3"/>
      <c r="V19" s="3"/>
      <c r="W19" s="3"/>
      <c r="X19" s="3"/>
      <c r="Y19" s="3"/>
      <c r="Z19" s="3"/>
    </row>
    <row r="20" spans="1:26" ht="15.75" customHeight="1" x14ac:dyDescent="0.35">
      <c r="A20" s="5" t="s">
        <v>3258</v>
      </c>
      <c r="B20" s="5" t="s">
        <v>1497</v>
      </c>
      <c r="C20" s="5" t="s">
        <v>1498</v>
      </c>
      <c r="D20" s="5"/>
      <c r="E20" s="5"/>
      <c r="F20" s="3"/>
      <c r="G20" s="3"/>
      <c r="H20" s="3"/>
      <c r="I20" s="3"/>
      <c r="J20" s="3"/>
      <c r="K20" s="3"/>
      <c r="L20" s="3"/>
      <c r="M20" s="3"/>
      <c r="N20" s="3"/>
      <c r="O20" s="3"/>
      <c r="P20" s="3"/>
      <c r="Q20" s="3"/>
      <c r="R20" s="3"/>
      <c r="S20" s="3"/>
      <c r="T20" s="3"/>
      <c r="U20" s="3"/>
      <c r="V20" s="3"/>
      <c r="W20" s="3"/>
      <c r="X20" s="3"/>
      <c r="Y20" s="3"/>
      <c r="Z20" s="3"/>
    </row>
    <row r="21" spans="1:26" ht="15.75" customHeight="1" x14ac:dyDescent="0.35">
      <c r="A21" s="3"/>
      <c r="B21" s="5"/>
      <c r="C21" s="5" t="s">
        <v>64</v>
      </c>
      <c r="D21" s="5"/>
      <c r="E21" s="5"/>
      <c r="F21" s="3"/>
      <c r="G21" s="3"/>
      <c r="H21" s="3"/>
      <c r="I21" s="3"/>
      <c r="J21" s="3"/>
      <c r="K21" s="3"/>
      <c r="L21" s="3"/>
      <c r="M21" s="3"/>
      <c r="N21" s="3"/>
      <c r="O21" s="3"/>
      <c r="P21" s="3"/>
      <c r="Q21" s="3"/>
      <c r="R21" s="3"/>
      <c r="S21" s="3"/>
      <c r="T21" s="3"/>
      <c r="U21" s="3"/>
      <c r="V21" s="3"/>
      <c r="W21" s="3"/>
      <c r="X21" s="3"/>
      <c r="Y21" s="3"/>
      <c r="Z21" s="3"/>
    </row>
    <row r="22" spans="1:26" ht="15.75" customHeight="1" x14ac:dyDescent="0.35">
      <c r="A22" s="3"/>
      <c r="B22" s="5" t="s">
        <v>3259</v>
      </c>
      <c r="C22" s="5" t="s">
        <v>1498</v>
      </c>
      <c r="D22" s="5" t="s">
        <v>3260</v>
      </c>
      <c r="E22" s="5" t="s">
        <v>3261</v>
      </c>
      <c r="F22" s="3"/>
      <c r="G22" s="3"/>
      <c r="H22" s="3"/>
      <c r="I22" s="3"/>
      <c r="J22" s="3"/>
      <c r="K22" s="3"/>
      <c r="L22" s="3"/>
      <c r="M22" s="3"/>
      <c r="N22" s="3"/>
      <c r="O22" s="3"/>
      <c r="P22" s="3"/>
      <c r="Q22" s="3"/>
      <c r="R22" s="3"/>
      <c r="S22" s="3"/>
      <c r="T22" s="3"/>
      <c r="U22" s="3"/>
      <c r="V22" s="3"/>
      <c r="W22" s="3"/>
      <c r="X22" s="3"/>
      <c r="Y22" s="3"/>
      <c r="Z22" s="3"/>
    </row>
    <row r="23" spans="1:26" ht="15.75" customHeight="1" x14ac:dyDescent="0.35">
      <c r="A23" s="3"/>
      <c r="B23" s="5" t="s">
        <v>3262</v>
      </c>
      <c r="C23" s="5" t="s">
        <v>25</v>
      </c>
      <c r="D23" s="5"/>
      <c r="E23" s="5"/>
      <c r="F23" s="3"/>
      <c r="G23" s="3"/>
      <c r="H23" s="3"/>
      <c r="I23" s="3"/>
      <c r="J23" s="3"/>
      <c r="K23" s="3"/>
      <c r="L23" s="3"/>
      <c r="M23" s="3"/>
      <c r="N23" s="3"/>
      <c r="O23" s="3"/>
      <c r="P23" s="3"/>
      <c r="Q23" s="3"/>
      <c r="R23" s="3"/>
      <c r="S23" s="3"/>
      <c r="T23" s="3"/>
      <c r="U23" s="3"/>
      <c r="V23" s="3"/>
      <c r="W23" s="3"/>
      <c r="X23" s="3"/>
      <c r="Y23" s="3"/>
      <c r="Z23" s="3"/>
    </row>
    <row r="24" spans="1:26" ht="15.75" customHeight="1" x14ac:dyDescent="0.35">
      <c r="A24" s="3"/>
      <c r="B24" s="5"/>
      <c r="C24" s="5" t="s">
        <v>29</v>
      </c>
      <c r="D24" s="5"/>
      <c r="E24" s="5"/>
      <c r="F24" s="3"/>
      <c r="G24" s="3"/>
      <c r="H24" s="3"/>
      <c r="I24" s="3"/>
      <c r="J24" s="3"/>
      <c r="K24" s="3"/>
      <c r="L24" s="3"/>
      <c r="M24" s="3"/>
      <c r="N24" s="3"/>
      <c r="O24" s="3"/>
      <c r="P24" s="3"/>
      <c r="Q24" s="3"/>
      <c r="R24" s="3"/>
      <c r="S24" s="3"/>
      <c r="T24" s="3"/>
      <c r="U24" s="3"/>
      <c r="V24" s="3"/>
      <c r="W24" s="3"/>
      <c r="X24" s="3"/>
      <c r="Y24" s="3"/>
      <c r="Z24" s="3"/>
    </row>
    <row r="25" spans="1:26" ht="15.75" customHeight="1" x14ac:dyDescent="0.35">
      <c r="A25" s="3"/>
      <c r="B25" s="5" t="s">
        <v>3263</v>
      </c>
      <c r="C25" s="5" t="s">
        <v>3264</v>
      </c>
      <c r="D25" s="5"/>
      <c r="E25" s="5"/>
      <c r="F25" s="3"/>
      <c r="G25" s="3"/>
      <c r="H25" s="3"/>
      <c r="I25" s="3"/>
      <c r="J25" s="3"/>
      <c r="K25" s="3"/>
      <c r="L25" s="3"/>
      <c r="M25" s="3"/>
      <c r="N25" s="3"/>
      <c r="O25" s="3"/>
      <c r="P25" s="3"/>
      <c r="Q25" s="3"/>
      <c r="R25" s="3"/>
      <c r="S25" s="3"/>
      <c r="T25" s="3"/>
      <c r="U25" s="3"/>
      <c r="V25" s="3"/>
      <c r="W25" s="3"/>
      <c r="X25" s="3"/>
      <c r="Y25" s="3"/>
      <c r="Z25" s="3"/>
    </row>
    <row r="26" spans="1:26" ht="15.75" customHeight="1" x14ac:dyDescent="0.35">
      <c r="A26" s="3"/>
      <c r="B26" s="5"/>
      <c r="C26" s="5" t="s">
        <v>3265</v>
      </c>
      <c r="D26" s="5"/>
      <c r="E26" s="5"/>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5" t="s">
        <v>3266</v>
      </c>
      <c r="C27" s="5" t="s">
        <v>25</v>
      </c>
      <c r="D27" s="5"/>
      <c r="E27" s="5"/>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5"/>
      <c r="C28" s="5" t="s">
        <v>29</v>
      </c>
      <c r="D28" s="5"/>
      <c r="E28" s="5"/>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5" t="s">
        <v>3267</v>
      </c>
      <c r="C29" s="5" t="s">
        <v>131</v>
      </c>
      <c r="D29" s="5"/>
      <c r="E29" s="5"/>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5" t="s">
        <v>1376</v>
      </c>
      <c r="C30" s="5" t="s">
        <v>131</v>
      </c>
      <c r="D30" s="5"/>
      <c r="E30" s="5"/>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5" t="s">
        <v>3268</v>
      </c>
      <c r="C31" s="5"/>
      <c r="D31" s="5" t="s">
        <v>3260</v>
      </c>
      <c r="E31" s="5" t="s">
        <v>3261</v>
      </c>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5" t="s">
        <v>3269</v>
      </c>
      <c r="C32" s="5"/>
      <c r="D32" s="5" t="s">
        <v>3260</v>
      </c>
      <c r="E32" s="5" t="s">
        <v>3261</v>
      </c>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5" t="s">
        <v>3270</v>
      </c>
      <c r="C33" s="5"/>
      <c r="D33" s="5" t="s">
        <v>3260</v>
      </c>
      <c r="E33" s="5" t="s">
        <v>3261</v>
      </c>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5" t="s">
        <v>3271</v>
      </c>
      <c r="C34" s="5"/>
      <c r="D34" s="5" t="s">
        <v>3272</v>
      </c>
      <c r="E34" s="5"/>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5"/>
      <c r="C35" s="5"/>
      <c r="D35" s="5" t="s">
        <v>3273</v>
      </c>
      <c r="E35" s="5"/>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5"/>
      <c r="C36" s="5"/>
      <c r="D36" s="5"/>
      <c r="E36" s="5"/>
      <c r="F36" s="3"/>
      <c r="G36" s="3"/>
      <c r="H36" s="3"/>
      <c r="I36" s="3"/>
      <c r="J36" s="3"/>
      <c r="K36" s="3"/>
      <c r="L36" s="3"/>
      <c r="M36" s="3"/>
      <c r="N36" s="3"/>
      <c r="O36" s="3"/>
      <c r="P36" s="3"/>
      <c r="Q36" s="3"/>
      <c r="R36" s="3"/>
      <c r="S36" s="3"/>
      <c r="T36" s="3"/>
      <c r="U36" s="3"/>
      <c r="V36" s="3"/>
      <c r="W36" s="3"/>
      <c r="X36" s="3"/>
      <c r="Y36" s="3"/>
      <c r="Z36" s="3"/>
    </row>
    <row r="37" spans="1:26" ht="15.75" customHeight="1" x14ac:dyDescent="0.35">
      <c r="A37" s="5" t="s">
        <v>3274</v>
      </c>
      <c r="B37" s="5" t="s">
        <v>1497</v>
      </c>
      <c r="C37" s="5" t="s">
        <v>1498</v>
      </c>
      <c r="D37" s="5"/>
      <c r="E37" s="5"/>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5"/>
      <c r="C38" s="5" t="s">
        <v>64</v>
      </c>
      <c r="D38" s="5"/>
      <c r="E38" s="5"/>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5" t="s">
        <v>3259</v>
      </c>
      <c r="C39" s="5" t="s">
        <v>1498</v>
      </c>
      <c r="D39" s="5"/>
      <c r="E39" s="5"/>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5" t="s">
        <v>3275</v>
      </c>
      <c r="C40" s="5" t="s">
        <v>25</v>
      </c>
      <c r="D40" s="5"/>
      <c r="E40" s="5"/>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5"/>
      <c r="C41" s="5" t="s">
        <v>29</v>
      </c>
      <c r="D41" s="5"/>
      <c r="E41" s="5"/>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5" t="s">
        <v>3263</v>
      </c>
      <c r="C42" s="5" t="s">
        <v>3264</v>
      </c>
      <c r="D42" s="5" t="s">
        <v>3276</v>
      </c>
      <c r="E42" s="5"/>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5"/>
      <c r="C43" s="5" t="s">
        <v>3265</v>
      </c>
      <c r="D43" s="5"/>
      <c r="E43" s="5"/>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5" t="s">
        <v>3277</v>
      </c>
      <c r="C44" s="5" t="s">
        <v>3264</v>
      </c>
      <c r="D44" s="5"/>
      <c r="E44" s="5"/>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5"/>
      <c r="C45" s="5" t="s">
        <v>3265</v>
      </c>
      <c r="D45" s="5"/>
      <c r="E45" s="5"/>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5" t="s">
        <v>3266</v>
      </c>
      <c r="C46" s="5" t="s">
        <v>25</v>
      </c>
      <c r="D46" s="5"/>
      <c r="E46" s="5"/>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5"/>
      <c r="C47" s="5" t="s">
        <v>29</v>
      </c>
      <c r="D47" s="5"/>
      <c r="E47" s="5"/>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5" t="s">
        <v>3267</v>
      </c>
      <c r="C48" s="5" t="s">
        <v>131</v>
      </c>
      <c r="D48" s="5"/>
      <c r="E48" s="5"/>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5" t="s">
        <v>1376</v>
      </c>
      <c r="C49" s="5" t="s">
        <v>131</v>
      </c>
      <c r="D49" s="5"/>
      <c r="E49" s="5"/>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5"/>
      <c r="C50" s="5"/>
      <c r="D50" s="5"/>
      <c r="E50" s="5"/>
      <c r="F50" s="3"/>
      <c r="G50" s="3"/>
      <c r="H50" s="3"/>
      <c r="I50" s="3"/>
      <c r="J50" s="3"/>
      <c r="K50" s="3"/>
      <c r="L50" s="3"/>
      <c r="M50" s="3"/>
      <c r="N50" s="3"/>
      <c r="O50" s="3"/>
      <c r="P50" s="3"/>
      <c r="Q50" s="3"/>
      <c r="R50" s="3"/>
      <c r="S50" s="3"/>
      <c r="T50" s="3"/>
      <c r="U50" s="3"/>
      <c r="V50" s="3"/>
      <c r="W50" s="3"/>
      <c r="X50" s="3"/>
      <c r="Y50" s="3"/>
      <c r="Z50" s="3"/>
    </row>
    <row r="51" spans="1:26" ht="15.75" customHeight="1" x14ac:dyDescent="0.35">
      <c r="A51" s="12" t="s">
        <v>3278</v>
      </c>
      <c r="B51" s="5" t="s">
        <v>60</v>
      </c>
      <c r="C51" s="5" t="s">
        <v>61</v>
      </c>
      <c r="D51" s="14"/>
      <c r="E51" s="14"/>
      <c r="F51" s="3"/>
      <c r="G51" s="3"/>
      <c r="H51" s="3"/>
      <c r="I51" s="3"/>
      <c r="J51" s="3"/>
      <c r="K51" s="3"/>
      <c r="L51" s="3"/>
      <c r="M51" s="3"/>
      <c r="N51" s="3"/>
      <c r="O51" s="3"/>
      <c r="P51" s="3"/>
      <c r="Q51" s="3"/>
      <c r="R51" s="3"/>
      <c r="S51" s="3"/>
      <c r="T51" s="3"/>
      <c r="U51" s="3"/>
      <c r="V51" s="3"/>
      <c r="W51" s="3"/>
      <c r="X51" s="3"/>
      <c r="Y51" s="3"/>
      <c r="Z51" s="3"/>
    </row>
    <row r="52" spans="1:26" ht="15.75" customHeight="1" x14ac:dyDescent="0.35">
      <c r="A52" s="13"/>
      <c r="B52" s="5"/>
      <c r="C52" s="5" t="s">
        <v>64</v>
      </c>
      <c r="D52" s="14"/>
      <c r="E52" s="14"/>
      <c r="F52" s="3"/>
      <c r="G52" s="3"/>
      <c r="H52" s="3"/>
      <c r="I52" s="3"/>
      <c r="J52" s="3"/>
      <c r="K52" s="3"/>
      <c r="L52" s="3"/>
      <c r="M52" s="3"/>
      <c r="N52" s="3"/>
      <c r="O52" s="3"/>
      <c r="P52" s="3"/>
      <c r="Q52" s="3"/>
      <c r="R52" s="3"/>
      <c r="S52" s="3"/>
      <c r="T52" s="3"/>
      <c r="U52" s="3"/>
      <c r="V52" s="3"/>
      <c r="W52" s="3"/>
      <c r="X52" s="3"/>
      <c r="Y52" s="3"/>
      <c r="Z52" s="3"/>
    </row>
    <row r="53" spans="1:26" ht="15.75" customHeight="1" x14ac:dyDescent="0.35">
      <c r="A53" s="13"/>
      <c r="B53" s="12" t="s">
        <v>3279</v>
      </c>
      <c r="C53" s="5" t="s">
        <v>25</v>
      </c>
      <c r="D53" s="14"/>
      <c r="E53" s="14"/>
      <c r="F53" s="3"/>
      <c r="G53" s="3"/>
      <c r="H53" s="3"/>
      <c r="I53" s="3"/>
      <c r="J53" s="3"/>
      <c r="K53" s="3"/>
      <c r="L53" s="3"/>
      <c r="M53" s="3"/>
      <c r="N53" s="3"/>
      <c r="O53" s="3"/>
      <c r="P53" s="3"/>
      <c r="Q53" s="3"/>
      <c r="R53" s="3"/>
      <c r="S53" s="3"/>
      <c r="T53" s="3"/>
      <c r="U53" s="3"/>
      <c r="V53" s="3"/>
      <c r="W53" s="3"/>
      <c r="X53" s="3"/>
      <c r="Y53" s="3"/>
      <c r="Z53" s="3"/>
    </row>
    <row r="54" spans="1:26" ht="15.75" customHeight="1" x14ac:dyDescent="0.35">
      <c r="A54" s="13"/>
      <c r="B54" s="12"/>
      <c r="C54" s="5" t="s">
        <v>29</v>
      </c>
      <c r="D54" s="14"/>
      <c r="E54" s="14"/>
      <c r="F54" s="3"/>
      <c r="G54" s="3"/>
      <c r="H54" s="3"/>
      <c r="I54" s="3"/>
      <c r="J54" s="3"/>
      <c r="K54" s="3"/>
      <c r="L54" s="3"/>
      <c r="M54" s="3"/>
      <c r="N54" s="3"/>
      <c r="O54" s="3"/>
      <c r="P54" s="3"/>
      <c r="Q54" s="3"/>
      <c r="R54" s="3"/>
      <c r="S54" s="3"/>
      <c r="T54" s="3"/>
      <c r="U54" s="3"/>
      <c r="V54" s="3"/>
      <c r="W54" s="3"/>
      <c r="X54" s="3"/>
      <c r="Y54" s="3"/>
      <c r="Z54" s="3"/>
    </row>
    <row r="55" spans="1:26" ht="15.75" customHeight="1" x14ac:dyDescent="0.35">
      <c r="A55" s="13"/>
      <c r="B55" s="12" t="s">
        <v>3280</v>
      </c>
      <c r="C55" s="5" t="s">
        <v>131</v>
      </c>
      <c r="D55" s="14"/>
      <c r="E55" s="14"/>
      <c r="F55" s="3"/>
      <c r="G55" s="3"/>
      <c r="H55" s="3"/>
      <c r="I55" s="3"/>
      <c r="J55" s="3"/>
      <c r="K55" s="3"/>
      <c r="L55" s="3"/>
      <c r="M55" s="3"/>
      <c r="N55" s="3"/>
      <c r="O55" s="3"/>
      <c r="P55" s="3"/>
      <c r="Q55" s="3"/>
      <c r="R55" s="3"/>
      <c r="S55" s="3"/>
      <c r="T55" s="3"/>
      <c r="U55" s="3"/>
      <c r="V55" s="3"/>
      <c r="W55" s="3"/>
      <c r="X55" s="3"/>
      <c r="Y55" s="3"/>
      <c r="Z55" s="3"/>
    </row>
    <row r="56" spans="1:26" ht="15.75" customHeight="1" x14ac:dyDescent="0.35">
      <c r="A56" s="13"/>
      <c r="B56" s="5" t="s">
        <v>246</v>
      </c>
      <c r="C56" s="5" t="s">
        <v>61</v>
      </c>
      <c r="D56" s="14"/>
      <c r="E56" s="14"/>
      <c r="F56" s="3"/>
      <c r="G56" s="3"/>
      <c r="H56" s="3"/>
      <c r="I56" s="3"/>
      <c r="J56" s="3"/>
      <c r="K56" s="3"/>
      <c r="L56" s="3"/>
      <c r="M56" s="3"/>
      <c r="N56" s="3"/>
      <c r="O56" s="3"/>
      <c r="P56" s="3"/>
      <c r="Q56" s="3"/>
      <c r="R56" s="3"/>
      <c r="S56" s="3"/>
      <c r="T56" s="3"/>
      <c r="U56" s="3"/>
      <c r="V56" s="3"/>
      <c r="W56" s="3"/>
      <c r="X56" s="3"/>
      <c r="Y56" s="3"/>
      <c r="Z56" s="3"/>
    </row>
    <row r="57" spans="1:26" ht="15.75" customHeight="1" x14ac:dyDescent="0.35">
      <c r="A57" s="13"/>
      <c r="B57" s="5"/>
      <c r="C57" s="5" t="s">
        <v>64</v>
      </c>
      <c r="D57" s="14"/>
      <c r="E57" s="14"/>
      <c r="F57" s="3"/>
      <c r="G57" s="3"/>
      <c r="H57" s="3"/>
      <c r="I57" s="3"/>
      <c r="J57" s="3"/>
      <c r="K57" s="3"/>
      <c r="L57" s="3"/>
      <c r="M57" s="3"/>
      <c r="N57" s="3"/>
      <c r="O57" s="3"/>
      <c r="P57" s="3"/>
      <c r="Q57" s="3"/>
      <c r="R57" s="3"/>
      <c r="S57" s="3"/>
      <c r="T57" s="3"/>
      <c r="U57" s="3"/>
      <c r="V57" s="3"/>
      <c r="W57" s="3"/>
      <c r="X57" s="3"/>
      <c r="Y57" s="3"/>
      <c r="Z57" s="3"/>
    </row>
    <row r="58" spans="1:26" ht="15.75" customHeight="1" x14ac:dyDescent="0.35">
      <c r="A58" s="13"/>
      <c r="B58" s="5"/>
      <c r="C58" s="5"/>
      <c r="D58" s="14"/>
      <c r="E58" s="14"/>
      <c r="F58" s="3"/>
      <c r="G58" s="3"/>
      <c r="H58" s="3"/>
      <c r="I58" s="3"/>
      <c r="J58" s="3"/>
      <c r="K58" s="3"/>
      <c r="L58" s="3"/>
      <c r="M58" s="3"/>
      <c r="N58" s="3"/>
      <c r="O58" s="3"/>
      <c r="P58" s="3"/>
      <c r="Q58" s="3"/>
      <c r="R58" s="3"/>
      <c r="S58" s="3"/>
      <c r="T58" s="3"/>
      <c r="U58" s="3"/>
      <c r="V58" s="3"/>
      <c r="W58" s="3"/>
      <c r="X58" s="3"/>
      <c r="Y58" s="3"/>
      <c r="Z58" s="3"/>
    </row>
    <row r="59" spans="1:26" ht="15.75" customHeight="1" x14ac:dyDescent="0.35">
      <c r="A59" s="5" t="s">
        <v>3281</v>
      </c>
      <c r="B59" s="5" t="s">
        <v>3245</v>
      </c>
      <c r="C59" s="5" t="s">
        <v>131</v>
      </c>
      <c r="D59" s="5"/>
      <c r="E59" s="5"/>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5" t="s">
        <v>105</v>
      </c>
      <c r="C60" s="5" t="s">
        <v>25</v>
      </c>
      <c r="D60" s="5"/>
      <c r="E60" s="5"/>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5"/>
      <c r="C61" s="5" t="s">
        <v>29</v>
      </c>
      <c r="D61" s="5"/>
      <c r="E61" s="5"/>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5" t="s">
        <v>3246</v>
      </c>
      <c r="C62" s="5" t="s">
        <v>131</v>
      </c>
      <c r="D62" s="5"/>
      <c r="E62" s="5"/>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5" t="s">
        <v>3248</v>
      </c>
      <c r="C63" s="5" t="s">
        <v>131</v>
      </c>
      <c r="D63" s="5"/>
      <c r="E63" s="5"/>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5" t="s">
        <v>3249</v>
      </c>
      <c r="C64" s="5" t="s">
        <v>131</v>
      </c>
      <c r="D64" s="5"/>
      <c r="E64" s="5"/>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5" t="s">
        <v>3262</v>
      </c>
      <c r="C65" s="5" t="s">
        <v>25</v>
      </c>
      <c r="D65" s="5"/>
      <c r="E65" s="5"/>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5"/>
      <c r="C66" s="5" t="s">
        <v>29</v>
      </c>
      <c r="D66" s="5"/>
      <c r="E66" s="5"/>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5" t="s">
        <v>3282</v>
      </c>
      <c r="C67" s="5" t="s">
        <v>25</v>
      </c>
      <c r="D67" s="5" t="s">
        <v>3283</v>
      </c>
      <c r="E67" s="5" t="s">
        <v>3284</v>
      </c>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5"/>
      <c r="C68" s="5" t="s">
        <v>29</v>
      </c>
      <c r="D68" s="5" t="s">
        <v>3285</v>
      </c>
      <c r="E68" s="5" t="s">
        <v>3286</v>
      </c>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12" t="s">
        <v>3251</v>
      </c>
      <c r="C69" s="5"/>
      <c r="D69" s="5"/>
      <c r="E69" s="5"/>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5" t="s">
        <v>136</v>
      </c>
      <c r="C70" s="5" t="s">
        <v>1635</v>
      </c>
      <c r="D70" s="5"/>
      <c r="E70" s="5"/>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5" t="s">
        <v>3267</v>
      </c>
      <c r="C71" s="5" t="s">
        <v>131</v>
      </c>
      <c r="D71" s="5"/>
      <c r="E71" s="5"/>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5" t="s">
        <v>1376</v>
      </c>
      <c r="C72" s="5" t="s">
        <v>131</v>
      </c>
      <c r="D72" s="5"/>
      <c r="E72" s="5"/>
      <c r="F72" s="3"/>
      <c r="G72" s="3"/>
      <c r="H72" s="3"/>
      <c r="I72" s="3"/>
      <c r="J72" s="3"/>
      <c r="K72" s="3"/>
      <c r="L72" s="3"/>
      <c r="M72" s="3"/>
      <c r="N72" s="3"/>
      <c r="O72" s="3"/>
      <c r="P72" s="3"/>
      <c r="Q72" s="3"/>
      <c r="R72" s="3"/>
      <c r="S72" s="3"/>
      <c r="T72" s="3"/>
      <c r="U72" s="3"/>
      <c r="V72" s="3"/>
      <c r="W72" s="3"/>
      <c r="X72" s="3"/>
      <c r="Y72" s="3"/>
      <c r="Z72" s="3"/>
    </row>
    <row r="73" spans="1:26" ht="15.75" customHeight="1" x14ac:dyDescent="0.35">
      <c r="A73" s="13"/>
      <c r="B73" s="12" t="s">
        <v>3252</v>
      </c>
      <c r="C73" s="5" t="s">
        <v>131</v>
      </c>
      <c r="D73" s="14"/>
      <c r="E73" s="14"/>
      <c r="F73" s="3"/>
      <c r="G73" s="3"/>
      <c r="H73" s="3"/>
      <c r="I73" s="3"/>
      <c r="J73" s="3"/>
      <c r="K73" s="3"/>
      <c r="L73" s="3"/>
      <c r="M73" s="3"/>
      <c r="N73" s="3"/>
      <c r="O73" s="3"/>
      <c r="P73" s="3"/>
      <c r="Q73" s="3"/>
      <c r="R73" s="3"/>
      <c r="S73" s="3"/>
      <c r="T73" s="3"/>
      <c r="U73" s="3"/>
      <c r="V73" s="3"/>
      <c r="W73" s="3"/>
      <c r="X73" s="3"/>
      <c r="Y73" s="3"/>
      <c r="Z73" s="3"/>
    </row>
    <row r="74" spans="1:26" ht="15.75" customHeight="1" x14ac:dyDescent="0.35">
      <c r="A74" s="13"/>
      <c r="B74" s="12" t="s">
        <v>3254</v>
      </c>
      <c r="C74" s="5" t="s">
        <v>131</v>
      </c>
      <c r="D74" s="14"/>
      <c r="E74" s="14"/>
      <c r="F74" s="3"/>
      <c r="G74" s="3"/>
      <c r="H74" s="3"/>
      <c r="I74" s="3"/>
      <c r="J74" s="3"/>
      <c r="K74" s="3"/>
      <c r="L74" s="3"/>
      <c r="M74" s="3"/>
      <c r="N74" s="3"/>
      <c r="O74" s="3"/>
      <c r="P74" s="3"/>
      <c r="Q74" s="3"/>
      <c r="R74" s="3"/>
      <c r="S74" s="3"/>
      <c r="T74" s="3"/>
      <c r="U74" s="3"/>
      <c r="V74" s="3"/>
      <c r="W74" s="3"/>
      <c r="X74" s="3"/>
      <c r="Y74" s="3"/>
      <c r="Z74" s="3"/>
    </row>
    <row r="75" spans="1:26" ht="15.75" customHeight="1" x14ac:dyDescent="0.35">
      <c r="A75" s="13"/>
      <c r="B75" s="12" t="s">
        <v>3255</v>
      </c>
      <c r="C75" s="5" t="s">
        <v>131</v>
      </c>
      <c r="D75" s="14"/>
      <c r="E75" s="14"/>
      <c r="F75" s="3"/>
      <c r="G75" s="3"/>
      <c r="H75" s="3"/>
      <c r="I75" s="3"/>
      <c r="J75" s="3"/>
      <c r="K75" s="3"/>
      <c r="L75" s="3"/>
      <c r="M75" s="3"/>
      <c r="N75" s="3"/>
      <c r="O75" s="3"/>
      <c r="P75" s="3"/>
      <c r="Q75" s="3"/>
      <c r="R75" s="3"/>
      <c r="S75" s="3"/>
      <c r="T75" s="3"/>
      <c r="U75" s="3"/>
      <c r="V75" s="3"/>
      <c r="W75" s="3"/>
      <c r="X75" s="3"/>
      <c r="Y75" s="3"/>
      <c r="Z75" s="3"/>
    </row>
    <row r="76" spans="1:26" ht="15.75" customHeight="1" x14ac:dyDescent="0.35">
      <c r="A76" s="13"/>
      <c r="B76" s="12" t="s">
        <v>1375</v>
      </c>
      <c r="C76" s="5" t="s">
        <v>131</v>
      </c>
      <c r="D76" s="14"/>
      <c r="E76" s="14"/>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5"/>
      <c r="C77" s="5"/>
      <c r="D77" s="5"/>
      <c r="E77" s="5"/>
      <c r="F77" s="3"/>
      <c r="G77" s="3"/>
      <c r="H77" s="3"/>
      <c r="I77" s="3"/>
      <c r="J77" s="3"/>
      <c r="K77" s="3"/>
      <c r="L77" s="3"/>
      <c r="M77" s="3"/>
      <c r="N77" s="3"/>
      <c r="O77" s="3"/>
      <c r="P77" s="3"/>
      <c r="Q77" s="3"/>
      <c r="R77" s="3"/>
      <c r="S77" s="3"/>
      <c r="T77" s="3"/>
      <c r="U77" s="3"/>
      <c r="V77" s="3"/>
      <c r="W77" s="3"/>
      <c r="X77" s="3"/>
      <c r="Y77" s="3"/>
      <c r="Z77" s="3"/>
    </row>
    <row r="78" spans="1:26" ht="15.75" customHeight="1" x14ac:dyDescent="0.35">
      <c r="A78" s="5" t="s">
        <v>3287</v>
      </c>
      <c r="B78" s="5" t="s">
        <v>1497</v>
      </c>
      <c r="C78" s="5" t="s">
        <v>1498</v>
      </c>
      <c r="D78" s="5"/>
      <c r="E78" s="5"/>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5"/>
      <c r="C79" s="5" t="s">
        <v>64</v>
      </c>
      <c r="D79" s="5"/>
      <c r="E79" s="5"/>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5" t="s">
        <v>3259</v>
      </c>
      <c r="C80" s="5" t="s">
        <v>759</v>
      </c>
      <c r="D80" s="5"/>
      <c r="E80" s="5"/>
      <c r="F80" s="3"/>
      <c r="G80" s="3"/>
      <c r="H80" s="3"/>
      <c r="I80" s="3"/>
      <c r="J80" s="3"/>
      <c r="K80" s="3"/>
      <c r="L80" s="3"/>
      <c r="M80" s="3"/>
      <c r="N80" s="3"/>
      <c r="O80" s="3"/>
      <c r="P80" s="3"/>
      <c r="Q80" s="3"/>
      <c r="R80" s="3"/>
      <c r="S80" s="3"/>
      <c r="T80" s="3"/>
      <c r="U80" s="3"/>
      <c r="V80" s="3"/>
      <c r="W80" s="3"/>
      <c r="X80" s="3"/>
      <c r="Y80" s="3"/>
      <c r="Z80" s="3"/>
    </row>
    <row r="81" spans="1:26" ht="15.75" customHeight="1" x14ac:dyDescent="0.35">
      <c r="A81" s="13"/>
      <c r="B81" s="12" t="s">
        <v>3288</v>
      </c>
      <c r="C81" s="5" t="s">
        <v>131</v>
      </c>
      <c r="D81" s="14"/>
      <c r="E81" s="14"/>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5" t="s">
        <v>3262</v>
      </c>
      <c r="C82" s="5" t="s">
        <v>25</v>
      </c>
      <c r="D82" s="5"/>
      <c r="E82" s="5"/>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5"/>
      <c r="C83" s="5" t="s">
        <v>29</v>
      </c>
      <c r="D83" s="5"/>
      <c r="E83" s="5"/>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5" t="s">
        <v>3289</v>
      </c>
      <c r="C84" s="5" t="s">
        <v>25</v>
      </c>
      <c r="D84" s="5"/>
      <c r="E84" s="5"/>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5"/>
      <c r="C85" s="5" t="s">
        <v>29</v>
      </c>
      <c r="D85" s="5"/>
      <c r="E85" s="5"/>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5" t="s">
        <v>3263</v>
      </c>
      <c r="C86" s="5" t="s">
        <v>3264</v>
      </c>
      <c r="D86" s="5"/>
      <c r="E86" s="5"/>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5"/>
      <c r="C87" s="5" t="s">
        <v>3265</v>
      </c>
      <c r="D87" s="5"/>
      <c r="E87" s="5"/>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5" t="s">
        <v>3267</v>
      </c>
      <c r="C88" s="5" t="s">
        <v>131</v>
      </c>
      <c r="D88" s="5"/>
      <c r="E88" s="5"/>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5" t="s">
        <v>1376</v>
      </c>
      <c r="C89" s="5" t="s">
        <v>131</v>
      </c>
      <c r="D89" s="5"/>
      <c r="E89" s="5"/>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5"/>
      <c r="C90" s="5"/>
      <c r="D90" s="5"/>
      <c r="E90" s="5"/>
      <c r="F90" s="3"/>
      <c r="G90" s="3"/>
      <c r="H90" s="3"/>
      <c r="I90" s="3"/>
      <c r="J90" s="3"/>
      <c r="K90" s="3"/>
      <c r="L90" s="3"/>
      <c r="M90" s="3"/>
      <c r="N90" s="3"/>
      <c r="O90" s="3"/>
      <c r="P90" s="3"/>
      <c r="Q90" s="3"/>
      <c r="R90" s="3"/>
      <c r="S90" s="3"/>
      <c r="T90" s="3"/>
      <c r="U90" s="3"/>
      <c r="V90" s="3"/>
      <c r="W90" s="3"/>
      <c r="X90" s="3"/>
      <c r="Y90" s="3"/>
      <c r="Z90" s="3"/>
    </row>
    <row r="91" spans="1:26" ht="15.75" customHeight="1" x14ac:dyDescent="0.35">
      <c r="A91" s="5" t="s">
        <v>3290</v>
      </c>
      <c r="B91" s="5" t="s">
        <v>1497</v>
      </c>
      <c r="C91" s="5" t="s">
        <v>1498</v>
      </c>
      <c r="D91" s="5"/>
      <c r="E91" s="5"/>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5"/>
      <c r="C92" s="5" t="s">
        <v>64</v>
      </c>
      <c r="D92" s="5"/>
      <c r="E92" s="5"/>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5" t="s">
        <v>3259</v>
      </c>
      <c r="C93" s="5" t="s">
        <v>1498</v>
      </c>
      <c r="D93" s="5"/>
      <c r="E93" s="5"/>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5" t="s">
        <v>3262</v>
      </c>
      <c r="C94" s="5" t="s">
        <v>25</v>
      </c>
      <c r="D94" s="5"/>
      <c r="E94" s="5"/>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5"/>
      <c r="C95" s="5" t="s">
        <v>29</v>
      </c>
      <c r="D95" s="5"/>
      <c r="E95" s="5"/>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5" t="s">
        <v>3263</v>
      </c>
      <c r="C96" s="5" t="s">
        <v>3264</v>
      </c>
      <c r="D96" s="5"/>
      <c r="E96" s="5"/>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5"/>
      <c r="C97" s="5" t="s">
        <v>3265</v>
      </c>
      <c r="D97" s="5"/>
      <c r="E97" s="5"/>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5" t="s">
        <v>3266</v>
      </c>
      <c r="C98" s="5" t="s">
        <v>25</v>
      </c>
      <c r="D98" s="5"/>
      <c r="E98" s="5"/>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5"/>
      <c r="C99" s="5" t="s">
        <v>29</v>
      </c>
      <c r="D99" s="5"/>
      <c r="E99" s="5"/>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5" t="s">
        <v>3291</v>
      </c>
      <c r="C100" s="5" t="s">
        <v>131</v>
      </c>
      <c r="D100" s="5"/>
      <c r="E100" s="5"/>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5" t="s">
        <v>3267</v>
      </c>
      <c r="C101" s="5" t="s">
        <v>131</v>
      </c>
      <c r="D101" s="5"/>
      <c r="E101" s="5"/>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5" t="s">
        <v>1376</v>
      </c>
      <c r="C102" s="5" t="s">
        <v>131</v>
      </c>
      <c r="D102" s="5"/>
      <c r="E102" s="5"/>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5" t="s">
        <v>3292</v>
      </c>
      <c r="C103" s="5" t="s">
        <v>131</v>
      </c>
      <c r="D103" s="5"/>
      <c r="E103" s="5"/>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5" t="s">
        <v>3293</v>
      </c>
      <c r="C104" s="5" t="s">
        <v>131</v>
      </c>
      <c r="D104" s="5"/>
      <c r="E104" s="5"/>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5" t="s">
        <v>3294</v>
      </c>
      <c r="C105" s="5" t="s">
        <v>131</v>
      </c>
      <c r="D105" s="5"/>
      <c r="E105" s="5"/>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5"/>
      <c r="C106" s="5"/>
      <c r="D106" s="5"/>
      <c r="E106" s="5"/>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5" t="s">
        <v>3295</v>
      </c>
      <c r="B107" s="5" t="s">
        <v>3296</v>
      </c>
      <c r="C107" s="5" t="s">
        <v>3297</v>
      </c>
      <c r="D107" s="5"/>
      <c r="E107" s="5"/>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5" t="s">
        <v>3298</v>
      </c>
      <c r="C108" s="5" t="s">
        <v>131</v>
      </c>
      <c r="D108" s="5"/>
      <c r="E108" s="5"/>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5" t="s">
        <v>3299</v>
      </c>
      <c r="C109" s="5" t="s">
        <v>131</v>
      </c>
      <c r="D109" s="5"/>
      <c r="E109" s="5"/>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5" t="s">
        <v>105</v>
      </c>
      <c r="C110" s="5" t="s">
        <v>25</v>
      </c>
      <c r="D110" s="5"/>
      <c r="E110" s="5"/>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5" t="s">
        <v>3300</v>
      </c>
      <c r="C111" s="5" t="s">
        <v>131</v>
      </c>
      <c r="D111" s="5"/>
      <c r="E111" s="5"/>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5" t="s">
        <v>3262</v>
      </c>
      <c r="C112" s="5" t="s">
        <v>25</v>
      </c>
      <c r="D112" s="5"/>
      <c r="E112" s="5"/>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5" t="s">
        <v>3301</v>
      </c>
      <c r="C113" s="5" t="s">
        <v>3302</v>
      </c>
      <c r="D113" s="5"/>
      <c r="E113" s="5"/>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5" t="s">
        <v>3303</v>
      </c>
      <c r="C114" s="5" t="s">
        <v>131</v>
      </c>
      <c r="D114" s="5"/>
      <c r="E114" s="5"/>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5" t="s">
        <v>3304</v>
      </c>
      <c r="C115" s="5" t="s">
        <v>131</v>
      </c>
      <c r="D115" s="5"/>
      <c r="E115" s="5"/>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5" t="s">
        <v>3305</v>
      </c>
      <c r="C116" s="5" t="s">
        <v>131</v>
      </c>
      <c r="D116" s="5"/>
      <c r="E116" s="5"/>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000"/>
  <sheetViews>
    <sheetView workbookViewId="0">
      <pane xSplit="3" topLeftCell="D1" activePane="topRight" state="frozen"/>
      <selection pane="topRight" activeCell="E2" sqref="E2"/>
    </sheetView>
  </sheetViews>
  <sheetFormatPr defaultColWidth="11.25" defaultRowHeight="15" customHeight="1" x14ac:dyDescent="0.35"/>
  <cols>
    <col min="1" max="1" width="29.9140625" customWidth="1"/>
    <col min="2" max="2" width="28" customWidth="1"/>
    <col min="3" max="3" width="41.33203125" customWidth="1"/>
    <col min="4" max="4" width="42" customWidth="1"/>
    <col min="5" max="6" width="10.75" customWidth="1"/>
    <col min="7" max="7" width="58.08203125" customWidth="1"/>
    <col min="8" max="8" width="56.33203125" customWidth="1"/>
    <col min="9" max="9" width="58.08203125" customWidth="1"/>
    <col min="10" max="10" width="74.58203125" customWidth="1"/>
    <col min="11" max="11" width="67.33203125" customWidth="1"/>
    <col min="12" max="12" width="61" customWidth="1"/>
    <col min="13" max="13" width="10.58203125" customWidth="1"/>
    <col min="14" max="14" width="27.75" customWidth="1"/>
    <col min="15" max="19" width="10.58203125" customWidth="1"/>
    <col min="20" max="20" width="32.58203125" customWidth="1"/>
    <col min="21" max="25" width="10.58203125" customWidth="1"/>
    <col min="26" max="26" width="28" customWidth="1"/>
    <col min="27" max="31" width="10.58203125" customWidth="1"/>
  </cols>
  <sheetData>
    <row r="1" spans="1:31" ht="15.75" customHeight="1" x14ac:dyDescent="0.35">
      <c r="A1" s="9" t="s">
        <v>0</v>
      </c>
      <c r="B1" s="9" t="s">
        <v>1</v>
      </c>
      <c r="C1" s="9" t="s">
        <v>2</v>
      </c>
      <c r="D1" s="9" t="s">
        <v>3</v>
      </c>
      <c r="E1" s="9" t="s">
        <v>4</v>
      </c>
      <c r="F1" s="3"/>
      <c r="G1" s="4" t="s">
        <v>1750</v>
      </c>
      <c r="I1" s="3"/>
      <c r="J1" s="3" t="s">
        <v>1751</v>
      </c>
      <c r="K1" s="3"/>
      <c r="L1" s="3"/>
      <c r="M1" s="3" t="s">
        <v>1752</v>
      </c>
      <c r="N1" s="3"/>
      <c r="O1" s="3"/>
      <c r="P1" s="3"/>
      <c r="Q1" s="3"/>
      <c r="R1" s="3"/>
      <c r="S1" s="3"/>
      <c r="T1" s="3"/>
      <c r="U1" s="3"/>
      <c r="V1" s="3"/>
      <c r="W1" s="3"/>
      <c r="X1" s="3"/>
      <c r="Y1" s="3"/>
      <c r="Z1" s="3"/>
      <c r="AA1" s="3"/>
      <c r="AB1" s="3"/>
      <c r="AC1" s="3"/>
      <c r="AD1" s="3"/>
      <c r="AE1" s="3"/>
    </row>
    <row r="2" spans="1:31" ht="15.75" customHeight="1" x14ac:dyDescent="0.35">
      <c r="A2" s="3" t="s">
        <v>1561</v>
      </c>
      <c r="B2" s="3" t="s">
        <v>1497</v>
      </c>
      <c r="C2" s="3" t="s">
        <v>759</v>
      </c>
      <c r="D2" s="3" t="s">
        <v>1499</v>
      </c>
      <c r="E2" s="3"/>
      <c r="F2" s="3"/>
      <c r="G2" s="3" t="s">
        <v>3306</v>
      </c>
      <c r="H2" s="3" t="s">
        <v>3307</v>
      </c>
      <c r="I2" s="3" t="s">
        <v>3307</v>
      </c>
      <c r="J2" s="3" t="s">
        <v>3306</v>
      </c>
      <c r="K2" s="3" t="s">
        <v>3306</v>
      </c>
      <c r="L2" s="3" t="s">
        <v>3306</v>
      </c>
      <c r="M2" s="3" t="s">
        <v>1753</v>
      </c>
      <c r="N2" s="3"/>
      <c r="O2" s="3"/>
      <c r="P2" s="3"/>
      <c r="Q2" s="3"/>
      <c r="R2" s="3"/>
      <c r="S2" s="3"/>
      <c r="T2" s="3"/>
      <c r="U2" s="3"/>
      <c r="V2" s="3"/>
      <c r="W2" s="3"/>
      <c r="X2" s="3"/>
      <c r="Y2" s="3"/>
      <c r="Z2" s="3"/>
      <c r="AA2" s="3"/>
      <c r="AB2" s="3"/>
      <c r="AC2" s="3"/>
      <c r="AD2" s="3"/>
      <c r="AE2" s="3"/>
    </row>
    <row r="3" spans="1:31" ht="15.75" customHeight="1" x14ac:dyDescent="0.35">
      <c r="A3" s="3"/>
      <c r="B3" s="3"/>
      <c r="C3" s="3" t="s">
        <v>64</v>
      </c>
      <c r="D3" s="3"/>
      <c r="E3" s="3"/>
      <c r="F3" s="3"/>
      <c r="G3" s="3" t="s">
        <v>3308</v>
      </c>
      <c r="H3" s="3" t="s">
        <v>3308</v>
      </c>
      <c r="I3" s="3" t="s">
        <v>3308</v>
      </c>
      <c r="J3" s="3" t="s">
        <v>947</v>
      </c>
      <c r="K3" s="3" t="s">
        <v>2510</v>
      </c>
      <c r="L3" s="3" t="s">
        <v>947</v>
      </c>
      <c r="M3" s="3" t="s">
        <v>1753</v>
      </c>
      <c r="N3" s="3"/>
      <c r="O3" s="3"/>
      <c r="P3" s="3"/>
      <c r="Q3" s="3"/>
      <c r="R3" s="3"/>
      <c r="S3" s="3"/>
      <c r="T3" s="3"/>
      <c r="U3" s="3"/>
      <c r="V3" s="3"/>
      <c r="W3" s="3"/>
      <c r="X3" s="3"/>
      <c r="Y3" s="3"/>
      <c r="Z3" s="3"/>
      <c r="AA3" s="3"/>
      <c r="AB3" s="3"/>
      <c r="AC3" s="3"/>
      <c r="AD3" s="3"/>
      <c r="AE3" s="3"/>
    </row>
    <row r="4" spans="1:31" ht="15.75" customHeight="1" x14ac:dyDescent="0.35">
      <c r="A4" s="3"/>
      <c r="B4" s="3"/>
      <c r="C4" s="3" t="s">
        <v>1742</v>
      </c>
      <c r="D4" s="3"/>
      <c r="E4" s="3"/>
      <c r="F4" s="3"/>
      <c r="G4" s="3" t="s">
        <v>3309</v>
      </c>
      <c r="H4" s="3" t="s">
        <v>3309</v>
      </c>
      <c r="I4" s="3" t="s">
        <v>3309</v>
      </c>
      <c r="J4" s="3" t="s">
        <v>1743</v>
      </c>
      <c r="K4" s="3" t="s">
        <v>1743</v>
      </c>
      <c r="L4" s="3" t="s">
        <v>1743</v>
      </c>
      <c r="M4" s="3" t="s">
        <v>1753</v>
      </c>
      <c r="N4" s="3"/>
      <c r="O4" s="3"/>
      <c r="P4" s="3"/>
      <c r="Q4" s="3"/>
      <c r="R4" s="3"/>
      <c r="S4" s="3"/>
      <c r="T4" s="3"/>
      <c r="U4" s="3"/>
      <c r="V4" s="3"/>
      <c r="W4" s="3"/>
      <c r="X4" s="3"/>
      <c r="Y4" s="3"/>
      <c r="Z4" s="3"/>
      <c r="AA4" s="3"/>
      <c r="AB4" s="3"/>
      <c r="AC4" s="3"/>
      <c r="AD4" s="3"/>
      <c r="AE4" s="3"/>
    </row>
    <row r="5" spans="1:31" ht="15.75" customHeight="1" x14ac:dyDescent="0.35">
      <c r="A5" s="3"/>
      <c r="B5" s="3" t="s">
        <v>1568</v>
      </c>
      <c r="C5" s="3" t="s">
        <v>3310</v>
      </c>
      <c r="D5" s="3"/>
      <c r="E5" s="3"/>
      <c r="F5" s="3"/>
      <c r="G5" s="3" t="s">
        <v>3311</v>
      </c>
      <c r="H5" s="3" t="s">
        <v>2050</v>
      </c>
      <c r="I5" s="3" t="s">
        <v>3312</v>
      </c>
      <c r="J5" s="3" t="s">
        <v>3313</v>
      </c>
      <c r="K5" s="3" t="s">
        <v>3314</v>
      </c>
      <c r="L5" s="3" t="s">
        <v>3315</v>
      </c>
      <c r="M5" s="3" t="s">
        <v>1753</v>
      </c>
      <c r="N5" s="3"/>
      <c r="O5" s="3"/>
      <c r="P5" s="3"/>
      <c r="Q5" s="3"/>
      <c r="R5" s="3"/>
      <c r="S5" s="3"/>
      <c r="T5" s="3"/>
      <c r="U5" s="3"/>
      <c r="V5" s="3"/>
      <c r="W5" s="3"/>
      <c r="X5" s="3"/>
      <c r="Y5" s="3"/>
      <c r="Z5" s="3"/>
      <c r="AA5" s="3"/>
      <c r="AB5" s="3"/>
      <c r="AC5" s="3"/>
      <c r="AD5" s="3"/>
      <c r="AE5" s="3"/>
    </row>
    <row r="6" spans="1:31" ht="15.75" customHeight="1" x14ac:dyDescent="0.35">
      <c r="A6" s="3"/>
      <c r="B6" s="3"/>
      <c r="C6" s="3" t="s">
        <v>3316</v>
      </c>
      <c r="D6" s="3"/>
      <c r="E6" s="3"/>
      <c r="F6" s="3"/>
      <c r="G6" s="3" t="s">
        <v>3317</v>
      </c>
      <c r="H6" s="3" t="s">
        <v>3318</v>
      </c>
      <c r="I6" s="3" t="s">
        <v>3318</v>
      </c>
      <c r="J6" s="3" t="s">
        <v>1575</v>
      </c>
      <c r="K6" s="3" t="s">
        <v>3319</v>
      </c>
      <c r="L6" s="3" t="s">
        <v>1575</v>
      </c>
      <c r="M6" s="3" t="s">
        <v>1753</v>
      </c>
      <c r="N6" s="3"/>
      <c r="O6" s="3"/>
      <c r="P6" s="3"/>
      <c r="Q6" s="3"/>
      <c r="R6" s="3"/>
      <c r="S6" s="3"/>
      <c r="T6" s="3"/>
      <c r="U6" s="3"/>
      <c r="V6" s="3"/>
      <c r="W6" s="3"/>
      <c r="X6" s="3"/>
      <c r="Y6" s="3"/>
      <c r="Z6" s="3"/>
      <c r="AA6" s="3"/>
      <c r="AB6" s="3"/>
      <c r="AC6" s="3"/>
      <c r="AD6" s="3"/>
      <c r="AE6" s="3"/>
    </row>
    <row r="7" spans="1:31" ht="15.75" customHeight="1" x14ac:dyDescent="0.35">
      <c r="A7" s="3"/>
      <c r="B7" s="3"/>
      <c r="C7" s="3" t="s">
        <v>3320</v>
      </c>
      <c r="D7" s="3"/>
      <c r="E7" s="3"/>
      <c r="F7" s="3"/>
      <c r="G7" s="3" t="s">
        <v>3321</v>
      </c>
      <c r="H7" s="3" t="s">
        <v>3322</v>
      </c>
      <c r="I7" s="3" t="s">
        <v>3323</v>
      </c>
      <c r="J7" s="3" t="s">
        <v>3324</v>
      </c>
      <c r="K7" s="3" t="s">
        <v>3325</v>
      </c>
      <c r="L7" s="3" t="s">
        <v>3326</v>
      </c>
      <c r="M7" s="3" t="s">
        <v>1753</v>
      </c>
      <c r="N7" s="3"/>
      <c r="O7" s="3"/>
      <c r="P7" s="3"/>
      <c r="Q7" s="3"/>
      <c r="R7" s="3"/>
      <c r="S7" s="3"/>
      <c r="T7" s="3"/>
      <c r="U7" s="3"/>
      <c r="V7" s="3"/>
      <c r="W7" s="3"/>
      <c r="X7" s="3"/>
      <c r="Y7" s="3"/>
      <c r="Z7" s="3"/>
      <c r="AA7" s="3"/>
      <c r="AB7" s="3"/>
      <c r="AC7" s="3"/>
      <c r="AD7" s="3"/>
      <c r="AE7" s="3"/>
    </row>
    <row r="8" spans="1:31" ht="15.75" customHeight="1" x14ac:dyDescent="0.35">
      <c r="A8" s="3"/>
      <c r="B8" s="3" t="s">
        <v>188</v>
      </c>
      <c r="C8" s="3" t="s">
        <v>1105</v>
      </c>
      <c r="D8" s="3"/>
      <c r="E8" s="3"/>
      <c r="F8" s="3"/>
      <c r="G8" s="3" t="s">
        <v>3327</v>
      </c>
      <c r="H8" s="3" t="s">
        <v>3327</v>
      </c>
      <c r="I8" s="3" t="s">
        <v>3328</v>
      </c>
      <c r="J8" s="3" t="s">
        <v>1745</v>
      </c>
      <c r="K8" s="3" t="s">
        <v>1745</v>
      </c>
      <c r="L8" s="3" t="s">
        <v>3329</v>
      </c>
      <c r="M8" s="3" t="s">
        <v>1753</v>
      </c>
      <c r="N8" s="3"/>
      <c r="O8" s="3"/>
      <c r="P8" s="3"/>
      <c r="Q8" s="3"/>
      <c r="R8" s="3"/>
      <c r="S8" s="3"/>
      <c r="T8" s="3"/>
      <c r="U8" s="3"/>
      <c r="V8" s="3"/>
      <c r="W8" s="3"/>
      <c r="X8" s="3"/>
      <c r="Y8" s="3"/>
      <c r="Z8" s="3"/>
      <c r="AA8" s="3"/>
      <c r="AB8" s="3"/>
      <c r="AC8" s="3"/>
      <c r="AD8" s="3"/>
      <c r="AE8" s="3"/>
    </row>
    <row r="9" spans="1:31" ht="15.75" customHeight="1" x14ac:dyDescent="0.35">
      <c r="A9" s="5" t="s">
        <v>3330</v>
      </c>
      <c r="B9" s="5" t="s">
        <v>3331</v>
      </c>
      <c r="C9" s="5"/>
      <c r="D9" s="5" t="s">
        <v>3332</v>
      </c>
      <c r="E9" s="3"/>
      <c r="F9" s="3"/>
      <c r="G9" s="3"/>
      <c r="H9" s="3"/>
      <c r="I9" s="3"/>
      <c r="J9" s="3"/>
      <c r="K9" s="3"/>
      <c r="L9" s="3"/>
      <c r="M9" s="3" t="s">
        <v>1753</v>
      </c>
      <c r="N9" s="3"/>
      <c r="O9" s="3"/>
      <c r="P9" s="3"/>
      <c r="Q9" s="3"/>
      <c r="R9" s="3"/>
      <c r="S9" s="3"/>
      <c r="T9" s="3"/>
      <c r="U9" s="3"/>
      <c r="V9" s="3"/>
      <c r="W9" s="3"/>
      <c r="X9" s="3"/>
      <c r="Y9" s="3"/>
      <c r="Z9" s="3"/>
      <c r="AA9" s="3"/>
      <c r="AB9" s="3"/>
      <c r="AC9" s="3"/>
      <c r="AD9" s="3"/>
      <c r="AE9" s="3"/>
    </row>
    <row r="10" spans="1:31" ht="15.75" customHeight="1" x14ac:dyDescent="0.35">
      <c r="A10" s="3"/>
      <c r="B10" s="5" t="s">
        <v>3333</v>
      </c>
      <c r="C10" s="5"/>
      <c r="D10" s="5" t="s">
        <v>3332</v>
      </c>
      <c r="E10" s="3"/>
      <c r="F10" s="3"/>
      <c r="G10" s="3"/>
      <c r="H10" s="3"/>
      <c r="I10" s="3"/>
      <c r="J10" s="3"/>
      <c r="K10" s="3"/>
      <c r="L10" s="3"/>
      <c r="M10" s="3" t="s">
        <v>1753</v>
      </c>
      <c r="N10" s="3"/>
      <c r="O10" s="3"/>
      <c r="P10" s="3"/>
      <c r="Q10" s="3"/>
      <c r="R10" s="3"/>
      <c r="S10" s="3"/>
      <c r="T10" s="3"/>
      <c r="U10" s="3"/>
      <c r="V10" s="3"/>
      <c r="W10" s="3"/>
      <c r="X10" s="3"/>
      <c r="Y10" s="3"/>
      <c r="Z10" s="3"/>
      <c r="AA10" s="3"/>
      <c r="AB10" s="3"/>
      <c r="AC10" s="3"/>
      <c r="AD10" s="3"/>
      <c r="AE10" s="3"/>
    </row>
    <row r="11" spans="1:31" ht="15.75" customHeight="1" x14ac:dyDescent="0.35">
      <c r="A11" s="3"/>
      <c r="B11" s="5" t="s">
        <v>3334</v>
      </c>
      <c r="C11" s="5"/>
      <c r="D11" s="5" t="s">
        <v>3332</v>
      </c>
      <c r="E11" s="3"/>
      <c r="F11" s="3"/>
      <c r="G11" s="3"/>
      <c r="H11" s="3"/>
      <c r="I11" s="3"/>
      <c r="J11" s="3"/>
      <c r="K11" s="3"/>
      <c r="L11" s="3"/>
      <c r="M11" s="3" t="s">
        <v>1753</v>
      </c>
      <c r="N11" s="3"/>
      <c r="O11" s="3"/>
      <c r="P11" s="3"/>
      <c r="Q11" s="3"/>
      <c r="R11" s="3"/>
      <c r="S11" s="3"/>
      <c r="T11" s="3"/>
      <c r="U11" s="3"/>
      <c r="V11" s="3"/>
      <c r="W11" s="3"/>
      <c r="X11" s="3"/>
      <c r="Y11" s="3"/>
      <c r="Z11" s="3"/>
      <c r="AA11" s="3"/>
      <c r="AB11" s="3"/>
      <c r="AC11" s="3"/>
      <c r="AD11" s="3"/>
      <c r="AE11" s="3"/>
    </row>
    <row r="12" spans="1:31" ht="15.75" customHeight="1" x14ac:dyDescent="0.35">
      <c r="A12" s="3"/>
      <c r="B12" s="5" t="s">
        <v>3335</v>
      </c>
      <c r="C12" s="5"/>
      <c r="D12" s="5" t="s">
        <v>3332</v>
      </c>
      <c r="E12" s="3"/>
      <c r="F12" s="3"/>
      <c r="G12" s="3"/>
      <c r="H12" s="3"/>
      <c r="I12" s="3"/>
      <c r="J12" s="3"/>
      <c r="K12" s="3"/>
      <c r="L12" s="3"/>
      <c r="M12" s="3" t="s">
        <v>1753</v>
      </c>
      <c r="N12" s="3"/>
      <c r="O12" s="3"/>
      <c r="P12" s="3"/>
      <c r="Q12" s="3"/>
      <c r="R12" s="3"/>
      <c r="S12" s="3"/>
      <c r="T12" s="3"/>
      <c r="U12" s="3"/>
      <c r="V12" s="3"/>
      <c r="W12" s="3"/>
      <c r="X12" s="3"/>
      <c r="Y12" s="3"/>
      <c r="Z12" s="3"/>
      <c r="AA12" s="3"/>
      <c r="AB12" s="3"/>
      <c r="AC12" s="3"/>
      <c r="AD12" s="3"/>
      <c r="AE12" s="3"/>
    </row>
    <row r="13" spans="1:31" ht="15.75" customHeight="1" x14ac:dyDescent="0.35">
      <c r="A13" s="3"/>
      <c r="B13" s="5" t="s">
        <v>3336</v>
      </c>
      <c r="C13" s="5" t="s">
        <v>64</v>
      </c>
      <c r="D13" s="5"/>
      <c r="E13" s="3"/>
      <c r="F13" s="3"/>
      <c r="J13" s="3"/>
      <c r="K13" s="3"/>
      <c r="L13" s="3"/>
      <c r="M13" s="3" t="s">
        <v>1753</v>
      </c>
      <c r="N13" s="3"/>
      <c r="O13" s="3"/>
      <c r="P13" s="3"/>
      <c r="Q13" s="3"/>
      <c r="R13" s="3"/>
      <c r="S13" s="3"/>
      <c r="T13" s="3"/>
      <c r="U13" s="3"/>
      <c r="V13" s="3"/>
      <c r="W13" s="3"/>
      <c r="X13" s="3"/>
      <c r="Y13" s="3"/>
      <c r="Z13" s="3"/>
      <c r="AA13" s="3"/>
      <c r="AB13" s="3"/>
      <c r="AC13" s="3"/>
      <c r="AD13" s="3"/>
      <c r="AE13" s="3"/>
    </row>
    <row r="14" spans="1:31" ht="15.75" customHeight="1" x14ac:dyDescent="0.35">
      <c r="A14" s="3" t="s">
        <v>1585</v>
      </c>
      <c r="B14" s="3" t="s">
        <v>1586</v>
      </c>
      <c r="C14" s="3" t="s">
        <v>631</v>
      </c>
      <c r="D14" s="3"/>
      <c r="E14" s="3"/>
      <c r="F14" s="3"/>
      <c r="G14" s="3" t="s">
        <v>3337</v>
      </c>
      <c r="H14" s="3" t="s">
        <v>3337</v>
      </c>
      <c r="I14" s="3" t="s">
        <v>3338</v>
      </c>
      <c r="J14" s="3" t="s">
        <v>1587</v>
      </c>
      <c r="K14" s="3" t="s">
        <v>3337</v>
      </c>
      <c r="L14" s="3" t="s">
        <v>3337</v>
      </c>
      <c r="M14" s="3" t="s">
        <v>1753</v>
      </c>
      <c r="N14" s="3"/>
      <c r="O14" s="3"/>
      <c r="P14" s="3"/>
      <c r="Q14" s="3"/>
      <c r="R14" s="3"/>
      <c r="S14" s="3"/>
      <c r="T14" s="3"/>
      <c r="U14" s="3"/>
      <c r="V14" s="3"/>
      <c r="W14" s="3"/>
      <c r="X14" s="3"/>
      <c r="Y14" s="3"/>
      <c r="Z14" s="3"/>
      <c r="AA14" s="3"/>
      <c r="AB14" s="3"/>
      <c r="AC14" s="3"/>
      <c r="AD14" s="3"/>
      <c r="AE14" s="3"/>
    </row>
    <row r="15" spans="1:31" ht="15.75" customHeight="1" x14ac:dyDescent="0.35">
      <c r="A15" s="3"/>
      <c r="B15" s="3"/>
      <c r="C15" s="3" t="s">
        <v>29</v>
      </c>
      <c r="D15" s="3"/>
      <c r="E15" s="3"/>
      <c r="F15" s="3"/>
      <c r="G15" s="3" t="s">
        <v>3339</v>
      </c>
      <c r="H15" s="3" t="s">
        <v>3339</v>
      </c>
      <c r="I15" s="3" t="s">
        <v>3339</v>
      </c>
      <c r="J15" s="3" t="s">
        <v>1588</v>
      </c>
      <c r="K15" s="3" t="s">
        <v>1588</v>
      </c>
      <c r="L15" s="3" t="s">
        <v>3340</v>
      </c>
      <c r="M15" s="3" t="s">
        <v>1753</v>
      </c>
      <c r="N15" s="3"/>
      <c r="O15" s="3"/>
      <c r="P15" s="3"/>
      <c r="Q15" s="3"/>
      <c r="R15" s="3"/>
      <c r="S15" s="3"/>
      <c r="T15" s="3"/>
      <c r="U15" s="3"/>
      <c r="V15" s="3"/>
      <c r="W15" s="3"/>
      <c r="X15" s="3"/>
      <c r="Y15" s="3"/>
      <c r="Z15" s="3"/>
      <c r="AA15" s="3"/>
      <c r="AB15" s="3"/>
      <c r="AC15" s="3"/>
      <c r="AD15" s="3"/>
      <c r="AE15" s="3"/>
    </row>
    <row r="16" spans="1:31" ht="15.75" customHeight="1" x14ac:dyDescent="0.35">
      <c r="A16" s="3"/>
      <c r="B16" s="3" t="s">
        <v>1589</v>
      </c>
      <c r="C16" s="3" t="s">
        <v>1590</v>
      </c>
      <c r="D16" s="3"/>
      <c r="E16" s="3"/>
      <c r="F16" s="3"/>
      <c r="G16" s="3" t="s">
        <v>3341</v>
      </c>
      <c r="H16" s="3" t="s">
        <v>3341</v>
      </c>
      <c r="I16" s="3" t="s">
        <v>3341</v>
      </c>
      <c r="J16" s="3" t="s">
        <v>1591</v>
      </c>
      <c r="K16" s="3" t="s">
        <v>3341</v>
      </c>
      <c r="L16" s="3" t="s">
        <v>1591</v>
      </c>
      <c r="M16" s="3" t="s">
        <v>1753</v>
      </c>
      <c r="N16" s="3"/>
      <c r="O16" s="3"/>
      <c r="P16" s="3"/>
      <c r="Q16" s="3"/>
      <c r="R16" s="3"/>
      <c r="S16" s="3"/>
      <c r="T16" s="3"/>
      <c r="U16" s="3"/>
      <c r="V16" s="3"/>
      <c r="W16" s="3"/>
      <c r="X16" s="3"/>
      <c r="Y16" s="3"/>
      <c r="Z16" s="3"/>
      <c r="AA16" s="3"/>
      <c r="AB16" s="3"/>
      <c r="AC16" s="3"/>
      <c r="AD16" s="3"/>
      <c r="AE16" s="3"/>
    </row>
    <row r="17" spans="1:31" ht="15.75" customHeight="1" x14ac:dyDescent="0.35">
      <c r="A17" s="3"/>
      <c r="B17" s="3"/>
      <c r="C17" s="3" t="s">
        <v>1746</v>
      </c>
      <c r="D17" s="3"/>
      <c r="E17" s="3"/>
      <c r="F17" s="3"/>
      <c r="G17" s="3" t="s">
        <v>3342</v>
      </c>
      <c r="H17" s="3" t="s">
        <v>3342</v>
      </c>
      <c r="I17" s="3" t="s">
        <v>3343</v>
      </c>
      <c r="J17" s="3" t="s">
        <v>1594</v>
      </c>
      <c r="K17" s="3" t="s">
        <v>1594</v>
      </c>
      <c r="L17" s="3" t="s">
        <v>1594</v>
      </c>
      <c r="M17" s="3" t="s">
        <v>1753</v>
      </c>
      <c r="N17" s="3"/>
      <c r="O17" s="3"/>
      <c r="P17" s="3"/>
      <c r="Q17" s="3"/>
      <c r="R17" s="3"/>
      <c r="S17" s="3"/>
      <c r="T17" s="3"/>
      <c r="U17" s="3"/>
      <c r="V17" s="3"/>
      <c r="W17" s="3"/>
      <c r="X17" s="3"/>
      <c r="Y17" s="3"/>
      <c r="Z17" s="3"/>
      <c r="AA17" s="3"/>
      <c r="AB17" s="3"/>
      <c r="AC17" s="3"/>
      <c r="AD17" s="3"/>
      <c r="AE17" s="3"/>
    </row>
    <row r="18" spans="1:31" ht="15.75" customHeight="1" x14ac:dyDescent="0.35">
      <c r="A18" s="3"/>
      <c r="B18" s="3" t="s">
        <v>105</v>
      </c>
      <c r="C18" s="3" t="s">
        <v>3344</v>
      </c>
      <c r="D18" s="3"/>
      <c r="E18" s="3"/>
      <c r="F18" s="3"/>
      <c r="G18" s="3" t="s">
        <v>3345</v>
      </c>
      <c r="H18" s="3" t="s">
        <v>3345</v>
      </c>
      <c r="I18" s="3" t="s">
        <v>3345</v>
      </c>
      <c r="J18" s="3" t="s">
        <v>1599</v>
      </c>
      <c r="K18" s="3" t="s">
        <v>1599</v>
      </c>
      <c r="L18" s="3" t="s">
        <v>3346</v>
      </c>
      <c r="M18" s="3" t="s">
        <v>1753</v>
      </c>
      <c r="N18" s="3"/>
      <c r="O18" s="3"/>
      <c r="P18" s="3"/>
      <c r="Q18" s="3"/>
      <c r="R18" s="3"/>
      <c r="S18" s="3"/>
      <c r="T18" s="3"/>
      <c r="U18" s="3"/>
      <c r="V18" s="3"/>
      <c r="W18" s="3"/>
      <c r="X18" s="3"/>
      <c r="Y18" s="3"/>
      <c r="Z18" s="3"/>
      <c r="AA18" s="3"/>
      <c r="AB18" s="3"/>
      <c r="AC18" s="3"/>
      <c r="AD18" s="3"/>
      <c r="AE18" s="3"/>
    </row>
    <row r="19" spans="1:31" ht="15.75" customHeight="1" x14ac:dyDescent="0.35">
      <c r="A19" s="3"/>
      <c r="B19" s="3"/>
      <c r="C19" s="3" t="s">
        <v>29</v>
      </c>
      <c r="D19" s="3"/>
      <c r="E19" s="3"/>
      <c r="F19" s="3"/>
      <c r="G19" s="3" t="s">
        <v>3347</v>
      </c>
      <c r="H19" s="3" t="s">
        <v>3347</v>
      </c>
      <c r="I19" s="3" t="s">
        <v>3347</v>
      </c>
      <c r="J19" s="3" t="s">
        <v>1600</v>
      </c>
      <c r="K19" s="3" t="s">
        <v>1600</v>
      </c>
      <c r="L19" s="3" t="s">
        <v>1600</v>
      </c>
      <c r="M19" s="3" t="s">
        <v>1753</v>
      </c>
      <c r="N19" s="3"/>
      <c r="O19" s="3"/>
      <c r="P19" s="3"/>
      <c r="Q19" s="3"/>
      <c r="R19" s="3"/>
      <c r="S19" s="3"/>
      <c r="T19" s="3"/>
      <c r="U19" s="3"/>
      <c r="V19" s="3"/>
      <c r="W19" s="3"/>
      <c r="X19" s="3"/>
      <c r="Y19" s="3"/>
      <c r="Z19" s="3"/>
      <c r="AA19" s="3"/>
      <c r="AB19" s="3"/>
      <c r="AC19" s="3"/>
      <c r="AD19" s="3"/>
      <c r="AE19" s="3"/>
    </row>
    <row r="20" spans="1:31" ht="15.75" customHeight="1" x14ac:dyDescent="0.35">
      <c r="A20" s="3"/>
      <c r="B20" s="3" t="s">
        <v>636</v>
      </c>
      <c r="C20" s="3" t="s">
        <v>1635</v>
      </c>
      <c r="D20" s="3"/>
      <c r="E20" s="3"/>
      <c r="F20" s="3"/>
      <c r="G20" s="3" t="s">
        <v>3348</v>
      </c>
      <c r="H20" s="3" t="s">
        <v>3348</v>
      </c>
      <c r="I20" s="3" t="s">
        <v>3348</v>
      </c>
      <c r="J20" s="3" t="s">
        <v>1747</v>
      </c>
      <c r="K20" s="3" t="s">
        <v>1747</v>
      </c>
      <c r="L20" s="3" t="s">
        <v>1747</v>
      </c>
      <c r="M20" s="3" t="s">
        <v>1753</v>
      </c>
      <c r="N20" s="3"/>
      <c r="O20" s="3"/>
      <c r="P20" s="3"/>
      <c r="Q20" s="3"/>
      <c r="R20" s="3"/>
      <c r="S20" s="3"/>
      <c r="T20" s="3"/>
      <c r="U20" s="3"/>
      <c r="V20" s="3"/>
      <c r="W20" s="3"/>
      <c r="X20" s="3"/>
      <c r="Y20" s="3"/>
      <c r="Z20" s="3"/>
      <c r="AA20" s="3"/>
      <c r="AB20" s="3"/>
      <c r="AC20" s="3"/>
      <c r="AD20" s="3"/>
      <c r="AE20" s="3"/>
    </row>
    <row r="21" spans="1:31" ht="15.75" customHeight="1" x14ac:dyDescent="0.35">
      <c r="A21" s="3"/>
      <c r="B21" s="5" t="s">
        <v>1601</v>
      </c>
      <c r="C21" s="5" t="s">
        <v>131</v>
      </c>
      <c r="D21" s="3"/>
      <c r="E21" s="3"/>
      <c r="F21" s="3"/>
      <c r="J21" s="3"/>
      <c r="K21" s="3"/>
      <c r="L21" s="3"/>
      <c r="M21" s="3" t="s">
        <v>1753</v>
      </c>
      <c r="N21" s="3"/>
      <c r="O21" s="3"/>
      <c r="P21" s="3"/>
      <c r="Q21" s="3"/>
      <c r="R21" s="3"/>
      <c r="S21" s="3"/>
      <c r="T21" s="3"/>
      <c r="U21" s="3"/>
      <c r="V21" s="3"/>
      <c r="W21" s="3"/>
      <c r="X21" s="3"/>
      <c r="Y21" s="3"/>
      <c r="Z21" s="3"/>
      <c r="AA21" s="3"/>
      <c r="AB21" s="3"/>
      <c r="AC21" s="3"/>
      <c r="AD21" s="3"/>
      <c r="AE21" s="3"/>
    </row>
    <row r="22" spans="1:31" ht="15.75" customHeight="1" x14ac:dyDescent="0.35">
      <c r="A22" s="3"/>
      <c r="B22" s="5" t="s">
        <v>1602</v>
      </c>
      <c r="C22" s="5" t="s">
        <v>131</v>
      </c>
      <c r="D22" s="3"/>
      <c r="E22" s="3"/>
      <c r="F22" s="3"/>
      <c r="G22" s="3"/>
      <c r="H22" s="3"/>
      <c r="I22" s="3"/>
      <c r="J22" s="3"/>
      <c r="K22" s="3"/>
      <c r="L22" s="3"/>
      <c r="M22" s="3" t="s">
        <v>1753</v>
      </c>
      <c r="N22" s="3"/>
      <c r="O22" s="3"/>
      <c r="P22" s="3"/>
      <c r="Q22" s="3"/>
      <c r="R22" s="3"/>
      <c r="S22" s="3"/>
      <c r="T22" s="3"/>
      <c r="U22" s="3"/>
      <c r="V22" s="3"/>
      <c r="W22" s="3"/>
      <c r="X22" s="3"/>
      <c r="Y22" s="3"/>
      <c r="Z22" s="3"/>
      <c r="AA22" s="3"/>
      <c r="AB22" s="3"/>
      <c r="AC22" s="3"/>
      <c r="AD22" s="3"/>
      <c r="AE22" s="3"/>
    </row>
    <row r="23" spans="1:31" ht="15.75" customHeight="1" x14ac:dyDescent="0.35">
      <c r="A23" s="3"/>
      <c r="B23" s="5" t="s">
        <v>1603</v>
      </c>
      <c r="C23" s="5" t="s">
        <v>131</v>
      </c>
      <c r="D23" s="3"/>
      <c r="E23" s="3"/>
      <c r="F23" s="3"/>
      <c r="G23" s="3"/>
      <c r="H23" s="3"/>
      <c r="I23" s="3"/>
      <c r="J23" s="3"/>
      <c r="K23" s="3"/>
      <c r="L23" s="3"/>
      <c r="M23" s="3" t="s">
        <v>1753</v>
      </c>
      <c r="N23" s="3"/>
      <c r="O23" s="3"/>
      <c r="P23" s="3"/>
      <c r="Q23" s="3"/>
      <c r="R23" s="3"/>
      <c r="S23" s="3"/>
      <c r="T23" s="3"/>
      <c r="U23" s="3"/>
      <c r="V23" s="3"/>
      <c r="W23" s="3"/>
      <c r="X23" s="3"/>
      <c r="Y23" s="3"/>
      <c r="Z23" s="3"/>
      <c r="AA23" s="3"/>
      <c r="AB23" s="3"/>
      <c r="AC23" s="3"/>
      <c r="AD23" s="3"/>
      <c r="AE23" s="3"/>
    </row>
    <row r="24" spans="1:31" ht="15.75" customHeight="1" x14ac:dyDescent="0.35">
      <c r="A24" s="3"/>
      <c r="B24" s="5" t="s">
        <v>1604</v>
      </c>
      <c r="C24" s="5" t="s">
        <v>131</v>
      </c>
      <c r="D24" s="3"/>
      <c r="E24" s="3"/>
      <c r="F24" s="3"/>
      <c r="G24" s="3"/>
      <c r="H24" s="3"/>
      <c r="I24" s="3"/>
      <c r="J24" s="3"/>
      <c r="K24" s="3"/>
      <c r="L24" s="3"/>
      <c r="M24" s="3" t="s">
        <v>1753</v>
      </c>
      <c r="N24" s="3"/>
      <c r="O24" s="3"/>
      <c r="P24" s="3"/>
      <c r="Q24" s="3"/>
      <c r="R24" s="3"/>
      <c r="S24" s="3"/>
      <c r="T24" s="3"/>
      <c r="U24" s="3"/>
      <c r="V24" s="3"/>
      <c r="W24" s="3"/>
      <c r="X24" s="3"/>
      <c r="Y24" s="3"/>
      <c r="Z24" s="3"/>
      <c r="AA24" s="3"/>
      <c r="AB24" s="3"/>
      <c r="AC24" s="3"/>
      <c r="AD24" s="3"/>
      <c r="AE24" s="3"/>
    </row>
    <row r="25" spans="1:31" ht="15.75" customHeight="1" x14ac:dyDescent="0.35">
      <c r="A25" s="3"/>
      <c r="B25" s="5" t="s">
        <v>1605</v>
      </c>
      <c r="C25" s="5" t="s">
        <v>131</v>
      </c>
      <c r="D25" s="3"/>
      <c r="E25" s="3"/>
      <c r="F25" s="3"/>
      <c r="G25" s="3"/>
      <c r="H25" s="3"/>
      <c r="I25" s="3"/>
      <c r="J25" s="3"/>
      <c r="K25" s="3"/>
      <c r="L25" s="3"/>
      <c r="M25" s="3" t="s">
        <v>1753</v>
      </c>
      <c r="N25" s="3"/>
      <c r="O25" s="3"/>
      <c r="P25" s="3"/>
      <c r="Q25" s="3"/>
      <c r="R25" s="3"/>
      <c r="S25" s="3"/>
      <c r="T25" s="3"/>
      <c r="U25" s="3"/>
      <c r="V25" s="3"/>
      <c r="W25" s="3"/>
      <c r="X25" s="3"/>
      <c r="Y25" s="3"/>
      <c r="Z25" s="3"/>
      <c r="AA25" s="3"/>
      <c r="AB25" s="3"/>
      <c r="AC25" s="3"/>
      <c r="AD25" s="3"/>
      <c r="AE25" s="3"/>
    </row>
    <row r="26" spans="1:31" ht="15.75" customHeight="1" x14ac:dyDescent="0.35">
      <c r="A26" s="3"/>
      <c r="B26" s="5" t="s">
        <v>1606</v>
      </c>
      <c r="C26" s="5" t="s">
        <v>131</v>
      </c>
      <c r="D26" s="3"/>
      <c r="E26" s="3"/>
      <c r="F26" s="3"/>
      <c r="G26" s="3"/>
      <c r="H26" s="3"/>
      <c r="I26" s="3"/>
      <c r="J26" s="3"/>
      <c r="K26" s="3"/>
      <c r="L26" s="3"/>
      <c r="M26" s="3" t="s">
        <v>1753</v>
      </c>
      <c r="N26" s="3"/>
      <c r="O26" s="3"/>
      <c r="P26" s="3"/>
      <c r="Q26" s="3"/>
      <c r="R26" s="3"/>
      <c r="S26" s="3"/>
      <c r="T26" s="3"/>
      <c r="U26" s="3"/>
      <c r="V26" s="3"/>
      <c r="W26" s="3"/>
      <c r="X26" s="3"/>
      <c r="Y26" s="3"/>
      <c r="Z26" s="3"/>
      <c r="AA26" s="3"/>
      <c r="AB26" s="3"/>
      <c r="AC26" s="3"/>
      <c r="AD26" s="3"/>
      <c r="AE26" s="3"/>
    </row>
    <row r="27" spans="1:31" ht="15.75" customHeight="1" x14ac:dyDescent="0.35">
      <c r="A27" s="3"/>
      <c r="B27" s="5" t="s">
        <v>1607</v>
      </c>
      <c r="C27" s="5" t="s">
        <v>131</v>
      </c>
      <c r="D27" s="3"/>
      <c r="E27" s="3"/>
      <c r="F27" s="3"/>
      <c r="G27" s="3"/>
      <c r="H27" s="3"/>
      <c r="I27" s="3"/>
      <c r="J27" s="3"/>
      <c r="K27" s="3"/>
      <c r="L27" s="3"/>
      <c r="M27" s="3" t="s">
        <v>1753</v>
      </c>
      <c r="N27" s="3"/>
      <c r="O27" s="3"/>
      <c r="P27" s="3"/>
      <c r="Q27" s="3"/>
      <c r="R27" s="3"/>
      <c r="S27" s="3"/>
      <c r="T27" s="3"/>
      <c r="U27" s="3"/>
      <c r="V27" s="3"/>
      <c r="W27" s="3"/>
      <c r="X27" s="3"/>
      <c r="Y27" s="3"/>
      <c r="Z27" s="3"/>
      <c r="AA27" s="3"/>
      <c r="AB27" s="3"/>
      <c r="AC27" s="3"/>
      <c r="AD27" s="3"/>
      <c r="AE27" s="3"/>
    </row>
    <row r="28" spans="1:31" ht="15.75" customHeight="1" x14ac:dyDescent="0.35">
      <c r="A28" s="3"/>
      <c r="B28" s="5" t="s">
        <v>1608</v>
      </c>
      <c r="C28" s="5" t="s">
        <v>131</v>
      </c>
      <c r="D28" s="3"/>
      <c r="E28" s="3"/>
      <c r="F28" s="3"/>
      <c r="G28" s="3"/>
      <c r="H28" s="3"/>
      <c r="I28" s="3"/>
      <c r="J28" s="3"/>
      <c r="K28" s="3"/>
      <c r="L28" s="3"/>
      <c r="M28" s="3" t="s">
        <v>1753</v>
      </c>
      <c r="N28" s="3"/>
      <c r="O28" s="3"/>
      <c r="P28" s="3"/>
      <c r="Q28" s="3"/>
      <c r="R28" s="3"/>
      <c r="S28" s="3"/>
      <c r="T28" s="3"/>
      <c r="U28" s="3"/>
      <c r="V28" s="3"/>
      <c r="W28" s="3"/>
      <c r="X28" s="3"/>
      <c r="Y28" s="3"/>
      <c r="Z28" s="3"/>
      <c r="AA28" s="3"/>
      <c r="AB28" s="3"/>
      <c r="AC28" s="3"/>
      <c r="AD28" s="3"/>
      <c r="AE28" s="3"/>
    </row>
    <row r="29" spans="1:31" ht="15.75" customHeight="1" x14ac:dyDescent="0.35">
      <c r="A29" s="3"/>
      <c r="B29" s="5" t="s">
        <v>1609</v>
      </c>
      <c r="C29" s="5" t="s">
        <v>131</v>
      </c>
      <c r="D29" s="3"/>
      <c r="E29" s="3"/>
      <c r="F29" s="3"/>
      <c r="G29" s="3"/>
      <c r="H29" s="3"/>
      <c r="I29" s="3"/>
      <c r="J29" s="3"/>
      <c r="K29" s="3"/>
      <c r="L29" s="3"/>
      <c r="M29" s="3" t="s">
        <v>1753</v>
      </c>
      <c r="N29" s="3"/>
      <c r="O29" s="3"/>
      <c r="P29" s="3"/>
      <c r="Q29" s="3"/>
      <c r="R29" s="3"/>
      <c r="S29" s="3"/>
      <c r="T29" s="3"/>
      <c r="U29" s="3"/>
      <c r="V29" s="3"/>
      <c r="W29" s="3"/>
      <c r="X29" s="3"/>
      <c r="Y29" s="3"/>
      <c r="Z29" s="3"/>
      <c r="AA29" s="3"/>
      <c r="AB29" s="3"/>
      <c r="AC29" s="3"/>
      <c r="AD29" s="3"/>
      <c r="AE29" s="3"/>
    </row>
    <row r="30" spans="1:31" ht="15.75" customHeight="1" x14ac:dyDescent="0.35">
      <c r="A30" s="3"/>
      <c r="B30" s="3" t="s">
        <v>188</v>
      </c>
      <c r="C30" s="3" t="s">
        <v>1105</v>
      </c>
      <c r="D30" s="3"/>
      <c r="E30" s="3"/>
      <c r="F30" s="3"/>
      <c r="G30" s="3" t="s">
        <v>3349</v>
      </c>
      <c r="H30" s="3" t="s">
        <v>3349</v>
      </c>
      <c r="I30" s="3" t="s">
        <v>3349</v>
      </c>
      <c r="J30" s="3" t="s">
        <v>1748</v>
      </c>
      <c r="K30" s="3" t="s">
        <v>1748</v>
      </c>
      <c r="L30" s="3" t="s">
        <v>1748</v>
      </c>
      <c r="M30" s="3" t="s">
        <v>1753</v>
      </c>
      <c r="N30" s="3"/>
      <c r="O30" s="3"/>
      <c r="P30" s="3"/>
      <c r="Q30" s="3"/>
      <c r="R30" s="3"/>
      <c r="S30" s="3"/>
      <c r="T30" s="3"/>
      <c r="U30" s="3"/>
      <c r="V30" s="3"/>
      <c r="W30" s="3"/>
      <c r="X30" s="3"/>
      <c r="Y30" s="3"/>
      <c r="Z30" s="3"/>
      <c r="AA30" s="3"/>
      <c r="AB30" s="3"/>
      <c r="AC30" s="3"/>
      <c r="AD30" s="3"/>
      <c r="AE30" s="3"/>
    </row>
    <row r="31" spans="1:31"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1:31"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1:31"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spans="1:31"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spans="1:31"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spans="1:31"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spans="1:31"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spans="1:31"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spans="1:31"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spans="1:31"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spans="1:31"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00"/>
  <sheetViews>
    <sheetView workbookViewId="0">
      <pane xSplit="3" topLeftCell="D1" activePane="topRight" state="frozen"/>
      <selection pane="topRight" activeCell="E2" sqref="E2"/>
    </sheetView>
  </sheetViews>
  <sheetFormatPr defaultColWidth="11.25" defaultRowHeight="15" customHeight="1" x14ac:dyDescent="0.35"/>
  <cols>
    <col min="1" max="1" width="31.6640625" customWidth="1"/>
    <col min="2" max="2" width="24.75" customWidth="1"/>
    <col min="3" max="3" width="32.33203125" customWidth="1"/>
    <col min="4" max="4" width="37.08203125" customWidth="1"/>
    <col min="5" max="6" width="10.75" customWidth="1"/>
    <col min="7" max="7" width="42" customWidth="1"/>
    <col min="8" max="8" width="40.58203125" customWidth="1"/>
    <col min="9" max="9" width="37.75" customWidth="1"/>
    <col min="10" max="10" width="51.75" customWidth="1"/>
    <col min="11" max="11" width="55" customWidth="1"/>
    <col min="12" max="12" width="56.58203125" customWidth="1"/>
    <col min="13" max="13" width="10.58203125" customWidth="1"/>
    <col min="14" max="14" width="31.08203125" customWidth="1"/>
    <col min="15" max="19" width="10.58203125" customWidth="1"/>
    <col min="20" max="20" width="33.6640625" customWidth="1"/>
    <col min="21" max="25" width="10.58203125" customWidth="1"/>
    <col min="26" max="26" width="33.9140625" customWidth="1"/>
    <col min="27" max="31" width="10.58203125" customWidth="1"/>
  </cols>
  <sheetData>
    <row r="1" spans="1:31" ht="15.75" customHeight="1" x14ac:dyDescent="0.35">
      <c r="A1" s="9" t="s">
        <v>0</v>
      </c>
      <c r="B1" s="9" t="s">
        <v>1</v>
      </c>
      <c r="C1" s="9" t="s">
        <v>2</v>
      </c>
      <c r="D1" s="9" t="s">
        <v>3</v>
      </c>
      <c r="E1" s="9" t="s">
        <v>4</v>
      </c>
      <c r="F1" s="3"/>
      <c r="G1" s="4" t="s">
        <v>1750</v>
      </c>
      <c r="I1" s="3"/>
      <c r="J1" s="3" t="s">
        <v>1751</v>
      </c>
      <c r="K1" s="3"/>
      <c r="L1" s="3"/>
      <c r="M1" s="3" t="s">
        <v>1752</v>
      </c>
      <c r="N1" s="3"/>
      <c r="O1" s="3"/>
      <c r="P1" s="3"/>
      <c r="Q1" s="3"/>
      <c r="R1" s="3"/>
      <c r="S1" s="3"/>
      <c r="T1" s="3"/>
      <c r="U1" s="3"/>
      <c r="V1" s="3"/>
      <c r="W1" s="3"/>
      <c r="X1" s="3"/>
      <c r="Y1" s="3"/>
      <c r="Z1" s="3"/>
      <c r="AA1" s="3"/>
      <c r="AB1" s="3"/>
      <c r="AC1" s="3"/>
      <c r="AD1" s="3"/>
      <c r="AE1" s="3"/>
    </row>
    <row r="2" spans="1:31" ht="15.75" customHeight="1" x14ac:dyDescent="0.35">
      <c r="A2" s="12" t="s">
        <v>3350</v>
      </c>
      <c r="B2" s="12" t="s">
        <v>3351</v>
      </c>
      <c r="C2" s="5"/>
      <c r="D2" s="5" t="s">
        <v>3352</v>
      </c>
      <c r="E2" s="5"/>
      <c r="F2" s="3"/>
      <c r="G2" s="3"/>
      <c r="H2" s="3"/>
      <c r="I2" s="3"/>
      <c r="J2" s="3"/>
      <c r="K2" s="3"/>
      <c r="L2" s="3"/>
      <c r="M2" s="3" t="s">
        <v>1753</v>
      </c>
      <c r="N2" s="3"/>
      <c r="O2" s="3"/>
      <c r="P2" s="3"/>
      <c r="Q2" s="3"/>
      <c r="R2" s="3"/>
      <c r="S2" s="3"/>
      <c r="T2" s="3"/>
      <c r="U2" s="3"/>
      <c r="V2" s="3"/>
      <c r="W2" s="3"/>
      <c r="X2" s="3"/>
      <c r="Y2" s="3"/>
      <c r="Z2" s="3"/>
      <c r="AA2" s="3"/>
      <c r="AB2" s="3"/>
      <c r="AC2" s="3"/>
      <c r="AD2" s="3"/>
      <c r="AE2" s="3"/>
    </row>
    <row r="3" spans="1:31" ht="15.75" customHeight="1" x14ac:dyDescent="0.35">
      <c r="A3" s="7"/>
      <c r="B3" s="12" t="s">
        <v>3353</v>
      </c>
      <c r="C3" s="5" t="s">
        <v>131</v>
      </c>
      <c r="D3" s="5"/>
      <c r="E3" s="5"/>
      <c r="F3" s="3"/>
      <c r="G3" s="3"/>
      <c r="H3" s="3"/>
      <c r="I3" s="3"/>
      <c r="J3" s="3"/>
      <c r="K3" s="3"/>
      <c r="L3" s="3"/>
      <c r="M3" s="3" t="s">
        <v>1753</v>
      </c>
      <c r="N3" s="3"/>
      <c r="O3" s="3"/>
      <c r="P3" s="3"/>
      <c r="Q3" s="3"/>
      <c r="R3" s="3"/>
      <c r="S3" s="3"/>
      <c r="T3" s="3"/>
      <c r="U3" s="3"/>
      <c r="V3" s="3"/>
      <c r="W3" s="3"/>
      <c r="X3" s="3"/>
      <c r="Y3" s="3"/>
      <c r="Z3" s="3"/>
      <c r="AA3" s="3"/>
      <c r="AB3" s="3"/>
      <c r="AC3" s="3"/>
      <c r="AD3" s="3"/>
      <c r="AE3" s="3"/>
    </row>
    <row r="4" spans="1:31" ht="15.75" customHeight="1" x14ac:dyDescent="0.35">
      <c r="A4" s="12" t="s">
        <v>3354</v>
      </c>
      <c r="B4" s="12" t="s">
        <v>3355</v>
      </c>
      <c r="C4" s="5"/>
      <c r="D4" s="5" t="s">
        <v>3352</v>
      </c>
      <c r="E4" s="5"/>
      <c r="F4" s="3"/>
      <c r="G4" s="3"/>
      <c r="H4" s="3"/>
      <c r="I4" s="3"/>
      <c r="J4" s="3"/>
      <c r="K4" s="3"/>
      <c r="L4" s="3"/>
      <c r="M4" s="3" t="s">
        <v>1753</v>
      </c>
      <c r="N4" s="3"/>
      <c r="O4" s="3"/>
      <c r="P4" s="3"/>
      <c r="Q4" s="3"/>
      <c r="R4" s="3"/>
      <c r="S4" s="3"/>
      <c r="T4" s="3"/>
      <c r="U4" s="3"/>
      <c r="V4" s="3"/>
      <c r="W4" s="3"/>
      <c r="X4" s="3"/>
      <c r="Y4" s="3"/>
      <c r="Z4" s="3"/>
      <c r="AA4" s="3"/>
      <c r="AB4" s="3"/>
      <c r="AC4" s="3"/>
      <c r="AD4" s="3"/>
      <c r="AE4" s="3"/>
    </row>
    <row r="5" spans="1:31" ht="15.75" customHeight="1" x14ac:dyDescent="0.35">
      <c r="A5" s="7"/>
      <c r="B5" s="12" t="s">
        <v>3353</v>
      </c>
      <c r="C5" s="5" t="s">
        <v>131</v>
      </c>
      <c r="D5" s="5"/>
      <c r="E5" s="5"/>
      <c r="F5" s="3"/>
      <c r="G5" s="3"/>
      <c r="H5" s="3"/>
      <c r="I5" s="3"/>
      <c r="J5" s="3"/>
      <c r="K5" s="3"/>
      <c r="L5" s="3"/>
      <c r="M5" s="3" t="s">
        <v>1753</v>
      </c>
      <c r="N5" s="3"/>
      <c r="O5" s="3"/>
      <c r="P5" s="3"/>
      <c r="Q5" s="3"/>
      <c r="R5" s="3"/>
      <c r="S5" s="3"/>
      <c r="T5" s="3"/>
      <c r="U5" s="3"/>
      <c r="V5" s="3"/>
      <c r="W5" s="3"/>
      <c r="X5" s="3"/>
      <c r="Y5" s="3"/>
      <c r="Z5" s="3"/>
      <c r="AA5" s="3"/>
      <c r="AB5" s="3"/>
      <c r="AC5" s="3"/>
      <c r="AD5" s="3"/>
      <c r="AE5" s="3"/>
    </row>
    <row r="6" spans="1:31" ht="15.75" customHeight="1" x14ac:dyDescent="0.35">
      <c r="A6" s="7"/>
      <c r="B6" s="12" t="s">
        <v>3356</v>
      </c>
      <c r="C6" s="5" t="s">
        <v>1105</v>
      </c>
      <c r="D6" s="5"/>
      <c r="E6" s="5"/>
      <c r="F6" s="3"/>
      <c r="G6" s="3"/>
      <c r="H6" s="3"/>
      <c r="I6" s="3"/>
      <c r="J6" s="3"/>
      <c r="K6" s="3"/>
      <c r="L6" s="3"/>
      <c r="M6" s="3" t="s">
        <v>1753</v>
      </c>
      <c r="N6" s="3"/>
      <c r="O6" s="3"/>
      <c r="P6" s="3"/>
      <c r="Q6" s="3"/>
      <c r="R6" s="3"/>
      <c r="S6" s="3"/>
      <c r="T6" s="3"/>
      <c r="U6" s="3"/>
      <c r="V6" s="3"/>
      <c r="W6" s="3"/>
      <c r="X6" s="3"/>
      <c r="Y6" s="3"/>
      <c r="Z6" s="3"/>
      <c r="AA6" s="3"/>
      <c r="AB6" s="3"/>
      <c r="AC6" s="3"/>
      <c r="AD6" s="3"/>
      <c r="AE6" s="3"/>
    </row>
    <row r="7" spans="1:31" ht="15.75" customHeight="1" x14ac:dyDescent="0.35">
      <c r="A7" s="12" t="s">
        <v>3357</v>
      </c>
      <c r="B7" s="12" t="s">
        <v>3358</v>
      </c>
      <c r="C7" s="5"/>
      <c r="D7" s="5" t="s">
        <v>3352</v>
      </c>
      <c r="E7" s="5"/>
      <c r="F7" s="3"/>
      <c r="G7" s="3"/>
      <c r="H7" s="3"/>
      <c r="I7" s="3"/>
      <c r="J7" s="3"/>
      <c r="K7" s="3"/>
      <c r="L7" s="3"/>
      <c r="M7" s="3" t="s">
        <v>1753</v>
      </c>
      <c r="N7" s="3"/>
      <c r="O7" s="3"/>
      <c r="P7" s="3"/>
      <c r="Q7" s="3"/>
      <c r="R7" s="3"/>
      <c r="S7" s="3"/>
      <c r="T7" s="3"/>
      <c r="U7" s="3"/>
      <c r="V7" s="3"/>
      <c r="W7" s="3"/>
      <c r="X7" s="3"/>
      <c r="Y7" s="3"/>
      <c r="Z7" s="3"/>
      <c r="AA7" s="3"/>
      <c r="AB7" s="3"/>
      <c r="AC7" s="3"/>
      <c r="AD7" s="3"/>
      <c r="AE7" s="3"/>
    </row>
    <row r="8" spans="1:31" ht="15.75" customHeight="1" x14ac:dyDescent="0.35">
      <c r="A8" s="12" t="s">
        <v>3359</v>
      </c>
      <c r="B8" s="12" t="s">
        <v>3360</v>
      </c>
      <c r="C8" s="5"/>
      <c r="D8" s="5" t="s">
        <v>3352</v>
      </c>
      <c r="E8" s="5"/>
      <c r="F8" s="3"/>
      <c r="G8" s="3"/>
      <c r="H8" s="3"/>
      <c r="I8" s="3"/>
      <c r="J8" s="3"/>
      <c r="K8" s="3"/>
      <c r="L8" s="3"/>
      <c r="M8" s="3" t="s">
        <v>1753</v>
      </c>
      <c r="N8" s="3"/>
      <c r="O8" s="3"/>
      <c r="P8" s="3"/>
      <c r="Q8" s="3"/>
      <c r="R8" s="3"/>
      <c r="S8" s="3"/>
      <c r="T8" s="3"/>
      <c r="U8" s="3"/>
      <c r="V8" s="3"/>
      <c r="W8" s="3"/>
      <c r="X8" s="3"/>
      <c r="Y8" s="3"/>
      <c r="Z8" s="3"/>
      <c r="AA8" s="3"/>
      <c r="AB8" s="3"/>
      <c r="AC8" s="3"/>
      <c r="AD8" s="3"/>
      <c r="AE8" s="3"/>
    </row>
    <row r="9" spans="1:31" ht="15.75" customHeight="1" x14ac:dyDescent="0.35">
      <c r="A9" s="7"/>
      <c r="B9" s="12" t="s">
        <v>3353</v>
      </c>
      <c r="C9" s="5" t="s">
        <v>131</v>
      </c>
      <c r="D9" s="5"/>
      <c r="E9" s="5"/>
      <c r="F9" s="3"/>
      <c r="G9" s="3"/>
      <c r="H9" s="3"/>
      <c r="I9" s="3"/>
      <c r="J9" s="3"/>
      <c r="K9" s="3"/>
      <c r="L9" s="3"/>
      <c r="M9" s="3" t="s">
        <v>1753</v>
      </c>
      <c r="N9" s="3"/>
      <c r="O9" s="3"/>
      <c r="P9" s="3"/>
      <c r="Q9" s="3"/>
      <c r="R9" s="3"/>
      <c r="S9" s="3"/>
      <c r="T9" s="3"/>
      <c r="U9" s="3"/>
      <c r="V9" s="3"/>
      <c r="W9" s="3"/>
      <c r="X9" s="3"/>
      <c r="Y9" s="3"/>
      <c r="Z9" s="3"/>
      <c r="AA9" s="3"/>
      <c r="AB9" s="3"/>
      <c r="AC9" s="3"/>
      <c r="AD9" s="3"/>
      <c r="AE9" s="3"/>
    </row>
    <row r="10" spans="1:31" ht="15.75" customHeight="1" x14ac:dyDescent="0.35">
      <c r="A10" s="12" t="s">
        <v>3361</v>
      </c>
      <c r="B10" s="12" t="s">
        <v>3362</v>
      </c>
      <c r="C10" s="5"/>
      <c r="D10" s="5" t="s">
        <v>3352</v>
      </c>
      <c r="E10" s="5"/>
      <c r="F10" s="3"/>
      <c r="G10" s="3"/>
      <c r="H10" s="3"/>
      <c r="I10" s="3"/>
      <c r="J10" s="3"/>
      <c r="K10" s="3"/>
      <c r="L10" s="3"/>
      <c r="M10" s="3" t="s">
        <v>1753</v>
      </c>
      <c r="N10" s="3"/>
      <c r="O10" s="3"/>
      <c r="P10" s="3"/>
      <c r="Q10" s="3"/>
      <c r="R10" s="3"/>
      <c r="S10" s="3"/>
      <c r="T10" s="3"/>
      <c r="U10" s="3"/>
      <c r="V10" s="3"/>
      <c r="W10" s="3"/>
      <c r="X10" s="3"/>
      <c r="Y10" s="3"/>
      <c r="Z10" s="3"/>
      <c r="AA10" s="3"/>
      <c r="AB10" s="3"/>
      <c r="AC10" s="3"/>
      <c r="AD10" s="3"/>
      <c r="AE10" s="3"/>
    </row>
    <row r="11" spans="1:31" ht="15.75" customHeight="1" x14ac:dyDescent="0.35">
      <c r="A11" s="7"/>
      <c r="B11" s="12" t="s">
        <v>3353</v>
      </c>
      <c r="C11" s="5" t="s">
        <v>131</v>
      </c>
      <c r="D11" s="5"/>
      <c r="E11" s="5"/>
      <c r="F11" s="3"/>
      <c r="G11" s="3"/>
      <c r="H11" s="3"/>
      <c r="I11" s="3"/>
      <c r="J11" s="3"/>
      <c r="K11" s="3"/>
      <c r="L11" s="3"/>
      <c r="M11" s="3" t="s">
        <v>1753</v>
      </c>
      <c r="N11" s="3"/>
      <c r="O11" s="3"/>
      <c r="P11" s="3"/>
      <c r="Q11" s="3"/>
      <c r="R11" s="3"/>
      <c r="S11" s="3"/>
      <c r="T11" s="3"/>
      <c r="U11" s="3"/>
      <c r="V11" s="3"/>
      <c r="W11" s="3"/>
      <c r="X11" s="3"/>
      <c r="Y11" s="3"/>
      <c r="Z11" s="3"/>
      <c r="AA11" s="3"/>
      <c r="AB11" s="3"/>
      <c r="AC11" s="3"/>
      <c r="AD11" s="3"/>
      <c r="AE11" s="3"/>
    </row>
    <row r="12" spans="1:31" ht="15.75" customHeight="1" x14ac:dyDescent="0.35">
      <c r="A12" s="12" t="s">
        <v>3363</v>
      </c>
      <c r="B12" s="12" t="s">
        <v>3364</v>
      </c>
      <c r="C12" s="5"/>
      <c r="D12" s="5" t="s">
        <v>3352</v>
      </c>
      <c r="E12" s="5"/>
      <c r="F12" s="3"/>
      <c r="G12" s="3"/>
      <c r="H12" s="3"/>
      <c r="I12" s="3"/>
      <c r="J12" s="3"/>
      <c r="K12" s="3"/>
      <c r="L12" s="3"/>
      <c r="M12" s="3" t="s">
        <v>1753</v>
      </c>
      <c r="N12" s="3"/>
      <c r="O12" s="3"/>
      <c r="P12" s="3"/>
      <c r="Q12" s="3"/>
      <c r="R12" s="3"/>
      <c r="S12" s="3"/>
      <c r="T12" s="3"/>
      <c r="U12" s="3"/>
      <c r="V12" s="3"/>
      <c r="W12" s="3"/>
      <c r="X12" s="3"/>
      <c r="Y12" s="3"/>
      <c r="Z12" s="3"/>
      <c r="AA12" s="3"/>
      <c r="AB12" s="3"/>
      <c r="AC12" s="3"/>
      <c r="AD12" s="3"/>
      <c r="AE12" s="3"/>
    </row>
    <row r="13" spans="1:31" ht="15.75" customHeight="1" x14ac:dyDescent="0.35">
      <c r="A13" s="7"/>
      <c r="B13" s="12" t="s">
        <v>3353</v>
      </c>
      <c r="C13" s="5" t="s">
        <v>131</v>
      </c>
      <c r="D13" s="5"/>
      <c r="E13" s="5"/>
      <c r="F13" s="3"/>
      <c r="G13" s="3"/>
      <c r="H13" s="3"/>
      <c r="I13" s="3"/>
      <c r="J13" s="3"/>
      <c r="K13" s="3"/>
      <c r="L13" s="3"/>
      <c r="M13" s="3" t="s">
        <v>1753</v>
      </c>
      <c r="N13" s="3"/>
      <c r="O13" s="3"/>
      <c r="P13" s="3"/>
      <c r="Q13" s="3"/>
      <c r="R13" s="3"/>
      <c r="S13" s="3"/>
      <c r="T13" s="3"/>
      <c r="U13" s="3"/>
      <c r="V13" s="3"/>
      <c r="W13" s="3"/>
      <c r="X13" s="3"/>
      <c r="Y13" s="3"/>
      <c r="Z13" s="3"/>
      <c r="AA13" s="3"/>
      <c r="AB13" s="3"/>
      <c r="AC13" s="3"/>
      <c r="AD13" s="3"/>
      <c r="AE13" s="3"/>
    </row>
    <row r="14" spans="1:31" ht="15.75" customHeight="1" x14ac:dyDescent="0.35">
      <c r="A14" s="12" t="s">
        <v>3365</v>
      </c>
      <c r="B14" s="12" t="s">
        <v>3366</v>
      </c>
      <c r="C14" s="5"/>
      <c r="D14" s="5" t="s">
        <v>3367</v>
      </c>
      <c r="E14" s="5" t="s">
        <v>3368</v>
      </c>
      <c r="F14" s="3"/>
      <c r="G14" s="3"/>
      <c r="H14" s="3"/>
      <c r="I14" s="3"/>
      <c r="J14" s="3"/>
      <c r="K14" s="3"/>
      <c r="L14" s="3"/>
      <c r="M14" s="3" t="s">
        <v>1753</v>
      </c>
      <c r="N14" s="3"/>
      <c r="O14" s="3"/>
      <c r="P14" s="3"/>
      <c r="Q14" s="3"/>
      <c r="R14" s="3"/>
      <c r="S14" s="3"/>
      <c r="T14" s="3"/>
      <c r="U14" s="3"/>
      <c r="V14" s="3"/>
      <c r="W14" s="3"/>
      <c r="X14" s="3"/>
      <c r="Y14" s="3"/>
      <c r="Z14" s="3"/>
      <c r="AA14" s="3"/>
      <c r="AB14" s="3"/>
      <c r="AC14" s="3"/>
      <c r="AD14" s="3"/>
      <c r="AE14" s="3"/>
    </row>
    <row r="15" spans="1:31" ht="15.75" customHeight="1" x14ac:dyDescent="0.35">
      <c r="A15" s="12" t="s">
        <v>3369</v>
      </c>
      <c r="B15" s="12" t="s">
        <v>3370</v>
      </c>
      <c r="C15" s="5"/>
      <c r="D15" s="5" t="s">
        <v>3367</v>
      </c>
      <c r="E15" s="5" t="s">
        <v>3368</v>
      </c>
      <c r="F15" s="3"/>
      <c r="G15" s="3"/>
      <c r="H15" s="3"/>
      <c r="I15" s="3"/>
      <c r="J15" s="3"/>
      <c r="K15" s="3"/>
      <c r="L15" s="3"/>
      <c r="M15" s="3" t="s">
        <v>1753</v>
      </c>
      <c r="N15" s="3"/>
      <c r="O15" s="3"/>
      <c r="P15" s="3"/>
      <c r="Q15" s="3"/>
      <c r="R15" s="3"/>
      <c r="S15" s="3"/>
      <c r="T15" s="3"/>
      <c r="U15" s="3"/>
      <c r="V15" s="3"/>
      <c r="W15" s="3"/>
      <c r="X15" s="3"/>
      <c r="Y15" s="3"/>
      <c r="Z15" s="3"/>
      <c r="AA15" s="3"/>
      <c r="AB15" s="3"/>
      <c r="AC15" s="3"/>
      <c r="AD15" s="3"/>
      <c r="AE15" s="3"/>
    </row>
    <row r="16" spans="1:31" ht="15.75" customHeight="1" x14ac:dyDescent="0.35">
      <c r="A16" s="12" t="s">
        <v>3371</v>
      </c>
      <c r="B16" s="12" t="s">
        <v>3372</v>
      </c>
      <c r="C16" s="5"/>
      <c r="D16" s="5" t="s">
        <v>3367</v>
      </c>
      <c r="E16" s="5" t="s">
        <v>3368</v>
      </c>
      <c r="F16" s="3"/>
      <c r="G16" s="3"/>
      <c r="H16" s="3"/>
      <c r="I16" s="3"/>
      <c r="J16" s="3"/>
      <c r="K16" s="3"/>
      <c r="L16" s="3"/>
      <c r="M16" s="3" t="s">
        <v>1753</v>
      </c>
      <c r="N16" s="3"/>
      <c r="O16" s="3"/>
      <c r="P16" s="3"/>
      <c r="Q16" s="3"/>
      <c r="R16" s="3"/>
      <c r="S16" s="3"/>
      <c r="T16" s="3"/>
      <c r="U16" s="3"/>
      <c r="V16" s="3"/>
      <c r="W16" s="3"/>
      <c r="X16" s="3"/>
      <c r="Y16" s="3"/>
      <c r="Z16" s="3"/>
      <c r="AA16" s="3"/>
      <c r="AB16" s="3"/>
      <c r="AC16" s="3"/>
      <c r="AD16" s="3"/>
      <c r="AE16" s="3"/>
    </row>
    <row r="17" spans="1:31" ht="15.75" customHeight="1" x14ac:dyDescent="0.35">
      <c r="A17" s="12" t="s">
        <v>3373</v>
      </c>
      <c r="B17" s="12" t="s">
        <v>3374</v>
      </c>
      <c r="C17" s="5"/>
      <c r="D17" s="5" t="s">
        <v>3367</v>
      </c>
      <c r="E17" s="5" t="s">
        <v>3368</v>
      </c>
      <c r="F17" s="3"/>
      <c r="G17" s="3"/>
      <c r="H17" s="3"/>
      <c r="I17" s="3"/>
      <c r="J17" s="3"/>
      <c r="K17" s="3"/>
      <c r="L17" s="3"/>
      <c r="M17" s="3" t="s">
        <v>1753</v>
      </c>
      <c r="N17" s="3"/>
      <c r="O17" s="3"/>
      <c r="P17" s="3"/>
      <c r="Q17" s="3"/>
      <c r="R17" s="3"/>
      <c r="S17" s="3"/>
      <c r="T17" s="3"/>
      <c r="U17" s="3"/>
      <c r="V17" s="3"/>
      <c r="W17" s="3"/>
      <c r="X17" s="3"/>
      <c r="Y17" s="3"/>
      <c r="Z17" s="3"/>
      <c r="AA17" s="3"/>
      <c r="AB17" s="3"/>
      <c r="AC17" s="3"/>
      <c r="AD17" s="3"/>
      <c r="AE17" s="3"/>
    </row>
    <row r="18" spans="1:31" ht="15.75" customHeight="1" x14ac:dyDescent="0.35">
      <c r="A18" s="7" t="s">
        <v>1610</v>
      </c>
      <c r="B18" s="7" t="s">
        <v>1611</v>
      </c>
      <c r="C18" s="3" t="s">
        <v>1612</v>
      </c>
      <c r="D18" s="3"/>
      <c r="E18" s="3"/>
      <c r="F18" s="3"/>
      <c r="G18" s="3" t="s">
        <v>3375</v>
      </c>
      <c r="H18" s="3" t="s">
        <v>3375</v>
      </c>
      <c r="I18" s="3" t="s">
        <v>3375</v>
      </c>
      <c r="J18" s="3" t="s">
        <v>1613</v>
      </c>
      <c r="K18" s="3" t="s">
        <v>3376</v>
      </c>
      <c r="L18" s="3" t="s">
        <v>3376</v>
      </c>
      <c r="M18" s="3" t="s">
        <v>1753</v>
      </c>
      <c r="N18" s="3"/>
      <c r="O18" s="3"/>
      <c r="P18" s="3"/>
      <c r="Q18" s="3"/>
      <c r="R18" s="3"/>
      <c r="S18" s="3"/>
      <c r="T18" s="3"/>
      <c r="U18" s="3"/>
      <c r="V18" s="3"/>
      <c r="W18" s="3"/>
      <c r="X18" s="3"/>
      <c r="Y18" s="3"/>
      <c r="Z18" s="3"/>
      <c r="AA18" s="3"/>
      <c r="AB18" s="3"/>
      <c r="AC18" s="3"/>
      <c r="AD18" s="3"/>
      <c r="AE18" s="3"/>
    </row>
    <row r="19" spans="1:31" ht="15.75" customHeight="1" x14ac:dyDescent="0.35">
      <c r="A19" s="3"/>
      <c r="B19" s="7"/>
      <c r="C19" s="3" t="s">
        <v>1615</v>
      </c>
      <c r="D19" s="3"/>
      <c r="E19" s="3"/>
      <c r="F19" s="3"/>
      <c r="G19" s="3" t="s">
        <v>3377</v>
      </c>
      <c r="H19" s="3" t="s">
        <v>3377</v>
      </c>
      <c r="I19" s="3" t="s">
        <v>3377</v>
      </c>
      <c r="J19" s="3" t="s">
        <v>1616</v>
      </c>
      <c r="K19" s="3" t="s">
        <v>1616</v>
      </c>
      <c r="L19" s="3" t="s">
        <v>1616</v>
      </c>
      <c r="M19" s="3" t="s">
        <v>1753</v>
      </c>
      <c r="N19" s="3"/>
      <c r="O19" s="3"/>
      <c r="P19" s="3"/>
      <c r="Q19" s="3"/>
      <c r="R19" s="3"/>
      <c r="S19" s="3"/>
      <c r="T19" s="3"/>
      <c r="U19" s="3"/>
      <c r="V19" s="3"/>
      <c r="W19" s="3"/>
      <c r="X19" s="3"/>
      <c r="Y19" s="3"/>
      <c r="Z19" s="3"/>
      <c r="AA19" s="3"/>
      <c r="AB19" s="3"/>
      <c r="AC19" s="3"/>
      <c r="AD19" s="3"/>
      <c r="AE19" s="3"/>
    </row>
    <row r="20" spans="1:31" ht="15.75" customHeight="1" x14ac:dyDescent="0.35">
      <c r="A20" s="3"/>
      <c r="B20" s="7"/>
      <c r="C20" s="3" t="s">
        <v>1618</v>
      </c>
      <c r="D20" s="3"/>
      <c r="E20" s="3"/>
      <c r="F20" s="3"/>
      <c r="G20" s="3" t="s">
        <v>3378</v>
      </c>
      <c r="H20" s="3" t="s">
        <v>3378</v>
      </c>
      <c r="I20" s="3" t="s">
        <v>3378</v>
      </c>
      <c r="J20" s="3" t="s">
        <v>1619</v>
      </c>
      <c r="K20" s="3" t="s">
        <v>1619</v>
      </c>
      <c r="L20" s="3" t="s">
        <v>3379</v>
      </c>
      <c r="M20" s="3" t="s">
        <v>1753</v>
      </c>
      <c r="N20" s="3"/>
      <c r="O20" s="3"/>
      <c r="P20" s="3"/>
      <c r="Q20" s="3"/>
      <c r="R20" s="3"/>
      <c r="S20" s="3"/>
      <c r="T20" s="3"/>
      <c r="U20" s="3"/>
      <c r="V20" s="3"/>
      <c r="W20" s="3"/>
      <c r="X20" s="3"/>
      <c r="Y20" s="3"/>
      <c r="Z20" s="3"/>
      <c r="AA20" s="3"/>
      <c r="AB20" s="3"/>
      <c r="AC20" s="3"/>
      <c r="AD20" s="3"/>
      <c r="AE20" s="3"/>
    </row>
    <row r="21" spans="1:31" ht="15.75" customHeight="1" x14ac:dyDescent="0.35">
      <c r="A21" s="3"/>
      <c r="B21" s="7" t="s">
        <v>1623</v>
      </c>
      <c r="C21" s="3" t="s">
        <v>1624</v>
      </c>
      <c r="D21" s="3"/>
      <c r="E21" s="3"/>
      <c r="F21" s="3"/>
      <c r="G21" s="3" t="s">
        <v>3380</v>
      </c>
      <c r="H21" s="3" t="s">
        <v>3380</v>
      </c>
      <c r="I21" s="3" t="s">
        <v>3380</v>
      </c>
      <c r="J21" s="3" t="s">
        <v>1625</v>
      </c>
      <c r="K21" s="3" t="s">
        <v>3381</v>
      </c>
      <c r="L21" s="3" t="s">
        <v>3381</v>
      </c>
      <c r="M21" s="3" t="s">
        <v>1753</v>
      </c>
      <c r="N21" s="3"/>
      <c r="O21" s="3"/>
      <c r="P21" s="3"/>
      <c r="Q21" s="3"/>
      <c r="R21" s="3"/>
      <c r="S21" s="3"/>
      <c r="T21" s="3"/>
      <c r="U21" s="3"/>
      <c r="V21" s="3"/>
      <c r="W21" s="3"/>
      <c r="X21" s="3"/>
      <c r="Y21" s="3"/>
      <c r="Z21" s="3"/>
      <c r="AA21" s="3"/>
      <c r="AB21" s="3"/>
      <c r="AC21" s="3"/>
      <c r="AD21" s="3"/>
      <c r="AE21" s="3"/>
    </row>
    <row r="22" spans="1:31" ht="15.75" customHeight="1" x14ac:dyDescent="0.35">
      <c r="A22" s="5" t="s">
        <v>3382</v>
      </c>
      <c r="B22" s="12" t="s">
        <v>1611</v>
      </c>
      <c r="C22" s="5" t="s">
        <v>1612</v>
      </c>
      <c r="D22" s="3"/>
      <c r="E22" s="3"/>
      <c r="F22" s="3"/>
      <c r="G22" s="3"/>
      <c r="H22" s="3"/>
      <c r="I22" s="3"/>
      <c r="J22" s="3"/>
      <c r="K22" s="3"/>
      <c r="L22" s="3"/>
      <c r="M22" s="3" t="s">
        <v>1753</v>
      </c>
      <c r="N22" s="3"/>
      <c r="O22" s="3"/>
      <c r="P22" s="3"/>
      <c r="Q22" s="3"/>
      <c r="R22" s="3"/>
      <c r="S22" s="3"/>
      <c r="T22" s="3"/>
      <c r="U22" s="3"/>
      <c r="V22" s="3"/>
      <c r="W22" s="3"/>
      <c r="X22" s="3"/>
      <c r="Y22" s="3"/>
      <c r="Z22" s="3"/>
      <c r="AA22" s="3"/>
      <c r="AB22" s="3"/>
      <c r="AC22" s="3"/>
      <c r="AD22" s="3"/>
      <c r="AE22" s="3"/>
    </row>
    <row r="23" spans="1:31" ht="15.75" customHeight="1" x14ac:dyDescent="0.35">
      <c r="A23" s="3"/>
      <c r="B23" s="12"/>
      <c r="C23" s="5" t="s">
        <v>1615</v>
      </c>
      <c r="D23" s="3"/>
      <c r="E23" s="3"/>
      <c r="F23" s="3"/>
      <c r="G23" s="3"/>
      <c r="H23" s="3"/>
      <c r="I23" s="3"/>
      <c r="J23" s="3"/>
      <c r="K23" s="3"/>
      <c r="L23" s="3"/>
      <c r="M23" s="3" t="s">
        <v>1753</v>
      </c>
      <c r="N23" s="3"/>
      <c r="O23" s="3"/>
      <c r="P23" s="3"/>
      <c r="Q23" s="3"/>
      <c r="R23" s="3"/>
      <c r="S23" s="3"/>
      <c r="T23" s="3"/>
      <c r="U23" s="3"/>
      <c r="V23" s="3"/>
      <c r="W23" s="3"/>
      <c r="X23" s="3"/>
      <c r="Y23" s="3"/>
      <c r="Z23" s="3"/>
      <c r="AA23" s="3"/>
      <c r="AB23" s="3"/>
      <c r="AC23" s="3"/>
      <c r="AD23" s="3"/>
      <c r="AE23" s="3"/>
    </row>
    <row r="24" spans="1:31" ht="15.75" customHeight="1" x14ac:dyDescent="0.35">
      <c r="A24" s="3"/>
      <c r="B24" s="12"/>
      <c r="C24" s="5" t="s">
        <v>1618</v>
      </c>
      <c r="D24" s="3"/>
      <c r="E24" s="3"/>
      <c r="F24" s="3"/>
      <c r="G24" s="3"/>
      <c r="H24" s="3"/>
      <c r="I24" s="3"/>
      <c r="J24" s="3"/>
      <c r="K24" s="3"/>
      <c r="L24" s="3"/>
      <c r="M24" s="3" t="s">
        <v>1753</v>
      </c>
      <c r="N24" s="3"/>
      <c r="O24" s="3"/>
      <c r="P24" s="3"/>
      <c r="Q24" s="3"/>
      <c r="R24" s="3"/>
      <c r="S24" s="3"/>
      <c r="T24" s="3"/>
      <c r="U24" s="3"/>
      <c r="V24" s="3"/>
      <c r="W24" s="3"/>
      <c r="X24" s="3"/>
      <c r="Y24" s="3"/>
      <c r="Z24" s="3"/>
      <c r="AA24" s="3"/>
      <c r="AB24" s="3"/>
      <c r="AC24" s="3"/>
      <c r="AD24" s="3"/>
      <c r="AE24" s="3"/>
    </row>
    <row r="25" spans="1:31" ht="15.75" customHeight="1" x14ac:dyDescent="0.35">
      <c r="A25" s="3"/>
      <c r="B25" s="12" t="s">
        <v>1623</v>
      </c>
      <c r="C25" s="5" t="s">
        <v>1624</v>
      </c>
      <c r="D25" s="3"/>
      <c r="E25" s="3"/>
      <c r="F25" s="3"/>
      <c r="G25" s="3"/>
      <c r="H25" s="3"/>
      <c r="I25" s="3"/>
      <c r="J25" s="3"/>
      <c r="K25" s="3"/>
      <c r="L25" s="3"/>
      <c r="M25" s="3" t="s">
        <v>1753</v>
      </c>
      <c r="N25" s="3"/>
      <c r="O25" s="3"/>
      <c r="P25" s="3"/>
      <c r="Q25" s="3"/>
      <c r="R25" s="3"/>
      <c r="S25" s="3"/>
      <c r="T25" s="3"/>
      <c r="U25" s="3"/>
      <c r="V25" s="3"/>
      <c r="W25" s="3"/>
      <c r="X25" s="3"/>
      <c r="Y25" s="3"/>
      <c r="Z25" s="3"/>
      <c r="AA25" s="3"/>
      <c r="AB25" s="3"/>
      <c r="AC25" s="3"/>
      <c r="AD25" s="3"/>
      <c r="AE25" s="3"/>
    </row>
    <row r="26" spans="1:31" ht="15.75" customHeight="1" x14ac:dyDescent="0.35">
      <c r="A26" s="5" t="s">
        <v>3383</v>
      </c>
      <c r="B26" s="12" t="s">
        <v>1611</v>
      </c>
      <c r="C26" s="5" t="s">
        <v>1612</v>
      </c>
      <c r="D26" s="3"/>
      <c r="E26" s="3"/>
      <c r="F26" s="3"/>
      <c r="G26" s="3"/>
      <c r="H26" s="3"/>
      <c r="I26" s="3"/>
      <c r="J26" s="3"/>
      <c r="K26" s="3"/>
      <c r="L26" s="3"/>
      <c r="M26" s="3" t="s">
        <v>1753</v>
      </c>
      <c r="N26" s="3"/>
      <c r="O26" s="3"/>
      <c r="P26" s="3"/>
      <c r="Q26" s="3"/>
      <c r="R26" s="3"/>
      <c r="S26" s="3"/>
      <c r="T26" s="3"/>
      <c r="U26" s="3"/>
      <c r="V26" s="3"/>
      <c r="W26" s="3"/>
      <c r="X26" s="3"/>
      <c r="Y26" s="3"/>
      <c r="Z26" s="3"/>
      <c r="AA26" s="3"/>
      <c r="AB26" s="3"/>
      <c r="AC26" s="3"/>
      <c r="AD26" s="3"/>
      <c r="AE26" s="3"/>
    </row>
    <row r="27" spans="1:31" ht="15.75" customHeight="1" x14ac:dyDescent="0.35">
      <c r="A27" s="3"/>
      <c r="B27" s="12"/>
      <c r="C27" s="5" t="s">
        <v>1615</v>
      </c>
      <c r="D27" s="3"/>
      <c r="E27" s="3"/>
      <c r="F27" s="3"/>
      <c r="G27" s="3"/>
      <c r="H27" s="3"/>
      <c r="I27" s="3"/>
      <c r="J27" s="3"/>
      <c r="K27" s="3"/>
      <c r="L27" s="3"/>
      <c r="M27" s="3" t="s">
        <v>1753</v>
      </c>
      <c r="N27" s="3"/>
      <c r="O27" s="3"/>
      <c r="P27" s="3"/>
      <c r="Q27" s="3"/>
      <c r="R27" s="3"/>
      <c r="S27" s="3"/>
      <c r="T27" s="3"/>
      <c r="U27" s="3"/>
      <c r="V27" s="3"/>
      <c r="W27" s="3"/>
      <c r="X27" s="3"/>
      <c r="Y27" s="3"/>
      <c r="Z27" s="3"/>
      <c r="AA27" s="3"/>
      <c r="AB27" s="3"/>
      <c r="AC27" s="3"/>
      <c r="AD27" s="3"/>
      <c r="AE27" s="3"/>
    </row>
    <row r="28" spans="1:31" ht="15.75" customHeight="1" x14ac:dyDescent="0.35">
      <c r="A28" s="3"/>
      <c r="B28" s="12"/>
      <c r="C28" s="5" t="s">
        <v>1618</v>
      </c>
      <c r="D28" s="3"/>
      <c r="E28" s="3"/>
      <c r="F28" s="3"/>
      <c r="G28" s="3"/>
      <c r="H28" s="3"/>
      <c r="I28" s="3"/>
      <c r="J28" s="3"/>
      <c r="K28" s="3"/>
      <c r="L28" s="3"/>
      <c r="M28" s="3" t="s">
        <v>1753</v>
      </c>
      <c r="N28" s="3"/>
      <c r="O28" s="3"/>
      <c r="P28" s="3"/>
      <c r="Q28" s="3"/>
      <c r="R28" s="3"/>
      <c r="S28" s="3"/>
      <c r="T28" s="3"/>
      <c r="U28" s="3"/>
      <c r="V28" s="3"/>
      <c r="W28" s="3"/>
      <c r="X28" s="3"/>
      <c r="Y28" s="3"/>
      <c r="Z28" s="3"/>
      <c r="AA28" s="3"/>
      <c r="AB28" s="3"/>
      <c r="AC28" s="3"/>
      <c r="AD28" s="3"/>
      <c r="AE28" s="3"/>
    </row>
    <row r="29" spans="1:31" ht="15.75" customHeight="1" x14ac:dyDescent="0.35">
      <c r="A29" s="3"/>
      <c r="B29" s="12" t="s">
        <v>3384</v>
      </c>
      <c r="C29" s="5" t="s">
        <v>131</v>
      </c>
      <c r="D29" s="3"/>
      <c r="E29" s="3"/>
      <c r="F29" s="3"/>
      <c r="G29" s="3"/>
      <c r="H29" s="3"/>
      <c r="I29" s="3"/>
      <c r="J29" s="3"/>
      <c r="K29" s="3"/>
      <c r="L29" s="3"/>
      <c r="M29" s="3" t="s">
        <v>1753</v>
      </c>
      <c r="N29" s="3"/>
      <c r="O29" s="3"/>
      <c r="P29" s="3"/>
      <c r="Q29" s="3"/>
      <c r="R29" s="3"/>
      <c r="S29" s="3"/>
      <c r="T29" s="3"/>
      <c r="U29" s="3"/>
      <c r="V29" s="3"/>
      <c r="W29" s="3"/>
      <c r="X29" s="3"/>
      <c r="Y29" s="3"/>
      <c r="Z29" s="3"/>
      <c r="AA29" s="3"/>
      <c r="AB29" s="3"/>
      <c r="AC29" s="3"/>
      <c r="AD29" s="3"/>
      <c r="AE29" s="3"/>
    </row>
    <row r="30" spans="1:31" ht="15.75" customHeight="1" x14ac:dyDescent="0.35">
      <c r="A30" s="3"/>
      <c r="B30" s="12" t="s">
        <v>3385</v>
      </c>
      <c r="C30" s="5" t="s">
        <v>131</v>
      </c>
      <c r="D30" s="3"/>
      <c r="E30" s="3"/>
      <c r="F30" s="3"/>
      <c r="G30" s="3"/>
      <c r="H30" s="3"/>
      <c r="I30" s="3"/>
      <c r="J30" s="3"/>
      <c r="K30" s="3"/>
      <c r="L30" s="3"/>
      <c r="M30" s="3" t="s">
        <v>1753</v>
      </c>
      <c r="N30" s="3"/>
      <c r="O30" s="3"/>
      <c r="P30" s="3"/>
      <c r="Q30" s="3"/>
      <c r="R30" s="3"/>
      <c r="S30" s="3"/>
      <c r="T30" s="3"/>
      <c r="U30" s="3"/>
      <c r="V30" s="3"/>
      <c r="W30" s="3"/>
      <c r="X30" s="3"/>
      <c r="Y30" s="3"/>
      <c r="Z30" s="3"/>
      <c r="AA30" s="3"/>
      <c r="AB30" s="3"/>
      <c r="AC30" s="3"/>
      <c r="AD30" s="3"/>
      <c r="AE30" s="3"/>
    </row>
    <row r="31" spans="1:31" ht="15.75" customHeight="1" x14ac:dyDescent="0.35">
      <c r="A31" s="3"/>
      <c r="B31" s="12" t="s">
        <v>3386</v>
      </c>
      <c r="C31" s="5" t="s">
        <v>131</v>
      </c>
      <c r="D31" s="3"/>
      <c r="E31" s="3"/>
      <c r="F31" s="3"/>
      <c r="G31" s="3"/>
      <c r="H31" s="3"/>
      <c r="I31" s="3"/>
      <c r="J31" s="3"/>
      <c r="K31" s="3"/>
      <c r="L31" s="3"/>
      <c r="M31" s="3" t="s">
        <v>1753</v>
      </c>
      <c r="N31" s="3"/>
      <c r="O31" s="3"/>
      <c r="P31" s="3"/>
      <c r="Q31" s="3"/>
      <c r="R31" s="3"/>
      <c r="S31" s="3"/>
      <c r="T31" s="3"/>
      <c r="U31" s="3"/>
      <c r="V31" s="3"/>
      <c r="W31" s="3"/>
      <c r="X31" s="3"/>
      <c r="Y31" s="3"/>
      <c r="Z31" s="3"/>
      <c r="AA31" s="3"/>
      <c r="AB31" s="3"/>
      <c r="AC31" s="3"/>
      <c r="AD31" s="3"/>
      <c r="AE31" s="3"/>
    </row>
    <row r="32" spans="1:31" ht="15.75" customHeight="1" x14ac:dyDescent="0.35">
      <c r="A32" s="5" t="s">
        <v>3387</v>
      </c>
      <c r="B32" s="12" t="s">
        <v>1611</v>
      </c>
      <c r="C32" s="5" t="s">
        <v>1612</v>
      </c>
      <c r="D32" s="3"/>
      <c r="E32" s="3"/>
      <c r="F32" s="3"/>
      <c r="G32" s="3"/>
      <c r="H32" s="3"/>
      <c r="I32" s="3"/>
      <c r="J32" s="3"/>
      <c r="K32" s="3"/>
      <c r="L32" s="3"/>
      <c r="M32" s="3" t="s">
        <v>1753</v>
      </c>
      <c r="N32" s="3"/>
      <c r="O32" s="3"/>
      <c r="P32" s="3"/>
      <c r="Q32" s="3"/>
      <c r="R32" s="3"/>
      <c r="S32" s="3"/>
      <c r="T32" s="3"/>
      <c r="U32" s="3"/>
      <c r="V32" s="3"/>
      <c r="W32" s="3"/>
      <c r="X32" s="3"/>
      <c r="Y32" s="3"/>
      <c r="Z32" s="3"/>
      <c r="AA32" s="3"/>
      <c r="AB32" s="3"/>
      <c r="AC32" s="3"/>
      <c r="AD32" s="3"/>
      <c r="AE32" s="3"/>
    </row>
    <row r="33" spans="1:31" ht="15.75" customHeight="1" x14ac:dyDescent="0.35">
      <c r="A33" s="3"/>
      <c r="B33" s="12"/>
      <c r="C33" s="5" t="s">
        <v>1615</v>
      </c>
      <c r="D33" s="3"/>
      <c r="E33" s="3"/>
      <c r="F33" s="3"/>
      <c r="G33" s="3"/>
      <c r="H33" s="3"/>
      <c r="I33" s="3"/>
      <c r="J33" s="3"/>
      <c r="K33" s="3"/>
      <c r="L33" s="3"/>
      <c r="M33" s="3" t="s">
        <v>1753</v>
      </c>
      <c r="N33" s="3"/>
      <c r="O33" s="3"/>
      <c r="P33" s="3"/>
      <c r="Q33" s="3"/>
      <c r="R33" s="3"/>
      <c r="S33" s="3"/>
      <c r="T33" s="3"/>
      <c r="U33" s="3"/>
      <c r="V33" s="3"/>
      <c r="W33" s="3"/>
      <c r="X33" s="3"/>
      <c r="Y33" s="3"/>
      <c r="Z33" s="3"/>
      <c r="AA33" s="3"/>
      <c r="AB33" s="3"/>
      <c r="AC33" s="3"/>
      <c r="AD33" s="3"/>
      <c r="AE33" s="3"/>
    </row>
    <row r="34" spans="1:31" ht="15.75" customHeight="1" x14ac:dyDescent="0.35">
      <c r="A34" s="3"/>
      <c r="B34" s="12"/>
      <c r="C34" s="5" t="s">
        <v>1618</v>
      </c>
      <c r="D34" s="3"/>
      <c r="E34" s="3"/>
      <c r="F34" s="3"/>
      <c r="G34" s="3"/>
      <c r="H34" s="3"/>
      <c r="I34" s="3"/>
      <c r="J34" s="3"/>
      <c r="K34" s="3"/>
      <c r="L34" s="3"/>
      <c r="M34" s="3" t="s">
        <v>1753</v>
      </c>
      <c r="N34" s="3"/>
      <c r="O34" s="3"/>
      <c r="P34" s="3"/>
      <c r="Q34" s="3"/>
      <c r="R34" s="3"/>
      <c r="S34" s="3"/>
      <c r="T34" s="3"/>
      <c r="U34" s="3"/>
      <c r="V34" s="3"/>
      <c r="W34" s="3"/>
      <c r="X34" s="3"/>
      <c r="Y34" s="3"/>
      <c r="Z34" s="3"/>
      <c r="AA34" s="3"/>
      <c r="AB34" s="3"/>
      <c r="AC34" s="3"/>
      <c r="AD34" s="3"/>
      <c r="AE34" s="3"/>
    </row>
    <row r="35" spans="1:31" ht="15.75" customHeight="1" x14ac:dyDescent="0.35">
      <c r="A35" s="3"/>
      <c r="B35" s="12" t="s">
        <v>1623</v>
      </c>
      <c r="C35" s="5" t="s">
        <v>1624</v>
      </c>
      <c r="D35" s="3"/>
      <c r="E35" s="3"/>
      <c r="F35" s="3"/>
      <c r="G35" s="3"/>
      <c r="H35" s="3"/>
      <c r="I35" s="3"/>
      <c r="J35" s="3"/>
      <c r="K35" s="3"/>
      <c r="L35" s="3"/>
      <c r="M35" s="3" t="s">
        <v>1753</v>
      </c>
      <c r="N35" s="3"/>
      <c r="O35" s="3"/>
      <c r="P35" s="3"/>
      <c r="Q35" s="3"/>
      <c r="R35" s="3"/>
      <c r="S35" s="3"/>
      <c r="T35" s="3"/>
      <c r="U35" s="3"/>
      <c r="V35" s="3"/>
      <c r="W35" s="3"/>
      <c r="X35" s="3"/>
      <c r="Y35" s="3"/>
      <c r="Z35" s="3"/>
      <c r="AA35" s="3"/>
      <c r="AB35" s="3"/>
      <c r="AC35" s="3"/>
      <c r="AD35" s="3"/>
      <c r="AE35" s="3"/>
    </row>
    <row r="36" spans="1:31" ht="15.75" customHeight="1" x14ac:dyDescent="0.35">
      <c r="A36" s="3"/>
      <c r="B36" s="12" t="s">
        <v>3388</v>
      </c>
      <c r="C36" s="5" t="s">
        <v>131</v>
      </c>
      <c r="D36" s="3"/>
      <c r="E36" s="3"/>
      <c r="F36" s="3"/>
      <c r="G36" s="3"/>
      <c r="H36" s="3"/>
      <c r="I36" s="3"/>
      <c r="J36" s="3"/>
      <c r="K36" s="3"/>
      <c r="L36" s="3"/>
      <c r="M36" s="3" t="s">
        <v>1753</v>
      </c>
      <c r="N36" s="3"/>
      <c r="O36" s="3"/>
      <c r="P36" s="3"/>
      <c r="Q36" s="3"/>
      <c r="R36" s="3"/>
      <c r="S36" s="3"/>
      <c r="T36" s="3"/>
      <c r="U36" s="3"/>
      <c r="V36" s="3"/>
      <c r="W36" s="3"/>
      <c r="X36" s="3"/>
      <c r="Y36" s="3"/>
      <c r="Z36" s="3"/>
      <c r="AA36" s="3"/>
      <c r="AB36" s="3"/>
      <c r="AC36" s="3"/>
      <c r="AD36" s="3"/>
      <c r="AE36" s="3"/>
    </row>
    <row r="37" spans="1:31" ht="15.75" customHeight="1" x14ac:dyDescent="0.35">
      <c r="A37" s="3"/>
      <c r="B37" s="12" t="s">
        <v>3389</v>
      </c>
      <c r="C37" s="5" t="s">
        <v>131</v>
      </c>
      <c r="D37" s="3"/>
      <c r="E37" s="3"/>
      <c r="F37" s="3"/>
      <c r="G37" s="3"/>
      <c r="H37" s="3"/>
      <c r="I37" s="3"/>
      <c r="J37" s="3"/>
      <c r="K37" s="3"/>
      <c r="L37" s="3"/>
      <c r="M37" s="3" t="s">
        <v>1753</v>
      </c>
      <c r="N37" s="3"/>
      <c r="O37" s="3"/>
      <c r="P37" s="3"/>
      <c r="Q37" s="3"/>
      <c r="R37" s="3"/>
      <c r="S37" s="3"/>
      <c r="T37" s="3"/>
      <c r="U37" s="3"/>
      <c r="V37" s="3"/>
      <c r="W37" s="3"/>
      <c r="X37" s="3"/>
      <c r="Y37" s="3"/>
      <c r="Z37" s="3"/>
      <c r="AA37" s="3"/>
      <c r="AB37" s="3"/>
      <c r="AC37" s="3"/>
      <c r="AD37" s="3"/>
      <c r="AE37" s="3"/>
    </row>
    <row r="38" spans="1:31" ht="15.75" customHeight="1" x14ac:dyDescent="0.35">
      <c r="A38" s="3"/>
      <c r="B38" s="12" t="s">
        <v>3384</v>
      </c>
      <c r="C38" s="5" t="s">
        <v>131</v>
      </c>
      <c r="D38" s="3"/>
      <c r="E38" s="3"/>
      <c r="F38" s="3"/>
      <c r="G38" s="3"/>
      <c r="H38" s="3"/>
      <c r="I38" s="3"/>
      <c r="J38" s="3"/>
      <c r="K38" s="3"/>
      <c r="L38" s="3"/>
      <c r="M38" s="3" t="s">
        <v>1753</v>
      </c>
      <c r="N38" s="3"/>
      <c r="O38" s="3"/>
      <c r="P38" s="3"/>
      <c r="Q38" s="3"/>
      <c r="R38" s="3"/>
      <c r="S38" s="3"/>
      <c r="T38" s="3"/>
      <c r="U38" s="3"/>
      <c r="V38" s="3"/>
      <c r="W38" s="3"/>
      <c r="X38" s="3"/>
      <c r="Y38" s="3"/>
      <c r="Z38" s="3"/>
      <c r="AA38" s="3"/>
      <c r="AB38" s="3"/>
      <c r="AC38" s="3"/>
      <c r="AD38" s="3"/>
      <c r="AE38" s="3"/>
    </row>
    <row r="39" spans="1:31" ht="15.75" customHeight="1" x14ac:dyDescent="0.35">
      <c r="A39" s="3"/>
      <c r="B39" s="12" t="s">
        <v>3385</v>
      </c>
      <c r="C39" s="5" t="s">
        <v>131</v>
      </c>
      <c r="D39" s="3"/>
      <c r="E39" s="3"/>
      <c r="F39" s="3"/>
      <c r="G39" s="3"/>
      <c r="H39" s="3"/>
      <c r="I39" s="3"/>
      <c r="J39" s="3"/>
      <c r="K39" s="3"/>
      <c r="L39" s="3"/>
      <c r="M39" s="3" t="s">
        <v>1753</v>
      </c>
      <c r="N39" s="3"/>
      <c r="O39" s="3"/>
      <c r="P39" s="3"/>
      <c r="Q39" s="3"/>
      <c r="R39" s="3"/>
      <c r="S39" s="3"/>
      <c r="T39" s="3"/>
      <c r="U39" s="3"/>
      <c r="V39" s="3"/>
      <c r="W39" s="3"/>
      <c r="X39" s="3"/>
      <c r="Y39" s="3"/>
      <c r="Z39" s="3"/>
      <c r="AA39" s="3"/>
      <c r="AB39" s="3"/>
      <c r="AC39" s="3"/>
      <c r="AD39" s="3"/>
      <c r="AE39" s="3"/>
    </row>
    <row r="40" spans="1:31" ht="15.75" customHeight="1" x14ac:dyDescent="0.35">
      <c r="A40" s="3"/>
      <c r="B40" s="12" t="s">
        <v>3386</v>
      </c>
      <c r="C40" s="5" t="s">
        <v>131</v>
      </c>
      <c r="D40" s="3"/>
      <c r="E40" s="3"/>
      <c r="F40" s="3"/>
      <c r="G40" s="3"/>
      <c r="H40" s="3"/>
      <c r="I40" s="3"/>
      <c r="J40" s="3"/>
      <c r="K40" s="3"/>
      <c r="L40" s="3"/>
      <c r="M40" s="3" t="s">
        <v>1753</v>
      </c>
      <c r="N40" s="3"/>
      <c r="O40" s="3"/>
      <c r="P40" s="3"/>
      <c r="Q40" s="3"/>
      <c r="R40" s="3"/>
      <c r="S40" s="3"/>
      <c r="T40" s="3"/>
      <c r="U40" s="3"/>
      <c r="V40" s="3"/>
      <c r="W40" s="3"/>
      <c r="X40" s="3"/>
      <c r="Y40" s="3"/>
      <c r="Z40" s="3"/>
      <c r="AA40" s="3"/>
      <c r="AB40" s="3"/>
      <c r="AC40" s="3"/>
      <c r="AD40" s="3"/>
      <c r="AE40" s="3"/>
    </row>
    <row r="41" spans="1:31" ht="15.75" customHeight="1" x14ac:dyDescent="0.35">
      <c r="A41" s="3"/>
      <c r="B41" s="12" t="s">
        <v>3390</v>
      </c>
      <c r="C41" s="5" t="s">
        <v>131</v>
      </c>
      <c r="D41" s="3"/>
      <c r="E41" s="3"/>
      <c r="F41" s="3"/>
      <c r="G41" s="3"/>
      <c r="H41" s="3"/>
      <c r="I41" s="3"/>
      <c r="J41" s="3"/>
      <c r="K41" s="3"/>
      <c r="L41" s="3"/>
      <c r="M41" s="3" t="s">
        <v>1753</v>
      </c>
      <c r="N41" s="3"/>
      <c r="O41" s="3"/>
      <c r="P41" s="3"/>
      <c r="Q41" s="3"/>
      <c r="R41" s="3"/>
      <c r="S41" s="3"/>
      <c r="T41" s="3"/>
      <c r="U41" s="3"/>
      <c r="V41" s="3"/>
      <c r="W41" s="3"/>
      <c r="X41" s="3"/>
      <c r="Y41" s="3"/>
      <c r="Z41" s="3"/>
      <c r="AA41" s="3"/>
      <c r="AB41" s="3"/>
      <c r="AC41" s="3"/>
      <c r="AD41" s="3"/>
      <c r="AE41" s="3"/>
    </row>
    <row r="42" spans="1:31" ht="15.75" customHeight="1" x14ac:dyDescent="0.35">
      <c r="A42" s="5" t="s">
        <v>3391</v>
      </c>
      <c r="B42" s="12" t="s">
        <v>1611</v>
      </c>
      <c r="C42" s="5" t="s">
        <v>1612</v>
      </c>
      <c r="D42" s="3"/>
      <c r="E42" s="3"/>
      <c r="F42" s="3"/>
      <c r="G42" s="3"/>
      <c r="H42" s="3"/>
      <c r="I42" s="3"/>
      <c r="J42" s="3"/>
      <c r="K42" s="3"/>
      <c r="L42" s="3"/>
      <c r="M42" s="3" t="s">
        <v>1753</v>
      </c>
      <c r="N42" s="3"/>
      <c r="O42" s="3"/>
      <c r="P42" s="3"/>
      <c r="Q42" s="3"/>
      <c r="R42" s="3"/>
      <c r="S42" s="3"/>
      <c r="T42" s="3"/>
      <c r="U42" s="3"/>
      <c r="V42" s="3"/>
      <c r="W42" s="3"/>
      <c r="X42" s="3"/>
      <c r="Y42" s="3"/>
      <c r="Z42" s="3"/>
      <c r="AA42" s="3"/>
      <c r="AB42" s="3"/>
      <c r="AC42" s="3"/>
      <c r="AD42" s="3"/>
      <c r="AE42" s="3"/>
    </row>
    <row r="43" spans="1:31" ht="15.75" customHeight="1" x14ac:dyDescent="0.35">
      <c r="A43" s="3"/>
      <c r="B43" s="12"/>
      <c r="C43" s="5" t="s">
        <v>1615</v>
      </c>
      <c r="D43" s="3"/>
      <c r="E43" s="3"/>
      <c r="F43" s="3"/>
      <c r="G43" s="3"/>
      <c r="H43" s="3"/>
      <c r="I43" s="3"/>
      <c r="J43" s="3"/>
      <c r="K43" s="3"/>
      <c r="L43" s="3"/>
      <c r="M43" s="3" t="s">
        <v>1753</v>
      </c>
      <c r="N43" s="3"/>
      <c r="O43" s="3"/>
      <c r="P43" s="3"/>
      <c r="Q43" s="3"/>
      <c r="R43" s="3"/>
      <c r="S43" s="3"/>
      <c r="T43" s="3"/>
      <c r="U43" s="3"/>
      <c r="V43" s="3"/>
      <c r="W43" s="3"/>
      <c r="X43" s="3"/>
      <c r="Y43" s="3"/>
      <c r="Z43" s="3"/>
      <c r="AA43" s="3"/>
      <c r="AB43" s="3"/>
      <c r="AC43" s="3"/>
      <c r="AD43" s="3"/>
      <c r="AE43" s="3"/>
    </row>
    <row r="44" spans="1:31" ht="15.75" customHeight="1" x14ac:dyDescent="0.35">
      <c r="A44" s="3"/>
      <c r="B44" s="12"/>
      <c r="C44" s="5" t="s">
        <v>1618</v>
      </c>
      <c r="D44" s="3"/>
      <c r="E44" s="3"/>
      <c r="F44" s="3"/>
      <c r="G44" s="3"/>
      <c r="H44" s="3"/>
      <c r="I44" s="3"/>
      <c r="J44" s="3"/>
      <c r="K44" s="3"/>
      <c r="L44" s="3"/>
      <c r="M44" s="3" t="s">
        <v>1753</v>
      </c>
      <c r="N44" s="3"/>
      <c r="O44" s="3"/>
      <c r="P44" s="3"/>
      <c r="Q44" s="3"/>
      <c r="R44" s="3"/>
      <c r="S44" s="3"/>
      <c r="T44" s="3"/>
      <c r="U44" s="3"/>
      <c r="V44" s="3"/>
      <c r="W44" s="3"/>
      <c r="X44" s="3"/>
      <c r="Y44" s="3"/>
      <c r="Z44" s="3"/>
      <c r="AA44" s="3"/>
      <c r="AB44" s="3"/>
      <c r="AC44" s="3"/>
      <c r="AD44" s="3"/>
      <c r="AE44" s="3"/>
    </row>
    <row r="45" spans="1:31" ht="15.75" customHeight="1" x14ac:dyDescent="0.35">
      <c r="A45" s="3"/>
      <c r="B45" s="12" t="s">
        <v>1623</v>
      </c>
      <c r="C45" s="5" t="s">
        <v>1624</v>
      </c>
      <c r="D45" s="3"/>
      <c r="E45" s="3"/>
      <c r="F45" s="3"/>
      <c r="G45" s="3"/>
      <c r="H45" s="3"/>
      <c r="I45" s="3"/>
      <c r="J45" s="3"/>
      <c r="K45" s="3"/>
      <c r="L45" s="3"/>
      <c r="M45" s="3" t="s">
        <v>1753</v>
      </c>
      <c r="N45" s="3"/>
      <c r="O45" s="3"/>
      <c r="P45" s="3"/>
      <c r="Q45" s="3"/>
      <c r="R45" s="3"/>
      <c r="S45" s="3"/>
      <c r="T45" s="3"/>
      <c r="U45" s="3"/>
      <c r="V45" s="3"/>
      <c r="W45" s="3"/>
      <c r="X45" s="3"/>
      <c r="Y45" s="3"/>
      <c r="Z45" s="3"/>
      <c r="AA45" s="3"/>
      <c r="AB45" s="3"/>
      <c r="AC45" s="3"/>
      <c r="AD45" s="3"/>
      <c r="AE45" s="3"/>
    </row>
    <row r="46" spans="1:31" ht="15.75" customHeight="1" x14ac:dyDescent="0.35">
      <c r="A46" s="3"/>
      <c r="B46" s="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spans="1:31" ht="15.75" customHeight="1" x14ac:dyDescent="0.35">
      <c r="A47" s="3"/>
      <c r="B47" s="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spans="1:31" ht="15.75" customHeight="1" x14ac:dyDescent="0.35">
      <c r="A48" s="3"/>
      <c r="B48" s="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spans="1:31" ht="15.75" customHeight="1" x14ac:dyDescent="0.35">
      <c r="A49" s="3"/>
      <c r="B49" s="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spans="1:31" ht="15.75" customHeight="1" x14ac:dyDescent="0.35">
      <c r="A50" s="3"/>
      <c r="B50" s="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spans="1:31" ht="15.75" customHeight="1" x14ac:dyDescent="0.35">
      <c r="A51" s="3"/>
      <c r="B51" s="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spans="1:31" ht="15.75" customHeight="1" x14ac:dyDescent="0.35">
      <c r="A52" s="3"/>
      <c r="B52" s="7"/>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spans="1:31" ht="15.75" customHeight="1" x14ac:dyDescent="0.35">
      <c r="A53" s="3"/>
      <c r="B53" s="7"/>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spans="1:31" ht="15.75" customHeight="1" x14ac:dyDescent="0.35">
      <c r="A54" s="3"/>
      <c r="B54" s="7"/>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spans="1:31" ht="15.75" customHeight="1" x14ac:dyDescent="0.35">
      <c r="A55" s="3"/>
      <c r="B55" s="7"/>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spans="1:31" ht="15.75" customHeight="1" x14ac:dyDescent="0.35">
      <c r="A56" s="3"/>
      <c r="B56" s="7"/>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spans="1:31" ht="15.75" customHeight="1" x14ac:dyDescent="0.35">
      <c r="A57" s="3"/>
      <c r="B57" s="7"/>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spans="1:31" ht="15.75" customHeight="1" x14ac:dyDescent="0.35">
      <c r="A58" s="3"/>
      <c r="B58" s="7"/>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spans="1:31" ht="15.75" customHeight="1" x14ac:dyDescent="0.35">
      <c r="A59" s="3"/>
      <c r="B59" s="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spans="1:31" ht="15.75" customHeight="1" x14ac:dyDescent="0.35">
      <c r="A60" s="3"/>
      <c r="B60" s="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spans="1:31" ht="15.75" customHeight="1" x14ac:dyDescent="0.35">
      <c r="A61" s="3"/>
      <c r="B61" s="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spans="1:31" ht="15.75" customHeight="1" x14ac:dyDescent="0.35">
      <c r="A62" s="3"/>
      <c r="B62" s="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spans="1:31" ht="15.75" customHeight="1" x14ac:dyDescent="0.35">
      <c r="A63" s="3"/>
      <c r="B63" s="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spans="1:31" ht="15.75" customHeight="1" x14ac:dyDescent="0.35">
      <c r="A64" s="3"/>
      <c r="B64" s="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spans="1:31" ht="15.75" customHeight="1" x14ac:dyDescent="0.35">
      <c r="A65" s="3"/>
      <c r="B65" s="7"/>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5.75" customHeight="1" x14ac:dyDescent="0.35">
      <c r="A66" s="3"/>
      <c r="B66" s="7"/>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5.75" customHeight="1" x14ac:dyDescent="0.35">
      <c r="A67" s="3"/>
      <c r="B67" s="7"/>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5.75" customHeight="1" x14ac:dyDescent="0.35">
      <c r="A68" s="3"/>
      <c r="B68" s="7"/>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spans="1:31" ht="15.75" customHeight="1" x14ac:dyDescent="0.35">
      <c r="A69" s="3"/>
      <c r="B69" s="7"/>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spans="1:31" ht="15.75" customHeight="1" x14ac:dyDescent="0.35">
      <c r="A70" s="3"/>
      <c r="B70" s="7"/>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5.75" customHeight="1" x14ac:dyDescent="0.35">
      <c r="A71" s="3"/>
      <c r="B71" s="7"/>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5.75" customHeight="1" x14ac:dyDescent="0.35">
      <c r="A72" s="3"/>
      <c r="B72" s="7"/>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5.75" customHeight="1" x14ac:dyDescent="0.35">
      <c r="A73" s="3"/>
      <c r="B73" s="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5.75" customHeight="1" x14ac:dyDescent="0.35">
      <c r="A74" s="3"/>
      <c r="B74" s="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5.75" customHeight="1" x14ac:dyDescent="0.35">
      <c r="A75" s="3"/>
      <c r="B75" s="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5.75" customHeight="1" x14ac:dyDescent="0.35">
      <c r="A76" s="3"/>
      <c r="B76" s="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5.75" customHeight="1" x14ac:dyDescent="0.35">
      <c r="A77" s="3"/>
      <c r="B77" s="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5.75" customHeight="1" x14ac:dyDescent="0.35">
      <c r="A78" s="3"/>
      <c r="B78" s="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5.75" customHeight="1" x14ac:dyDescent="0.35">
      <c r="A79" s="3"/>
      <c r="B79" s="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5.75" customHeight="1" x14ac:dyDescent="0.35">
      <c r="A80" s="3"/>
      <c r="B80" s="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5.75" customHeight="1" x14ac:dyDescent="0.35">
      <c r="A81" s="3"/>
      <c r="B81" s="7"/>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5.75" customHeight="1" x14ac:dyDescent="0.35">
      <c r="A82" s="3"/>
      <c r="B82" s="7"/>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5.75" customHeight="1" x14ac:dyDescent="0.35">
      <c r="A83" s="3"/>
      <c r="B83" s="7"/>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5.75" customHeight="1" x14ac:dyDescent="0.35">
      <c r="A84" s="3"/>
      <c r="B84" s="7"/>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5.75" customHeight="1" x14ac:dyDescent="0.35">
      <c r="A85" s="3"/>
      <c r="B85" s="7"/>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5.75" customHeight="1" x14ac:dyDescent="0.35">
      <c r="A86" s="3"/>
      <c r="B86" s="7"/>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5.75" customHeight="1" x14ac:dyDescent="0.35">
      <c r="A87" s="3"/>
      <c r="B87" s="7"/>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5.75" customHeight="1" x14ac:dyDescent="0.35">
      <c r="A88" s="3"/>
      <c r="B88" s="7"/>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5.75" customHeight="1" x14ac:dyDescent="0.35">
      <c r="A89" s="3"/>
      <c r="B89" s="7"/>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5.75" customHeight="1" x14ac:dyDescent="0.35">
      <c r="A90" s="3"/>
      <c r="B90" s="7"/>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5.75" customHeight="1" x14ac:dyDescent="0.35">
      <c r="A91" s="3"/>
      <c r="B91" s="7"/>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5.75" customHeight="1" x14ac:dyDescent="0.35">
      <c r="A92" s="3"/>
      <c r="B92" s="7"/>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5.75" customHeight="1" x14ac:dyDescent="0.35">
      <c r="A93" s="3"/>
      <c r="B93" s="7"/>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5.75" customHeight="1" x14ac:dyDescent="0.35">
      <c r="A94" s="3"/>
      <c r="B94" s="7"/>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5.75" customHeight="1" x14ac:dyDescent="0.35">
      <c r="A95" s="3"/>
      <c r="B95" s="7"/>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5.75" customHeight="1" x14ac:dyDescent="0.35">
      <c r="A96" s="3"/>
      <c r="B96" s="7"/>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5.75" customHeight="1" x14ac:dyDescent="0.35">
      <c r="A97" s="3"/>
      <c r="B97" s="7"/>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5.75" customHeight="1" x14ac:dyDescent="0.35">
      <c r="A98" s="3"/>
      <c r="B98" s="7"/>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5.75" customHeight="1" x14ac:dyDescent="0.35">
      <c r="A99" s="3"/>
      <c r="B99" s="7"/>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5.75" customHeight="1" x14ac:dyDescent="0.35">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5.75" customHeight="1" x14ac:dyDescent="0.35">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5.75" customHeight="1" x14ac:dyDescent="0.35">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5.75" customHeight="1" x14ac:dyDescent="0.35">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5.75" customHeight="1" x14ac:dyDescent="0.35">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5.75" customHeight="1" x14ac:dyDescent="0.3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5.75" customHeight="1" x14ac:dyDescent="0.35">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5.75" customHeight="1" x14ac:dyDescent="0.35">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5.75" customHeight="1" x14ac:dyDescent="0.35">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5.75" customHeight="1" x14ac:dyDescent="0.35">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5.75" customHeight="1" x14ac:dyDescent="0.35">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5.75" customHeight="1" x14ac:dyDescent="0.35">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5.75" customHeight="1" x14ac:dyDescent="0.35">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5.75" customHeight="1" x14ac:dyDescent="0.35">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5.75" customHeight="1" x14ac:dyDescent="0.35">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5.75" customHeight="1" x14ac:dyDescent="0.3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5.75" customHeight="1" x14ac:dyDescent="0.35">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5.75" customHeight="1" x14ac:dyDescent="0.35">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5.75" customHeight="1" x14ac:dyDescent="0.35">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5.75" customHeight="1" x14ac:dyDescent="0.35">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5.75" customHeight="1" x14ac:dyDescent="0.35">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5.75" customHeight="1" x14ac:dyDescent="0.35">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5.75" customHeight="1" x14ac:dyDescent="0.35">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5.75" customHeight="1" x14ac:dyDescent="0.35">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5.75" customHeight="1" x14ac:dyDescent="0.35">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5.75" customHeight="1" x14ac:dyDescent="0.3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5.75" customHeight="1" x14ac:dyDescent="0.35">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5.75" customHeight="1" x14ac:dyDescent="0.35">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5.75" customHeight="1" x14ac:dyDescent="0.35">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5.75" customHeight="1" x14ac:dyDescent="0.35">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5.75" customHeight="1" x14ac:dyDescent="0.35">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5.75" customHeight="1" x14ac:dyDescent="0.35">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5.75" customHeight="1" x14ac:dyDescent="0.35">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5.75" customHeight="1" x14ac:dyDescent="0.35">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5.75" customHeight="1" x14ac:dyDescent="0.35">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5.75" customHeight="1" x14ac:dyDescent="0.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5.75" customHeight="1" x14ac:dyDescent="0.35">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5.75" customHeight="1" x14ac:dyDescent="0.35">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5.75" customHeight="1" x14ac:dyDescent="0.35">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5.75" customHeight="1" x14ac:dyDescent="0.35">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5.75" customHeight="1" x14ac:dyDescent="0.35">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5.75" customHeight="1" x14ac:dyDescent="0.35">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5.75" customHeight="1" x14ac:dyDescent="0.35">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5.75" customHeight="1" x14ac:dyDescent="0.35">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5.75" customHeight="1" x14ac:dyDescent="0.35">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5.75" customHeight="1" x14ac:dyDescent="0.3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5.75" customHeight="1" x14ac:dyDescent="0.35">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5.75" customHeight="1" x14ac:dyDescent="0.35">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5.75" customHeight="1" x14ac:dyDescent="0.35">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5.75" customHeight="1" x14ac:dyDescent="0.35">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5.75" customHeight="1" x14ac:dyDescent="0.35">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5.75" customHeight="1" x14ac:dyDescent="0.35">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5.75" customHeight="1" x14ac:dyDescent="0.35">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5.75" customHeight="1" x14ac:dyDescent="0.35">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5.75" customHeight="1" x14ac:dyDescent="0.35">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5.75" customHeight="1" x14ac:dyDescent="0.3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5.75" customHeight="1" x14ac:dyDescent="0.35">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5.75" customHeight="1" x14ac:dyDescent="0.35">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5.75" customHeight="1" x14ac:dyDescent="0.35">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5.75" customHeight="1" x14ac:dyDescent="0.35">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5.75" customHeight="1" x14ac:dyDescent="0.35">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5.75" customHeight="1" x14ac:dyDescent="0.35">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5.75" customHeight="1" x14ac:dyDescent="0.35">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5.75" customHeight="1" x14ac:dyDescent="0.35">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5.75" customHeight="1" x14ac:dyDescent="0.35">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5.75" customHeight="1" x14ac:dyDescent="0.3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5.75" customHeight="1" x14ac:dyDescent="0.35">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5.75" customHeight="1" x14ac:dyDescent="0.35">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5.75" customHeight="1" x14ac:dyDescent="0.35">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5.75" customHeight="1" x14ac:dyDescent="0.35">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5.75" customHeight="1" x14ac:dyDescent="0.35">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5.75" customHeight="1" x14ac:dyDescent="0.35">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5.75" customHeight="1" x14ac:dyDescent="0.35">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5.75" customHeight="1" x14ac:dyDescent="0.35">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5.75" customHeight="1" x14ac:dyDescent="0.35">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5.75" customHeight="1" x14ac:dyDescent="0.3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5.75" customHeight="1" x14ac:dyDescent="0.35">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5.75" customHeight="1" x14ac:dyDescent="0.35">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5.75" customHeight="1" x14ac:dyDescent="0.35">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5.75" customHeight="1" x14ac:dyDescent="0.35">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5.75" customHeight="1" x14ac:dyDescent="0.35">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5.75" customHeight="1" x14ac:dyDescent="0.35">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5.75" customHeight="1" x14ac:dyDescent="0.35">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5.75" customHeight="1" x14ac:dyDescent="0.35">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5.75" customHeight="1" x14ac:dyDescent="0.35">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5.75" customHeight="1" x14ac:dyDescent="0.3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5.75" customHeight="1" x14ac:dyDescent="0.35">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5.75" customHeight="1" x14ac:dyDescent="0.35">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5.75" customHeight="1" x14ac:dyDescent="0.35">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5.75" customHeight="1" x14ac:dyDescent="0.35">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5.75" customHeight="1" x14ac:dyDescent="0.35">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5.75" customHeight="1" x14ac:dyDescent="0.35">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5.75" customHeight="1" x14ac:dyDescent="0.35">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5.75" customHeight="1" x14ac:dyDescent="0.35">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5.75" customHeight="1" x14ac:dyDescent="0.35">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5.75" customHeight="1" x14ac:dyDescent="0.3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5.75" customHeight="1" x14ac:dyDescent="0.35">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5.75" customHeight="1" x14ac:dyDescent="0.35">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5.75" customHeight="1" x14ac:dyDescent="0.35">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5.75" customHeight="1" x14ac:dyDescent="0.35">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5.75" customHeight="1" x14ac:dyDescent="0.35">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5.75" customHeight="1" x14ac:dyDescent="0.35">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5.75" customHeight="1" x14ac:dyDescent="0.35">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5.75" customHeight="1" x14ac:dyDescent="0.35">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5.75" customHeight="1" x14ac:dyDescent="0.35">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5.75" customHeight="1" x14ac:dyDescent="0.3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5.75" customHeight="1" x14ac:dyDescent="0.35">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5.75" customHeight="1" x14ac:dyDescent="0.35">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5.75" customHeight="1" x14ac:dyDescent="0.35">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5.75" customHeight="1" x14ac:dyDescent="0.35">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5.75" customHeight="1" x14ac:dyDescent="0.35">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5.75" customHeight="1" x14ac:dyDescent="0.35">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5.75" customHeight="1" x14ac:dyDescent="0.35">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5.75" customHeight="1" x14ac:dyDescent="0.35">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5.75" customHeight="1" x14ac:dyDescent="0.35">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5.75" customHeight="1" x14ac:dyDescent="0.3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5.75" customHeight="1" x14ac:dyDescent="0.35">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5.75" customHeight="1" x14ac:dyDescent="0.35">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5.75" customHeight="1" x14ac:dyDescent="0.35">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5.75" customHeight="1" x14ac:dyDescent="0.35">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5.75" customHeight="1" x14ac:dyDescent="0.35">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5.75" customHeight="1" x14ac:dyDescent="0.35">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5.75" customHeight="1" x14ac:dyDescent="0.35">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5.75" customHeight="1" x14ac:dyDescent="0.35">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5.75" customHeight="1" x14ac:dyDescent="0.35">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5.75" customHeight="1" x14ac:dyDescent="0.3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5.75" customHeight="1" x14ac:dyDescent="0.35">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5.75" customHeight="1" x14ac:dyDescent="0.35">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5.75" customHeight="1" x14ac:dyDescent="0.35">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5.75" customHeight="1" x14ac:dyDescent="0.35">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5.75" customHeight="1" x14ac:dyDescent="0.35">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5.75" customHeight="1" x14ac:dyDescent="0.35">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5.75" customHeight="1" x14ac:dyDescent="0.35">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5.75" customHeight="1" x14ac:dyDescent="0.35">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5.75" customHeight="1" x14ac:dyDescent="0.35">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5.75" customHeight="1" x14ac:dyDescent="0.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5.75" customHeight="1" x14ac:dyDescent="0.35">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5.75" customHeight="1" x14ac:dyDescent="0.35">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5.75" customHeight="1" x14ac:dyDescent="0.35">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5.75" customHeight="1" x14ac:dyDescent="0.35">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5.75" customHeight="1" x14ac:dyDescent="0.35">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5.75" customHeight="1" x14ac:dyDescent="0.35">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5.75" customHeight="1" x14ac:dyDescent="0.35">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5.75" customHeight="1" x14ac:dyDescent="0.35">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5.75" customHeight="1" x14ac:dyDescent="0.35">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5.75" customHeight="1" x14ac:dyDescent="0.3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5.75" customHeight="1" x14ac:dyDescent="0.35">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5.75" customHeight="1" x14ac:dyDescent="0.35">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5.75" customHeight="1" x14ac:dyDescent="0.35">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5.75" customHeight="1" x14ac:dyDescent="0.35">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5.75" customHeight="1" x14ac:dyDescent="0.35">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5.75" customHeight="1" x14ac:dyDescent="0.35">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5.75" customHeight="1" x14ac:dyDescent="0.35">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5.75" customHeight="1" x14ac:dyDescent="0.35">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5.75" customHeight="1" x14ac:dyDescent="0.35">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5.75" customHeight="1" x14ac:dyDescent="0.3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5.75" customHeight="1" x14ac:dyDescent="0.35">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5.75" customHeight="1" x14ac:dyDescent="0.35">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5.75" customHeight="1" x14ac:dyDescent="0.35">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5.75" customHeight="1" x14ac:dyDescent="0.35">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5.75" customHeight="1" x14ac:dyDescent="0.35">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5.75" customHeight="1" x14ac:dyDescent="0.35">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5.75" customHeight="1" x14ac:dyDescent="0.35">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5.75" customHeight="1" x14ac:dyDescent="0.35">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x14ac:dyDescent="0.35">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x14ac:dyDescent="0.3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x14ac:dyDescent="0.35">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x14ac:dyDescent="0.35">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x14ac:dyDescent="0.35">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x14ac:dyDescent="0.35">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x14ac:dyDescent="0.35">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x14ac:dyDescent="0.35">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x14ac:dyDescent="0.35">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x14ac:dyDescent="0.35">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x14ac:dyDescent="0.35">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x14ac:dyDescent="0.3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x14ac:dyDescent="0.35">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x14ac:dyDescent="0.35">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x14ac:dyDescent="0.35">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x14ac:dyDescent="0.35">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x14ac:dyDescent="0.35">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x14ac:dyDescent="0.35">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x14ac:dyDescent="0.35">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x14ac:dyDescent="0.35">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x14ac:dyDescent="0.35">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x14ac:dyDescent="0.3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x14ac:dyDescent="0.35">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x14ac:dyDescent="0.35">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x14ac:dyDescent="0.35">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x14ac:dyDescent="0.35">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x14ac:dyDescent="0.35">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x14ac:dyDescent="0.35">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x14ac:dyDescent="0.35">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x14ac:dyDescent="0.35">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x14ac:dyDescent="0.35">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x14ac:dyDescent="0.3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x14ac:dyDescent="0.35">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x14ac:dyDescent="0.35">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x14ac:dyDescent="0.35">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x14ac:dyDescent="0.35">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x14ac:dyDescent="0.35">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x14ac:dyDescent="0.35">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x14ac:dyDescent="0.35">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x14ac:dyDescent="0.35">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x14ac:dyDescent="0.35">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x14ac:dyDescent="0.3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x14ac:dyDescent="0.35">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x14ac:dyDescent="0.35">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x14ac:dyDescent="0.35">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x14ac:dyDescent="0.35">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x14ac:dyDescent="0.35">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x14ac:dyDescent="0.35">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x14ac:dyDescent="0.35">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x14ac:dyDescent="0.35">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x14ac:dyDescent="0.35">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x14ac:dyDescent="0.3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x14ac:dyDescent="0.35">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x14ac:dyDescent="0.35">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x14ac:dyDescent="0.35">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x14ac:dyDescent="0.35">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x14ac:dyDescent="0.35">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x14ac:dyDescent="0.35">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x14ac:dyDescent="0.35">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x14ac:dyDescent="0.35">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x14ac:dyDescent="0.35">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x14ac:dyDescent="0.3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x14ac:dyDescent="0.35">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x14ac:dyDescent="0.35">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x14ac:dyDescent="0.35">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x14ac:dyDescent="0.35">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x14ac:dyDescent="0.35">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x14ac:dyDescent="0.35">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x14ac:dyDescent="0.35">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x14ac:dyDescent="0.35">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x14ac:dyDescent="0.35">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x14ac:dyDescent="0.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x14ac:dyDescent="0.35">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x14ac:dyDescent="0.35">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x14ac:dyDescent="0.35">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x14ac:dyDescent="0.35">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x14ac:dyDescent="0.35">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x14ac:dyDescent="0.35">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x14ac:dyDescent="0.35">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x14ac:dyDescent="0.35">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x14ac:dyDescent="0.35">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x14ac:dyDescent="0.3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x14ac:dyDescent="0.35">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x14ac:dyDescent="0.35">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x14ac:dyDescent="0.35">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x14ac:dyDescent="0.35">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x14ac:dyDescent="0.35">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x14ac:dyDescent="0.35">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x14ac:dyDescent="0.35">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x14ac:dyDescent="0.35">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x14ac:dyDescent="0.35">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x14ac:dyDescent="0.3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x14ac:dyDescent="0.35">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x14ac:dyDescent="0.35">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x14ac:dyDescent="0.35">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x14ac:dyDescent="0.35">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x14ac:dyDescent="0.35">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x14ac:dyDescent="0.35">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x14ac:dyDescent="0.35">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x14ac:dyDescent="0.35">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x14ac:dyDescent="0.35">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x14ac:dyDescent="0.3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x14ac:dyDescent="0.35">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x14ac:dyDescent="0.35">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x14ac:dyDescent="0.35">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x14ac:dyDescent="0.35">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x14ac:dyDescent="0.35">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x14ac:dyDescent="0.35">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x14ac:dyDescent="0.35">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x14ac:dyDescent="0.35">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x14ac:dyDescent="0.35">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x14ac:dyDescent="0.3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x14ac:dyDescent="0.35">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x14ac:dyDescent="0.35">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x14ac:dyDescent="0.35">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x14ac:dyDescent="0.35">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x14ac:dyDescent="0.35">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x14ac:dyDescent="0.35">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x14ac:dyDescent="0.35">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x14ac:dyDescent="0.35">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x14ac:dyDescent="0.35">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x14ac:dyDescent="0.3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x14ac:dyDescent="0.35">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x14ac:dyDescent="0.35">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x14ac:dyDescent="0.35">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x14ac:dyDescent="0.35">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x14ac:dyDescent="0.35">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x14ac:dyDescent="0.35">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x14ac:dyDescent="0.35">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x14ac:dyDescent="0.35">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x14ac:dyDescent="0.35">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x14ac:dyDescent="0.3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x14ac:dyDescent="0.35">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x14ac:dyDescent="0.35">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x14ac:dyDescent="0.35">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x14ac:dyDescent="0.35">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x14ac:dyDescent="0.35">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x14ac:dyDescent="0.35">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x14ac:dyDescent="0.35">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x14ac:dyDescent="0.35">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x14ac:dyDescent="0.35">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x14ac:dyDescent="0.3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x14ac:dyDescent="0.35">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x14ac:dyDescent="0.35">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x14ac:dyDescent="0.35">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x14ac:dyDescent="0.35">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x14ac:dyDescent="0.35">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x14ac:dyDescent="0.35">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x14ac:dyDescent="0.35">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x14ac:dyDescent="0.35">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x14ac:dyDescent="0.35">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x14ac:dyDescent="0.3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x14ac:dyDescent="0.35">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x14ac:dyDescent="0.35">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x14ac:dyDescent="0.35">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x14ac:dyDescent="0.35">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x14ac:dyDescent="0.35">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x14ac:dyDescent="0.35">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x14ac:dyDescent="0.35">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x14ac:dyDescent="0.35">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x14ac:dyDescent="0.35">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x14ac:dyDescent="0.3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x14ac:dyDescent="0.35">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x14ac:dyDescent="0.35">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x14ac:dyDescent="0.35">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x14ac:dyDescent="0.35">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x14ac:dyDescent="0.35">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x14ac:dyDescent="0.35">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x14ac:dyDescent="0.35">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x14ac:dyDescent="0.35">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x14ac:dyDescent="0.35">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x14ac:dyDescent="0.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x14ac:dyDescent="0.35">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x14ac:dyDescent="0.35">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x14ac:dyDescent="0.35">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x14ac:dyDescent="0.35">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x14ac:dyDescent="0.35">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x14ac:dyDescent="0.35">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x14ac:dyDescent="0.35">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x14ac:dyDescent="0.35">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x14ac:dyDescent="0.35">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x14ac:dyDescent="0.3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x14ac:dyDescent="0.35">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x14ac:dyDescent="0.35">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x14ac:dyDescent="0.35">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x14ac:dyDescent="0.35">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x14ac:dyDescent="0.35">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x14ac:dyDescent="0.35">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x14ac:dyDescent="0.35">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x14ac:dyDescent="0.35">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x14ac:dyDescent="0.35">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x14ac:dyDescent="0.3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x14ac:dyDescent="0.35">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x14ac:dyDescent="0.35">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x14ac:dyDescent="0.35">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x14ac:dyDescent="0.35">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x14ac:dyDescent="0.35">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x14ac:dyDescent="0.35">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x14ac:dyDescent="0.35">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x14ac:dyDescent="0.35">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x14ac:dyDescent="0.35">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x14ac:dyDescent="0.3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x14ac:dyDescent="0.35">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x14ac:dyDescent="0.35">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x14ac:dyDescent="0.35">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x14ac:dyDescent="0.35">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x14ac:dyDescent="0.35">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x14ac:dyDescent="0.35">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x14ac:dyDescent="0.35">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x14ac:dyDescent="0.35">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x14ac:dyDescent="0.35">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x14ac:dyDescent="0.3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x14ac:dyDescent="0.35">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x14ac:dyDescent="0.35">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x14ac:dyDescent="0.35">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x14ac:dyDescent="0.35">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x14ac:dyDescent="0.35">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x14ac:dyDescent="0.35">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x14ac:dyDescent="0.35">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x14ac:dyDescent="0.35">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x14ac:dyDescent="0.35">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x14ac:dyDescent="0.3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x14ac:dyDescent="0.35">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x14ac:dyDescent="0.35">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x14ac:dyDescent="0.35">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x14ac:dyDescent="0.35">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x14ac:dyDescent="0.35">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x14ac:dyDescent="0.35">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x14ac:dyDescent="0.35">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x14ac:dyDescent="0.35">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x14ac:dyDescent="0.35">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x14ac:dyDescent="0.3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x14ac:dyDescent="0.35">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x14ac:dyDescent="0.35">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x14ac:dyDescent="0.35">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x14ac:dyDescent="0.35">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x14ac:dyDescent="0.35">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x14ac:dyDescent="0.35">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x14ac:dyDescent="0.35">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x14ac:dyDescent="0.35">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x14ac:dyDescent="0.35">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x14ac:dyDescent="0.3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x14ac:dyDescent="0.35">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x14ac:dyDescent="0.35">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x14ac:dyDescent="0.35">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x14ac:dyDescent="0.35">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x14ac:dyDescent="0.35">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x14ac:dyDescent="0.35">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x14ac:dyDescent="0.35">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x14ac:dyDescent="0.35">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x14ac:dyDescent="0.35">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x14ac:dyDescent="0.3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x14ac:dyDescent="0.35">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x14ac:dyDescent="0.35">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x14ac:dyDescent="0.35">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x14ac:dyDescent="0.35">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x14ac:dyDescent="0.35">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x14ac:dyDescent="0.35">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x14ac:dyDescent="0.35">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x14ac:dyDescent="0.35">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x14ac:dyDescent="0.35">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x14ac:dyDescent="0.3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x14ac:dyDescent="0.35">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x14ac:dyDescent="0.35">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x14ac:dyDescent="0.35">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x14ac:dyDescent="0.35">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x14ac:dyDescent="0.35">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x14ac:dyDescent="0.35">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x14ac:dyDescent="0.35">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x14ac:dyDescent="0.35">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x14ac:dyDescent="0.35">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x14ac:dyDescent="0.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x14ac:dyDescent="0.35">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x14ac:dyDescent="0.35">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x14ac:dyDescent="0.35">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x14ac:dyDescent="0.35">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x14ac:dyDescent="0.35">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x14ac:dyDescent="0.35">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x14ac:dyDescent="0.35">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x14ac:dyDescent="0.35">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x14ac:dyDescent="0.35">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x14ac:dyDescent="0.3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x14ac:dyDescent="0.35">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x14ac:dyDescent="0.35">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x14ac:dyDescent="0.35">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x14ac:dyDescent="0.35">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x14ac:dyDescent="0.35">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x14ac:dyDescent="0.35">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x14ac:dyDescent="0.35">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x14ac:dyDescent="0.35">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x14ac:dyDescent="0.35">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x14ac:dyDescent="0.3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x14ac:dyDescent="0.35">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x14ac:dyDescent="0.35">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x14ac:dyDescent="0.35">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x14ac:dyDescent="0.35">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x14ac:dyDescent="0.35">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x14ac:dyDescent="0.35">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x14ac:dyDescent="0.35">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x14ac:dyDescent="0.35">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x14ac:dyDescent="0.35">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x14ac:dyDescent="0.3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x14ac:dyDescent="0.35">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x14ac:dyDescent="0.35">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x14ac:dyDescent="0.35">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x14ac:dyDescent="0.35">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x14ac:dyDescent="0.35">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x14ac:dyDescent="0.35">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x14ac:dyDescent="0.35">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x14ac:dyDescent="0.35">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x14ac:dyDescent="0.35">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x14ac:dyDescent="0.3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x14ac:dyDescent="0.35">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x14ac:dyDescent="0.35">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x14ac:dyDescent="0.35">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x14ac:dyDescent="0.35">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x14ac:dyDescent="0.35">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x14ac:dyDescent="0.35">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x14ac:dyDescent="0.35">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x14ac:dyDescent="0.35">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x14ac:dyDescent="0.35">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x14ac:dyDescent="0.3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x14ac:dyDescent="0.35">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x14ac:dyDescent="0.35">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x14ac:dyDescent="0.35">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x14ac:dyDescent="0.35">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x14ac:dyDescent="0.35">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x14ac:dyDescent="0.35">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x14ac:dyDescent="0.35">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x14ac:dyDescent="0.35">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x14ac:dyDescent="0.35">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x14ac:dyDescent="0.3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x14ac:dyDescent="0.35">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x14ac:dyDescent="0.35">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x14ac:dyDescent="0.35">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x14ac:dyDescent="0.35">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x14ac:dyDescent="0.35">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x14ac:dyDescent="0.35">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x14ac:dyDescent="0.35">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x14ac:dyDescent="0.35">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x14ac:dyDescent="0.35">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x14ac:dyDescent="0.3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x14ac:dyDescent="0.35">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x14ac:dyDescent="0.35">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x14ac:dyDescent="0.35">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x14ac:dyDescent="0.35">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x14ac:dyDescent="0.35">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x14ac:dyDescent="0.35">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x14ac:dyDescent="0.35">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x14ac:dyDescent="0.35">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x14ac:dyDescent="0.35">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x14ac:dyDescent="0.3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x14ac:dyDescent="0.35">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x14ac:dyDescent="0.35">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x14ac:dyDescent="0.35">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x14ac:dyDescent="0.35">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x14ac:dyDescent="0.35">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x14ac:dyDescent="0.35">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x14ac:dyDescent="0.35">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x14ac:dyDescent="0.35">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x14ac:dyDescent="0.35">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x14ac:dyDescent="0.3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x14ac:dyDescent="0.35">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x14ac:dyDescent="0.35">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x14ac:dyDescent="0.35">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x14ac:dyDescent="0.35">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x14ac:dyDescent="0.35">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x14ac:dyDescent="0.35">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x14ac:dyDescent="0.35">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x14ac:dyDescent="0.35">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x14ac:dyDescent="0.35">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x14ac:dyDescent="0.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x14ac:dyDescent="0.35">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x14ac:dyDescent="0.35">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x14ac:dyDescent="0.35">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x14ac:dyDescent="0.35">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x14ac:dyDescent="0.35">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x14ac:dyDescent="0.35">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x14ac:dyDescent="0.35">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x14ac:dyDescent="0.35">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x14ac:dyDescent="0.35">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x14ac:dyDescent="0.3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x14ac:dyDescent="0.35">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x14ac:dyDescent="0.35">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x14ac:dyDescent="0.35">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x14ac:dyDescent="0.35">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x14ac:dyDescent="0.35">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x14ac:dyDescent="0.35">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x14ac:dyDescent="0.35">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x14ac:dyDescent="0.35">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x14ac:dyDescent="0.35">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x14ac:dyDescent="0.3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x14ac:dyDescent="0.35">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x14ac:dyDescent="0.35">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x14ac:dyDescent="0.35">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x14ac:dyDescent="0.35">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x14ac:dyDescent="0.35">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x14ac:dyDescent="0.35">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x14ac:dyDescent="0.35">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x14ac:dyDescent="0.35">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x14ac:dyDescent="0.35">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x14ac:dyDescent="0.3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x14ac:dyDescent="0.35">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x14ac:dyDescent="0.35">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x14ac:dyDescent="0.35">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x14ac:dyDescent="0.35">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x14ac:dyDescent="0.35">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x14ac:dyDescent="0.35">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x14ac:dyDescent="0.35">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x14ac:dyDescent="0.35">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x14ac:dyDescent="0.35">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x14ac:dyDescent="0.3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x14ac:dyDescent="0.35">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x14ac:dyDescent="0.35">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x14ac:dyDescent="0.35">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x14ac:dyDescent="0.35">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x14ac:dyDescent="0.35">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x14ac:dyDescent="0.35">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x14ac:dyDescent="0.35">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x14ac:dyDescent="0.35">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x14ac:dyDescent="0.35">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x14ac:dyDescent="0.3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x14ac:dyDescent="0.35">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x14ac:dyDescent="0.35">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x14ac:dyDescent="0.35">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x14ac:dyDescent="0.35">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x14ac:dyDescent="0.35">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x14ac:dyDescent="0.35">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x14ac:dyDescent="0.35">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x14ac:dyDescent="0.35">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x14ac:dyDescent="0.35">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x14ac:dyDescent="0.3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x14ac:dyDescent="0.35">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x14ac:dyDescent="0.35">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x14ac:dyDescent="0.35">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x14ac:dyDescent="0.35">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x14ac:dyDescent="0.35">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x14ac:dyDescent="0.35">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x14ac:dyDescent="0.35">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x14ac:dyDescent="0.35">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x14ac:dyDescent="0.35">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x14ac:dyDescent="0.3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x14ac:dyDescent="0.35">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x14ac:dyDescent="0.35">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x14ac:dyDescent="0.35">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x14ac:dyDescent="0.35">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x14ac:dyDescent="0.35">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x14ac:dyDescent="0.35">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x14ac:dyDescent="0.35">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x14ac:dyDescent="0.35">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x14ac:dyDescent="0.35">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x14ac:dyDescent="0.3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x14ac:dyDescent="0.35">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x14ac:dyDescent="0.35">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x14ac:dyDescent="0.35">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x14ac:dyDescent="0.35">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x14ac:dyDescent="0.35">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x14ac:dyDescent="0.35">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x14ac:dyDescent="0.35">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x14ac:dyDescent="0.35">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x14ac:dyDescent="0.35">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x14ac:dyDescent="0.3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x14ac:dyDescent="0.35">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x14ac:dyDescent="0.35">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x14ac:dyDescent="0.35">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x14ac:dyDescent="0.35">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x14ac:dyDescent="0.35">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x14ac:dyDescent="0.35">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x14ac:dyDescent="0.35">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x14ac:dyDescent="0.35">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x14ac:dyDescent="0.35">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x14ac:dyDescent="0.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x14ac:dyDescent="0.35">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x14ac:dyDescent="0.35">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x14ac:dyDescent="0.35">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x14ac:dyDescent="0.35">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x14ac:dyDescent="0.35">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x14ac:dyDescent="0.35">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x14ac:dyDescent="0.35">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x14ac:dyDescent="0.35">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x14ac:dyDescent="0.35">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x14ac:dyDescent="0.3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x14ac:dyDescent="0.35">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x14ac:dyDescent="0.35">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x14ac:dyDescent="0.35">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x14ac:dyDescent="0.35">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x14ac:dyDescent="0.35">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x14ac:dyDescent="0.35">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x14ac:dyDescent="0.35">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x14ac:dyDescent="0.35">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x14ac:dyDescent="0.35">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x14ac:dyDescent="0.3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x14ac:dyDescent="0.35">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x14ac:dyDescent="0.35">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x14ac:dyDescent="0.35">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x14ac:dyDescent="0.35">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x14ac:dyDescent="0.35">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x14ac:dyDescent="0.35">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x14ac:dyDescent="0.35">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x14ac:dyDescent="0.35">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x14ac:dyDescent="0.35">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x14ac:dyDescent="0.3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x14ac:dyDescent="0.35">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x14ac:dyDescent="0.35">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x14ac:dyDescent="0.35">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x14ac:dyDescent="0.35">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x14ac:dyDescent="0.35">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x14ac:dyDescent="0.35">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x14ac:dyDescent="0.35">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x14ac:dyDescent="0.35">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x14ac:dyDescent="0.35">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x14ac:dyDescent="0.3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x14ac:dyDescent="0.35">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x14ac:dyDescent="0.35">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x14ac:dyDescent="0.35">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x14ac:dyDescent="0.35">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x14ac:dyDescent="0.35">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x14ac:dyDescent="0.35">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x14ac:dyDescent="0.35">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x14ac:dyDescent="0.35">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x14ac:dyDescent="0.35">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x14ac:dyDescent="0.3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x14ac:dyDescent="0.35">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x14ac:dyDescent="0.35">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x14ac:dyDescent="0.35">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x14ac:dyDescent="0.35">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x14ac:dyDescent="0.35">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x14ac:dyDescent="0.35">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x14ac:dyDescent="0.35">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x14ac:dyDescent="0.35">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x14ac:dyDescent="0.35">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x14ac:dyDescent="0.3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x14ac:dyDescent="0.35">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x14ac:dyDescent="0.35">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x14ac:dyDescent="0.35">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x14ac:dyDescent="0.35">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x14ac:dyDescent="0.35">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x14ac:dyDescent="0.35">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x14ac:dyDescent="0.35">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x14ac:dyDescent="0.35">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x14ac:dyDescent="0.35">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x14ac:dyDescent="0.3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x14ac:dyDescent="0.35">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x14ac:dyDescent="0.35">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x14ac:dyDescent="0.35">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x14ac:dyDescent="0.35">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x14ac:dyDescent="0.35">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x14ac:dyDescent="0.35">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x14ac:dyDescent="0.35">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x14ac:dyDescent="0.35">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x14ac:dyDescent="0.35">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x14ac:dyDescent="0.3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x14ac:dyDescent="0.35">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x14ac:dyDescent="0.35">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x14ac:dyDescent="0.35">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x14ac:dyDescent="0.35">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x14ac:dyDescent="0.35">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x14ac:dyDescent="0.35">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x14ac:dyDescent="0.35">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x14ac:dyDescent="0.35">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x14ac:dyDescent="0.35">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x14ac:dyDescent="0.3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x14ac:dyDescent="0.35">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x14ac:dyDescent="0.35">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x14ac:dyDescent="0.35">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x14ac:dyDescent="0.35">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x14ac:dyDescent="0.35">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x14ac:dyDescent="0.35">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x14ac:dyDescent="0.35">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x14ac:dyDescent="0.35">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x14ac:dyDescent="0.35">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x14ac:dyDescent="0.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x14ac:dyDescent="0.35">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x14ac:dyDescent="0.35">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x14ac:dyDescent="0.35">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x14ac:dyDescent="0.35">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x14ac:dyDescent="0.35">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x14ac:dyDescent="0.35">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x14ac:dyDescent="0.35">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x14ac:dyDescent="0.35">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x14ac:dyDescent="0.35">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x14ac:dyDescent="0.3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x14ac:dyDescent="0.35">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x14ac:dyDescent="0.35">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x14ac:dyDescent="0.35">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x14ac:dyDescent="0.35">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x14ac:dyDescent="0.35">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x14ac:dyDescent="0.35">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x14ac:dyDescent="0.35">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x14ac:dyDescent="0.35">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x14ac:dyDescent="0.35">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x14ac:dyDescent="0.3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x14ac:dyDescent="0.35">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x14ac:dyDescent="0.35">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x14ac:dyDescent="0.35">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x14ac:dyDescent="0.35">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x14ac:dyDescent="0.35">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x14ac:dyDescent="0.35">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x14ac:dyDescent="0.35">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x14ac:dyDescent="0.35">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x14ac:dyDescent="0.35">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x14ac:dyDescent="0.3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x14ac:dyDescent="0.35">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x14ac:dyDescent="0.35">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x14ac:dyDescent="0.35">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x14ac:dyDescent="0.35">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x14ac:dyDescent="0.35">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x14ac:dyDescent="0.35">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x14ac:dyDescent="0.35">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x14ac:dyDescent="0.35">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x14ac:dyDescent="0.35">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x14ac:dyDescent="0.3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x14ac:dyDescent="0.35">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x14ac:dyDescent="0.35">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x14ac:dyDescent="0.35">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x14ac:dyDescent="0.35">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x14ac:dyDescent="0.35">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x14ac:dyDescent="0.35">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x14ac:dyDescent="0.35">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x14ac:dyDescent="0.35">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x14ac:dyDescent="0.35">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x14ac:dyDescent="0.3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x14ac:dyDescent="0.35">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x14ac:dyDescent="0.35">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x14ac:dyDescent="0.35">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x14ac:dyDescent="0.35">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x14ac:dyDescent="0.35">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x14ac:dyDescent="0.35">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x14ac:dyDescent="0.35">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x14ac:dyDescent="0.35">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x14ac:dyDescent="0.35">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x14ac:dyDescent="0.3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x14ac:dyDescent="0.35">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x14ac:dyDescent="0.35">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x14ac:dyDescent="0.35">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x14ac:dyDescent="0.35">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x14ac:dyDescent="0.35">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x14ac:dyDescent="0.35">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x14ac:dyDescent="0.35">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x14ac:dyDescent="0.35">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x14ac:dyDescent="0.35">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x14ac:dyDescent="0.3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x14ac:dyDescent="0.35">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x14ac:dyDescent="0.35">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x14ac:dyDescent="0.35">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x14ac:dyDescent="0.35">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x14ac:dyDescent="0.35">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x14ac:dyDescent="0.35">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x14ac:dyDescent="0.35">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x14ac:dyDescent="0.35">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x14ac:dyDescent="0.35">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x14ac:dyDescent="0.3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x14ac:dyDescent="0.35">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x14ac:dyDescent="0.35">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x14ac:dyDescent="0.35">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x14ac:dyDescent="0.35">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x14ac:dyDescent="0.35">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x14ac:dyDescent="0.35">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x14ac:dyDescent="0.35">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x14ac:dyDescent="0.35">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x14ac:dyDescent="0.35">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x14ac:dyDescent="0.3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x14ac:dyDescent="0.35">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x14ac:dyDescent="0.35">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x14ac:dyDescent="0.35">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x14ac:dyDescent="0.35">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x14ac:dyDescent="0.35">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x14ac:dyDescent="0.35">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x14ac:dyDescent="0.35">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x14ac:dyDescent="0.35">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x14ac:dyDescent="0.35">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x14ac:dyDescent="0.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x14ac:dyDescent="0.35">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x14ac:dyDescent="0.35">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x14ac:dyDescent="0.35">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x14ac:dyDescent="0.35">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x14ac:dyDescent="0.35">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x14ac:dyDescent="0.35">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x14ac:dyDescent="0.35">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x14ac:dyDescent="0.35">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x14ac:dyDescent="0.35">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x14ac:dyDescent="0.3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x14ac:dyDescent="0.35">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x14ac:dyDescent="0.35">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x14ac:dyDescent="0.35">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x14ac:dyDescent="0.35">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x14ac:dyDescent="0.35">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x14ac:dyDescent="0.35">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x14ac:dyDescent="0.35">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x14ac:dyDescent="0.35">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x14ac:dyDescent="0.35">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x14ac:dyDescent="0.3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x14ac:dyDescent="0.35">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x14ac:dyDescent="0.35">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x14ac:dyDescent="0.35">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x14ac:dyDescent="0.35">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x14ac:dyDescent="0.35">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x14ac:dyDescent="0.35">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x14ac:dyDescent="0.35">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x14ac:dyDescent="0.35">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x14ac:dyDescent="0.35">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x14ac:dyDescent="0.3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x14ac:dyDescent="0.35">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x14ac:dyDescent="0.35">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x14ac:dyDescent="0.35">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x14ac:dyDescent="0.35">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x14ac:dyDescent="0.35">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x14ac:dyDescent="0.35">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x14ac:dyDescent="0.35">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x14ac:dyDescent="0.35">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x14ac:dyDescent="0.35">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x14ac:dyDescent="0.3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x14ac:dyDescent="0.35">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x14ac:dyDescent="0.35">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x14ac:dyDescent="0.35">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x14ac:dyDescent="0.35">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x14ac:dyDescent="0.35">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x14ac:dyDescent="0.35">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x14ac:dyDescent="0.35">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x14ac:dyDescent="0.35">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x14ac:dyDescent="0.35">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x14ac:dyDescent="0.3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x14ac:dyDescent="0.35">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x14ac:dyDescent="0.35">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x14ac:dyDescent="0.35">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x14ac:dyDescent="0.35">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x14ac:dyDescent="0.35">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x14ac:dyDescent="0.35">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x14ac:dyDescent="0.35">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x14ac:dyDescent="0.35">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x14ac:dyDescent="0.35">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x14ac:dyDescent="0.3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x14ac:dyDescent="0.35">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x14ac:dyDescent="0.35">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x14ac:dyDescent="0.35">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x14ac:dyDescent="0.35">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5.75" customHeight="1" x14ac:dyDescent="0.35">
      <c r="A1000" s="3"/>
      <c r="B1000" s="7"/>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R660"/>
  <sheetViews>
    <sheetView workbookViewId="0">
      <pane xSplit="3" topLeftCell="D1" activePane="topRight" state="frozen"/>
      <selection pane="topRight" activeCell="F45" sqref="F45"/>
    </sheetView>
  </sheetViews>
  <sheetFormatPr defaultColWidth="11.25" defaultRowHeight="15" customHeight="1" x14ac:dyDescent="0.35"/>
  <cols>
    <col min="1" max="1" width="14.58203125" customWidth="1"/>
    <col min="2" max="2" width="17.6640625" customWidth="1"/>
    <col min="3" max="3" width="46.33203125" customWidth="1"/>
    <col min="4" max="4" width="17.58203125" customWidth="1"/>
    <col min="5" max="5" width="16" customWidth="1"/>
    <col min="6" max="6" width="15.33203125" customWidth="1"/>
    <col min="7" max="9" width="58.33203125" customWidth="1"/>
    <col min="12" max="12" width="38.33203125" customWidth="1"/>
    <col min="13" max="13" width="7.6640625" customWidth="1"/>
    <col min="14" max="14" width="6.58203125" customWidth="1"/>
    <col min="15" max="15" width="7.08203125" customWidth="1"/>
    <col min="16" max="16" width="6.9140625" customWidth="1"/>
    <col min="17" max="17" width="6.58203125" customWidth="1"/>
    <col min="18" max="18" width="7" customWidth="1"/>
    <col min="19" max="19" width="8" customWidth="1"/>
    <col min="20" max="20" width="7.9140625" customWidth="1"/>
    <col min="21" max="21" width="7.75" customWidth="1"/>
    <col min="23" max="23" width="34.33203125" customWidth="1"/>
    <col min="24" max="24" width="7.25" customWidth="1"/>
    <col min="25" max="25" width="8" customWidth="1"/>
    <col min="26" max="26" width="7.25" customWidth="1"/>
    <col min="27" max="28" width="7.08203125" customWidth="1"/>
    <col min="29" max="29" width="7.33203125" customWidth="1"/>
    <col min="30" max="30" width="8.4140625" customWidth="1"/>
    <col min="31" max="31" width="8.9140625" customWidth="1"/>
    <col min="32" max="32" width="8.08203125" customWidth="1"/>
    <col min="34" max="34" width="26.58203125" customWidth="1"/>
    <col min="35" max="35" width="7.33203125" customWidth="1"/>
    <col min="36" max="36" width="7.75" customWidth="1"/>
    <col min="37" max="37" width="7" customWidth="1"/>
    <col min="38" max="38" width="7.4140625" customWidth="1"/>
    <col min="39" max="39" width="6.58203125" customWidth="1"/>
    <col min="40" max="41" width="8.33203125" customWidth="1"/>
    <col min="42" max="42" width="7.75" customWidth="1"/>
    <col min="43" max="44" width="8.58203125" customWidth="1"/>
  </cols>
  <sheetData>
    <row r="1" spans="1:44" x14ac:dyDescent="0.35">
      <c r="A1" s="15" t="s">
        <v>3392</v>
      </c>
      <c r="B1" s="3"/>
      <c r="C1" s="3"/>
      <c r="D1" s="3"/>
      <c r="E1" s="3"/>
      <c r="F1" s="3"/>
      <c r="G1" s="15" t="s">
        <v>3393</v>
      </c>
      <c r="H1" s="15"/>
      <c r="I1" s="15"/>
    </row>
    <row r="2" spans="1:44" x14ac:dyDescent="0.35">
      <c r="A2" s="9" t="s">
        <v>0</v>
      </c>
      <c r="B2" s="9" t="s">
        <v>1</v>
      </c>
      <c r="C2" s="9" t="s">
        <v>2</v>
      </c>
      <c r="D2" s="9" t="s">
        <v>3</v>
      </c>
      <c r="E2" s="9" t="s">
        <v>4</v>
      </c>
      <c r="F2" s="3" t="s">
        <v>3394</v>
      </c>
      <c r="G2" s="3" t="s">
        <v>3395</v>
      </c>
      <c r="H2" s="3" t="s">
        <v>3396</v>
      </c>
      <c r="I2" s="3" t="s">
        <v>3397</v>
      </c>
      <c r="L2" s="3" t="s">
        <v>3398</v>
      </c>
      <c r="M2" s="3" t="s">
        <v>8</v>
      </c>
      <c r="N2" s="3" t="s">
        <v>9</v>
      </c>
      <c r="O2" s="3" t="s">
        <v>10</v>
      </c>
      <c r="P2" s="3" t="s">
        <v>11</v>
      </c>
      <c r="Q2" s="3" t="s">
        <v>12</v>
      </c>
      <c r="R2" s="3" t="s">
        <v>13</v>
      </c>
      <c r="S2" s="3" t="s">
        <v>14</v>
      </c>
      <c r="T2" s="3" t="s">
        <v>15</v>
      </c>
      <c r="U2" s="3" t="s">
        <v>16</v>
      </c>
      <c r="V2" s="3"/>
      <c r="W2" s="3" t="s">
        <v>19</v>
      </c>
      <c r="X2" s="3" t="s">
        <v>8</v>
      </c>
      <c r="Y2" s="3" t="s">
        <v>9</v>
      </c>
      <c r="Z2" s="3" t="s">
        <v>10</v>
      </c>
      <c r="AA2" s="3" t="s">
        <v>11</v>
      </c>
      <c r="AB2" s="3" t="s">
        <v>12</v>
      </c>
      <c r="AC2" s="3" t="s">
        <v>13</v>
      </c>
      <c r="AD2" s="3" t="s">
        <v>14</v>
      </c>
      <c r="AE2" s="3" t="s">
        <v>15</v>
      </c>
      <c r="AF2" s="3" t="s">
        <v>16</v>
      </c>
      <c r="AG2" s="3"/>
      <c r="AH2" s="3" t="s">
        <v>20</v>
      </c>
      <c r="AI2" s="3" t="s">
        <v>8</v>
      </c>
      <c r="AJ2" s="3" t="s">
        <v>9</v>
      </c>
      <c r="AK2" s="3" t="s">
        <v>10</v>
      </c>
      <c r="AL2" s="3" t="s">
        <v>11</v>
      </c>
      <c r="AM2" s="3" t="s">
        <v>12</v>
      </c>
      <c r="AN2" s="3" t="s">
        <v>13</v>
      </c>
      <c r="AO2" s="3" t="s">
        <v>14</v>
      </c>
      <c r="AP2" s="3" t="s">
        <v>15</v>
      </c>
      <c r="AQ2" s="3" t="s">
        <v>16</v>
      </c>
      <c r="AR2" s="3"/>
    </row>
    <row r="3" spans="1:44" x14ac:dyDescent="0.35">
      <c r="A3" s="3" t="s">
        <v>3399</v>
      </c>
      <c r="B3" s="3" t="s">
        <v>60</v>
      </c>
      <c r="C3" s="3" t="s">
        <v>3400</v>
      </c>
      <c r="D3" s="3" t="s">
        <v>1000</v>
      </c>
      <c r="E3" s="3" t="s">
        <v>223</v>
      </c>
      <c r="F3" s="16" t="s">
        <v>3401</v>
      </c>
      <c r="G3" s="3" t="s">
        <v>3402</v>
      </c>
      <c r="H3" s="3"/>
      <c r="I3" s="3"/>
      <c r="L3" s="4" t="s">
        <v>3403</v>
      </c>
      <c r="M3" s="4" t="b">
        <v>1</v>
      </c>
      <c r="N3" s="4" t="b">
        <v>1</v>
      </c>
      <c r="O3" s="4" t="b">
        <v>1</v>
      </c>
      <c r="P3" s="4" t="b">
        <v>1</v>
      </c>
      <c r="Q3" s="4" t="b">
        <v>1</v>
      </c>
      <c r="R3" s="3" t="b">
        <f t="shared" ref="R3:R43" si="0">IF(COUNTA(M3:Q3)=0, ,AND(AND(M3,N3,O3,P3),Q3))</f>
        <v>1</v>
      </c>
      <c r="S3" s="3" t="b">
        <f t="shared" ref="S3:S43" si="1">IF(COUNTA(M3:Q3)=0, ,AND(AND(M3,N3,O3,P3),NOT(Q3)))</f>
        <v>0</v>
      </c>
      <c r="T3" s="3" t="b">
        <f t="shared" ref="T3:T43" si="2">IF(COUNTA(M3:Q3)=0, ,AND(NOT(AND(M3,N3,O3,P3)),NOT(Q3)))</f>
        <v>0</v>
      </c>
      <c r="U3" s="3" t="b">
        <f t="shared" ref="U3:U43" si="3">IF(COUNTA(M3:Q3)=0, ,AND(NOT(AND(M3,N3,O3,P3)),Q3))</f>
        <v>0</v>
      </c>
      <c r="W3" s="4" t="s">
        <v>3403</v>
      </c>
      <c r="X3" s="4" t="b">
        <v>1</v>
      </c>
      <c r="Y3" s="4" t="b">
        <v>1</v>
      </c>
      <c r="Z3" s="4" t="b">
        <v>1</v>
      </c>
      <c r="AA3" s="4" t="b">
        <v>1</v>
      </c>
      <c r="AB3" s="4" t="b">
        <v>1</v>
      </c>
      <c r="AC3" s="3" t="b">
        <f t="shared" ref="AC3:AC43" si="4">IF(COUNTA(X3:AB3)=0, ,AND(AND(X3,Y3,Z3,AA3),AB3))</f>
        <v>1</v>
      </c>
      <c r="AD3" s="3" t="b">
        <f t="shared" ref="AD3:AD43" si="5">IF(COUNTA(X3:AB3)=0, ,AND(AND(X3,Y3,Z3,AA3),NOT(AB3)))</f>
        <v>0</v>
      </c>
      <c r="AE3" s="3" t="b">
        <f t="shared" ref="AE3:AE43" si="6">IF(COUNTA(X3:AB3)=0, ,AND(NOT(AND(X3,Y3,Z3,AA3)),NOT(AB3)))</f>
        <v>0</v>
      </c>
      <c r="AF3" s="3" t="b">
        <f t="shared" ref="AF3:AF43" si="7">IF(COUNTA(X3:AB3)=0, ,AND(NOT(AND(X3,Y3,Z3,AA3)),AB3))</f>
        <v>0</v>
      </c>
      <c r="AH3" s="4" t="s">
        <v>3403</v>
      </c>
      <c r="AI3" s="4" t="b">
        <v>1</v>
      </c>
      <c r="AJ3" s="4" t="b">
        <v>1</v>
      </c>
      <c r="AK3" s="4" t="b">
        <v>1</v>
      </c>
      <c r="AL3" s="4" t="b">
        <v>1</v>
      </c>
      <c r="AM3" s="4" t="b">
        <v>1</v>
      </c>
      <c r="AN3" s="3" t="b">
        <f t="shared" ref="AN3:AN43" si="8">IF(COUNTA(AI3:AM3)=0, ,AND(AND(AI3,AJ3,AK3,AL3),AM3))</f>
        <v>1</v>
      </c>
      <c r="AO3" s="3" t="b">
        <f t="shared" ref="AO3:AO43" si="9">IF(COUNTA(AI3:AM3)=0, ,AND(AND(AI3,AJ3,AK3,AL3),NOT(AM3)))</f>
        <v>0</v>
      </c>
      <c r="AP3" s="3" t="b">
        <f t="shared" ref="AP3:AP43" si="10">IF(COUNTA(AI3:AM3)=0, ,AND(NOT(AND(AI3,AJ3,AK3,AL3)),NOT(AM3)))</f>
        <v>0</v>
      </c>
      <c r="AQ3" s="3" t="b">
        <f t="shared" ref="AQ3:AQ43" si="11">IF(COUNTA(AI3:AM3)=0, ,AND(NOT(AND(AI3,AJ3,AK3,AL3)),AM3))</f>
        <v>0</v>
      </c>
      <c r="AR3" s="3"/>
    </row>
    <row r="4" spans="1:44" x14ac:dyDescent="0.35">
      <c r="B4" s="3"/>
      <c r="C4" s="3" t="s">
        <v>3404</v>
      </c>
      <c r="D4" s="3"/>
      <c r="E4" s="3"/>
      <c r="F4" s="3"/>
      <c r="G4" s="3" t="s">
        <v>3405</v>
      </c>
      <c r="H4" s="3"/>
      <c r="I4" s="3"/>
      <c r="L4" s="4" t="s">
        <v>3406</v>
      </c>
      <c r="M4" s="4" t="b">
        <v>1</v>
      </c>
      <c r="N4" s="4" t="b">
        <v>1</v>
      </c>
      <c r="O4" s="4" t="b">
        <v>1</v>
      </c>
      <c r="P4" s="4" t="b">
        <v>1</v>
      </c>
      <c r="Q4" s="4" t="b">
        <v>1</v>
      </c>
      <c r="R4" s="3" t="b">
        <f t="shared" si="0"/>
        <v>1</v>
      </c>
      <c r="S4" s="3" t="b">
        <f t="shared" si="1"/>
        <v>0</v>
      </c>
      <c r="T4" s="3" t="b">
        <f t="shared" si="2"/>
        <v>0</v>
      </c>
      <c r="U4" s="3" t="b">
        <f t="shared" si="3"/>
        <v>0</v>
      </c>
      <c r="W4" s="4" t="s">
        <v>3407</v>
      </c>
      <c r="X4" s="4" t="b">
        <v>1</v>
      </c>
      <c r="Y4" s="4" t="b">
        <v>1</v>
      </c>
      <c r="Z4" s="4" t="b">
        <v>0</v>
      </c>
      <c r="AA4" s="4" t="b">
        <v>1</v>
      </c>
      <c r="AB4" s="4" t="b">
        <v>0</v>
      </c>
      <c r="AC4" s="3" t="b">
        <f t="shared" si="4"/>
        <v>0</v>
      </c>
      <c r="AD4" s="3" t="b">
        <f t="shared" si="5"/>
        <v>0</v>
      </c>
      <c r="AE4" s="3" t="b">
        <f t="shared" si="6"/>
        <v>1</v>
      </c>
      <c r="AF4" s="3" t="b">
        <f t="shared" si="7"/>
        <v>0</v>
      </c>
      <c r="AH4" s="4" t="s">
        <v>3407</v>
      </c>
      <c r="AI4" s="4" t="b">
        <v>1</v>
      </c>
      <c r="AJ4" s="4" t="b">
        <v>1</v>
      </c>
      <c r="AK4" s="4" t="b">
        <v>0</v>
      </c>
      <c r="AL4" s="4" t="b">
        <v>1</v>
      </c>
      <c r="AM4" s="4" t="b">
        <v>0</v>
      </c>
      <c r="AN4" s="3" t="b">
        <f t="shared" si="8"/>
        <v>0</v>
      </c>
      <c r="AO4" s="3" t="b">
        <f t="shared" si="9"/>
        <v>0</v>
      </c>
      <c r="AP4" s="3" t="b">
        <f t="shared" si="10"/>
        <v>1</v>
      </c>
      <c r="AQ4" s="3" t="b">
        <f t="shared" si="11"/>
        <v>0</v>
      </c>
      <c r="AR4" s="3"/>
    </row>
    <row r="5" spans="1:44" x14ac:dyDescent="0.35">
      <c r="A5" s="3"/>
      <c r="B5" s="3"/>
      <c r="C5" s="3" t="s">
        <v>221</v>
      </c>
      <c r="D5" s="3"/>
      <c r="E5" s="3"/>
      <c r="F5" s="3"/>
      <c r="G5" s="3" t="s">
        <v>3408</v>
      </c>
      <c r="H5" s="3"/>
      <c r="I5" s="3"/>
      <c r="L5" s="4" t="s">
        <v>225</v>
      </c>
      <c r="M5" s="4" t="b">
        <v>1</v>
      </c>
      <c r="N5" s="4" t="b">
        <v>1</v>
      </c>
      <c r="O5" s="4" t="b">
        <v>1</v>
      </c>
      <c r="P5" s="4" t="b">
        <v>1</v>
      </c>
      <c r="Q5" s="4" t="b">
        <v>1</v>
      </c>
      <c r="R5" s="3" t="b">
        <f t="shared" si="0"/>
        <v>1</v>
      </c>
      <c r="S5" s="3" t="b">
        <f t="shared" si="1"/>
        <v>0</v>
      </c>
      <c r="T5" s="3" t="b">
        <f t="shared" si="2"/>
        <v>0</v>
      </c>
      <c r="U5" s="3" t="b">
        <f t="shared" si="3"/>
        <v>0</v>
      </c>
      <c r="W5" s="4" t="s">
        <v>225</v>
      </c>
      <c r="X5" s="4" t="b">
        <v>1</v>
      </c>
      <c r="Y5" s="4" t="b">
        <v>1</v>
      </c>
      <c r="Z5" s="4" t="b">
        <v>1</v>
      </c>
      <c r="AA5" s="4" t="b">
        <v>1</v>
      </c>
      <c r="AB5" s="4" t="b">
        <v>1</v>
      </c>
      <c r="AC5" s="3" t="b">
        <f t="shared" si="4"/>
        <v>1</v>
      </c>
      <c r="AD5" s="3" t="b">
        <f t="shared" si="5"/>
        <v>0</v>
      </c>
      <c r="AE5" s="3" t="b">
        <f t="shared" si="6"/>
        <v>0</v>
      </c>
      <c r="AF5" s="3" t="b">
        <f t="shared" si="7"/>
        <v>0</v>
      </c>
      <c r="AH5" s="4" t="s">
        <v>225</v>
      </c>
      <c r="AI5" s="4" t="b">
        <v>1</v>
      </c>
      <c r="AJ5" s="4" t="b">
        <v>1</v>
      </c>
      <c r="AK5" s="4" t="b">
        <v>1</v>
      </c>
      <c r="AL5" s="4" t="b">
        <v>1</v>
      </c>
      <c r="AM5" s="4" t="b">
        <v>1</v>
      </c>
      <c r="AN5" s="3" t="b">
        <f t="shared" si="8"/>
        <v>1</v>
      </c>
      <c r="AO5" s="3" t="b">
        <f t="shared" si="9"/>
        <v>0</v>
      </c>
      <c r="AP5" s="3" t="b">
        <f t="shared" si="10"/>
        <v>0</v>
      </c>
      <c r="AQ5" s="3" t="b">
        <f t="shared" si="11"/>
        <v>0</v>
      </c>
      <c r="AR5" s="3"/>
    </row>
    <row r="6" spans="1:44" x14ac:dyDescent="0.35">
      <c r="A6" s="3"/>
      <c r="B6" s="3" t="s">
        <v>162</v>
      </c>
      <c r="C6" s="3" t="s">
        <v>3409</v>
      </c>
      <c r="D6" s="3" t="s">
        <v>3410</v>
      </c>
      <c r="E6" s="3" t="s">
        <v>3411</v>
      </c>
      <c r="F6" s="3"/>
      <c r="G6" s="3" t="s">
        <v>3412</v>
      </c>
      <c r="H6" s="3"/>
      <c r="I6" s="3"/>
      <c r="L6" s="4" t="s">
        <v>3413</v>
      </c>
      <c r="M6" s="4" t="b">
        <v>1</v>
      </c>
      <c r="N6" s="4" t="b">
        <v>1</v>
      </c>
      <c r="O6" s="4" t="b">
        <v>1</v>
      </c>
      <c r="P6" s="4" t="b">
        <v>1</v>
      </c>
      <c r="Q6" s="4" t="b">
        <v>1</v>
      </c>
      <c r="R6" s="3" t="b">
        <f t="shared" si="0"/>
        <v>1</v>
      </c>
      <c r="S6" s="3" t="b">
        <f t="shared" si="1"/>
        <v>0</v>
      </c>
      <c r="T6" s="3" t="b">
        <f t="shared" si="2"/>
        <v>0</v>
      </c>
      <c r="U6" s="3" t="b">
        <f t="shared" si="3"/>
        <v>0</v>
      </c>
      <c r="W6" s="4" t="s">
        <v>3413</v>
      </c>
      <c r="X6" s="4" t="b">
        <v>1</v>
      </c>
      <c r="Y6" s="4" t="b">
        <v>1</v>
      </c>
      <c r="Z6" s="4" t="b">
        <v>1</v>
      </c>
      <c r="AA6" s="4" t="b">
        <v>1</v>
      </c>
      <c r="AB6" s="4" t="b">
        <v>1</v>
      </c>
      <c r="AC6" s="3" t="b">
        <f t="shared" si="4"/>
        <v>1</v>
      </c>
      <c r="AD6" s="3" t="b">
        <f t="shared" si="5"/>
        <v>0</v>
      </c>
      <c r="AE6" s="3" t="b">
        <f t="shared" si="6"/>
        <v>0</v>
      </c>
      <c r="AF6" s="3" t="b">
        <f t="shared" si="7"/>
        <v>0</v>
      </c>
      <c r="AH6" s="4" t="s">
        <v>3414</v>
      </c>
      <c r="AI6" s="4" t="b">
        <v>1</v>
      </c>
      <c r="AJ6" s="4" t="b">
        <v>1</v>
      </c>
      <c r="AK6" s="4" t="b">
        <v>1</v>
      </c>
      <c r="AL6" s="4" t="b">
        <v>1</v>
      </c>
      <c r="AM6" s="4" t="b">
        <v>1</v>
      </c>
      <c r="AN6" s="3" t="b">
        <f t="shared" si="8"/>
        <v>1</v>
      </c>
      <c r="AO6" s="3" t="b">
        <f t="shared" si="9"/>
        <v>0</v>
      </c>
      <c r="AP6" s="3" t="b">
        <f t="shared" si="10"/>
        <v>0</v>
      </c>
      <c r="AQ6" s="3" t="b">
        <f t="shared" si="11"/>
        <v>0</v>
      </c>
      <c r="AR6" s="3"/>
    </row>
    <row r="7" spans="1:44" x14ac:dyDescent="0.35">
      <c r="A7" s="3"/>
      <c r="B7" s="3"/>
      <c r="C7" s="3" t="s">
        <v>3415</v>
      </c>
      <c r="G7" s="3" t="s">
        <v>3416</v>
      </c>
      <c r="H7" s="3"/>
      <c r="I7" s="3"/>
      <c r="L7" s="4" t="s">
        <v>3417</v>
      </c>
      <c r="M7" s="4" t="b">
        <v>1</v>
      </c>
      <c r="N7" s="4" t="b">
        <v>1</v>
      </c>
      <c r="O7" s="4" t="b">
        <v>1</v>
      </c>
      <c r="P7" s="4" t="b">
        <v>1</v>
      </c>
      <c r="Q7" s="4" t="b">
        <v>1</v>
      </c>
      <c r="R7" s="3" t="b">
        <f t="shared" si="0"/>
        <v>1</v>
      </c>
      <c r="S7" s="3" t="b">
        <f t="shared" si="1"/>
        <v>0</v>
      </c>
      <c r="T7" s="3" t="b">
        <f t="shared" si="2"/>
        <v>0</v>
      </c>
      <c r="U7" s="3" t="b">
        <f t="shared" si="3"/>
        <v>0</v>
      </c>
      <c r="W7" s="4" t="s">
        <v>3417</v>
      </c>
      <c r="X7" s="4" t="b">
        <v>1</v>
      </c>
      <c r="Y7" s="4" t="b">
        <v>1</v>
      </c>
      <c r="Z7" s="4" t="b">
        <v>1</v>
      </c>
      <c r="AA7" s="4" t="b">
        <v>1</v>
      </c>
      <c r="AB7" s="4" t="b">
        <v>1</v>
      </c>
      <c r="AC7" s="3" t="b">
        <f t="shared" si="4"/>
        <v>1</v>
      </c>
      <c r="AD7" s="3" t="b">
        <f t="shared" si="5"/>
        <v>0</v>
      </c>
      <c r="AE7" s="3" t="b">
        <f t="shared" si="6"/>
        <v>0</v>
      </c>
      <c r="AF7" s="3" t="b">
        <f t="shared" si="7"/>
        <v>0</v>
      </c>
      <c r="AH7" s="4" t="s">
        <v>3417</v>
      </c>
      <c r="AI7" s="4" t="b">
        <v>1</v>
      </c>
      <c r="AJ7" s="4" t="b">
        <v>1</v>
      </c>
      <c r="AK7" s="4" t="b">
        <v>1</v>
      </c>
      <c r="AL7" s="4" t="b">
        <v>1</v>
      </c>
      <c r="AM7" s="4" t="b">
        <v>1</v>
      </c>
      <c r="AN7" s="3" t="b">
        <f t="shared" si="8"/>
        <v>1</v>
      </c>
      <c r="AO7" s="3" t="b">
        <f t="shared" si="9"/>
        <v>0</v>
      </c>
      <c r="AP7" s="3" t="b">
        <f t="shared" si="10"/>
        <v>0</v>
      </c>
      <c r="AQ7" s="3" t="b">
        <f t="shared" si="11"/>
        <v>0</v>
      </c>
      <c r="AR7" s="3"/>
    </row>
    <row r="8" spans="1:44" x14ac:dyDescent="0.35">
      <c r="A8" s="3"/>
      <c r="B8" s="3"/>
      <c r="C8" s="3" t="s">
        <v>3418</v>
      </c>
      <c r="D8" s="3"/>
      <c r="E8" s="3"/>
      <c r="F8" s="3"/>
      <c r="G8" s="3" t="s">
        <v>3419</v>
      </c>
      <c r="H8" s="3"/>
      <c r="I8" s="3"/>
      <c r="L8" s="4" t="s">
        <v>3420</v>
      </c>
      <c r="M8" s="4" t="b">
        <v>1</v>
      </c>
      <c r="N8" s="4" t="b">
        <v>1</v>
      </c>
      <c r="O8" s="4" t="b">
        <v>0</v>
      </c>
      <c r="P8" s="4" t="b">
        <v>1</v>
      </c>
      <c r="Q8" s="4" t="b">
        <v>1</v>
      </c>
      <c r="R8" s="3" t="b">
        <f t="shared" si="0"/>
        <v>0</v>
      </c>
      <c r="S8" s="3" t="b">
        <f t="shared" si="1"/>
        <v>0</v>
      </c>
      <c r="T8" s="3" t="b">
        <f t="shared" si="2"/>
        <v>0</v>
      </c>
      <c r="U8" s="3" t="b">
        <f t="shared" si="3"/>
        <v>1</v>
      </c>
      <c r="W8" s="4" t="s">
        <v>3420</v>
      </c>
      <c r="X8" s="4" t="b">
        <v>1</v>
      </c>
      <c r="Y8" s="4" t="b">
        <v>1</v>
      </c>
      <c r="Z8" s="4" t="b">
        <v>0</v>
      </c>
      <c r="AA8" s="4" t="b">
        <v>1</v>
      </c>
      <c r="AB8" s="4" t="b">
        <v>1</v>
      </c>
      <c r="AC8" s="3" t="b">
        <f t="shared" si="4"/>
        <v>0</v>
      </c>
      <c r="AD8" s="3" t="b">
        <f t="shared" si="5"/>
        <v>0</v>
      </c>
      <c r="AE8" s="3" t="b">
        <f t="shared" si="6"/>
        <v>0</v>
      </c>
      <c r="AF8" s="3" t="b">
        <f t="shared" si="7"/>
        <v>1</v>
      </c>
      <c r="AH8" s="4" t="s">
        <v>3420</v>
      </c>
      <c r="AI8" s="4" t="b">
        <v>1</v>
      </c>
      <c r="AJ8" s="4" t="b">
        <v>1</v>
      </c>
      <c r="AK8" s="4" t="b">
        <v>0</v>
      </c>
      <c r="AL8" s="4" t="b">
        <v>1</v>
      </c>
      <c r="AM8" s="4" t="b">
        <v>1</v>
      </c>
      <c r="AN8" s="3" t="b">
        <f t="shared" si="8"/>
        <v>0</v>
      </c>
      <c r="AO8" s="3" t="b">
        <f t="shared" si="9"/>
        <v>0</v>
      </c>
      <c r="AP8" s="3" t="b">
        <f t="shared" si="10"/>
        <v>0</v>
      </c>
      <c r="AQ8" s="3" t="b">
        <f t="shared" si="11"/>
        <v>1</v>
      </c>
      <c r="AR8" s="3"/>
    </row>
    <row r="9" spans="1:44" x14ac:dyDescent="0.35">
      <c r="A9" s="3"/>
      <c r="B9" s="3" t="s">
        <v>105</v>
      </c>
      <c r="C9" s="3" t="s">
        <v>3421</v>
      </c>
      <c r="D9" s="3"/>
      <c r="E9" s="3"/>
      <c r="F9" s="3"/>
      <c r="G9" s="3" t="s">
        <v>3422</v>
      </c>
      <c r="H9" s="3"/>
      <c r="I9" s="3"/>
      <c r="L9" s="4" t="s">
        <v>28</v>
      </c>
      <c r="M9" s="4" t="b">
        <v>1</v>
      </c>
      <c r="N9" s="4" t="b">
        <v>1</v>
      </c>
      <c r="O9" s="4" t="b">
        <v>1</v>
      </c>
      <c r="P9" s="4" t="b">
        <v>1</v>
      </c>
      <c r="Q9" s="4" t="b">
        <v>1</v>
      </c>
      <c r="R9" s="3" t="b">
        <f t="shared" si="0"/>
        <v>1</v>
      </c>
      <c r="S9" s="3" t="b">
        <f t="shared" si="1"/>
        <v>0</v>
      </c>
      <c r="T9" s="3" t="b">
        <f t="shared" si="2"/>
        <v>0</v>
      </c>
      <c r="U9" s="3" t="b">
        <f t="shared" si="3"/>
        <v>0</v>
      </c>
      <c r="W9" s="4" t="s">
        <v>28</v>
      </c>
      <c r="X9" s="4" t="b">
        <v>1</v>
      </c>
      <c r="Y9" s="4" t="b">
        <v>1</v>
      </c>
      <c r="Z9" s="4" t="b">
        <v>1</v>
      </c>
      <c r="AA9" s="4" t="b">
        <v>1</v>
      </c>
      <c r="AB9" s="4" t="b">
        <v>1</v>
      </c>
      <c r="AC9" s="3" t="b">
        <f t="shared" si="4"/>
        <v>1</v>
      </c>
      <c r="AD9" s="3" t="b">
        <f t="shared" si="5"/>
        <v>0</v>
      </c>
      <c r="AE9" s="3" t="b">
        <f t="shared" si="6"/>
        <v>0</v>
      </c>
      <c r="AF9" s="3" t="b">
        <f t="shared" si="7"/>
        <v>0</v>
      </c>
      <c r="AH9" s="4" t="s">
        <v>28</v>
      </c>
      <c r="AI9" s="4" t="b">
        <v>1</v>
      </c>
      <c r="AJ9" s="4" t="b">
        <v>1</v>
      </c>
      <c r="AK9" s="4" t="b">
        <v>1</v>
      </c>
      <c r="AL9" s="4" t="b">
        <v>1</v>
      </c>
      <c r="AM9" s="4" t="b">
        <v>1</v>
      </c>
      <c r="AN9" s="3" t="b">
        <f t="shared" si="8"/>
        <v>1</v>
      </c>
      <c r="AO9" s="3" t="b">
        <f t="shared" si="9"/>
        <v>0</v>
      </c>
      <c r="AP9" s="3" t="b">
        <f t="shared" si="10"/>
        <v>0</v>
      </c>
      <c r="AQ9" s="3" t="b">
        <f t="shared" si="11"/>
        <v>0</v>
      </c>
      <c r="AR9" s="3"/>
    </row>
    <row r="10" spans="1:44" x14ac:dyDescent="0.35">
      <c r="A10" s="3"/>
      <c r="B10" s="3" t="s">
        <v>261</v>
      </c>
      <c r="C10" s="3" t="s">
        <v>3423</v>
      </c>
      <c r="D10" s="3"/>
      <c r="E10" s="3"/>
      <c r="F10" s="3"/>
      <c r="G10" s="3" t="s">
        <v>3424</v>
      </c>
      <c r="H10" s="3"/>
      <c r="I10" s="3"/>
      <c r="L10" s="4" t="s">
        <v>3425</v>
      </c>
      <c r="M10" s="4" t="b">
        <v>1</v>
      </c>
      <c r="N10" s="4" t="b">
        <v>1</v>
      </c>
      <c r="O10" s="4" t="b">
        <v>1</v>
      </c>
      <c r="P10" s="4" t="b">
        <v>1</v>
      </c>
      <c r="Q10" s="4" t="b">
        <v>1</v>
      </c>
      <c r="R10" s="3" t="b">
        <f t="shared" si="0"/>
        <v>1</v>
      </c>
      <c r="S10" s="3" t="b">
        <f t="shared" si="1"/>
        <v>0</v>
      </c>
      <c r="T10" s="3" t="b">
        <f t="shared" si="2"/>
        <v>0</v>
      </c>
      <c r="U10" s="3" t="b">
        <f t="shared" si="3"/>
        <v>0</v>
      </c>
      <c r="W10" s="4" t="s">
        <v>3425</v>
      </c>
      <c r="X10" s="4" t="b">
        <v>1</v>
      </c>
      <c r="Y10" s="4" t="b">
        <v>1</v>
      </c>
      <c r="Z10" s="4" t="b">
        <v>1</v>
      </c>
      <c r="AA10" s="4" t="b">
        <v>1</v>
      </c>
      <c r="AB10" s="4" t="b">
        <v>1</v>
      </c>
      <c r="AC10" s="3" t="b">
        <f t="shared" si="4"/>
        <v>1</v>
      </c>
      <c r="AD10" s="3" t="b">
        <f t="shared" si="5"/>
        <v>0</v>
      </c>
      <c r="AE10" s="3" t="b">
        <f t="shared" si="6"/>
        <v>0</v>
      </c>
      <c r="AF10" s="3" t="b">
        <f t="shared" si="7"/>
        <v>0</v>
      </c>
      <c r="AH10" s="4" t="s">
        <v>3426</v>
      </c>
      <c r="AI10" s="4" t="b">
        <v>1</v>
      </c>
      <c r="AJ10" s="4" t="b">
        <v>0</v>
      </c>
      <c r="AK10" s="4" t="b">
        <v>0</v>
      </c>
      <c r="AL10" s="4" t="b">
        <v>1</v>
      </c>
      <c r="AM10" s="4" t="b">
        <v>0</v>
      </c>
      <c r="AN10" s="3" t="b">
        <f t="shared" si="8"/>
        <v>0</v>
      </c>
      <c r="AO10" s="3" t="b">
        <f t="shared" si="9"/>
        <v>0</v>
      </c>
      <c r="AP10" s="3" t="b">
        <f t="shared" si="10"/>
        <v>1</v>
      </c>
      <c r="AQ10" s="3" t="b">
        <f t="shared" si="11"/>
        <v>0</v>
      </c>
      <c r="AR10" s="3"/>
    </row>
    <row r="11" spans="1:44" x14ac:dyDescent="0.35">
      <c r="A11" s="3"/>
      <c r="C11" s="4" t="s">
        <v>3427</v>
      </c>
      <c r="D11" s="3"/>
      <c r="E11" s="3"/>
      <c r="F11" s="3"/>
      <c r="G11" s="3" t="s">
        <v>3428</v>
      </c>
      <c r="H11" s="3"/>
      <c r="I11" s="3"/>
      <c r="L11" s="4" t="s">
        <v>3429</v>
      </c>
      <c r="M11" s="4" t="b">
        <v>1</v>
      </c>
      <c r="N11" s="4" t="b">
        <v>1</v>
      </c>
      <c r="O11" s="4" t="b">
        <v>1</v>
      </c>
      <c r="P11" s="4" t="b">
        <v>1</v>
      </c>
      <c r="Q11" s="4" t="b">
        <v>1</v>
      </c>
      <c r="R11" s="3" t="b">
        <f t="shared" si="0"/>
        <v>1</v>
      </c>
      <c r="S11" s="3" t="b">
        <f t="shared" si="1"/>
        <v>0</v>
      </c>
      <c r="T11" s="3" t="b">
        <f t="shared" si="2"/>
        <v>0</v>
      </c>
      <c r="U11" s="3" t="b">
        <f t="shared" si="3"/>
        <v>0</v>
      </c>
      <c r="W11" s="4" t="s">
        <v>3429</v>
      </c>
      <c r="X11" s="4" t="b">
        <v>1</v>
      </c>
      <c r="Y11" s="4" t="b">
        <v>1</v>
      </c>
      <c r="Z11" s="4" t="b">
        <v>1</v>
      </c>
      <c r="AA11" s="4" t="b">
        <v>1</v>
      </c>
      <c r="AB11" s="4" t="b">
        <v>1</v>
      </c>
      <c r="AC11" s="3" t="b">
        <f t="shared" si="4"/>
        <v>1</v>
      </c>
      <c r="AD11" s="3" t="b">
        <f t="shared" si="5"/>
        <v>0</v>
      </c>
      <c r="AE11" s="3" t="b">
        <f t="shared" si="6"/>
        <v>0</v>
      </c>
      <c r="AF11" s="3" t="b">
        <f t="shared" si="7"/>
        <v>0</v>
      </c>
      <c r="AH11" s="4" t="s">
        <v>3429</v>
      </c>
      <c r="AI11" s="4" t="b">
        <v>1</v>
      </c>
      <c r="AJ11" s="4" t="b">
        <v>1</v>
      </c>
      <c r="AK11" s="4" t="b">
        <v>1</v>
      </c>
      <c r="AL11" s="4" t="b">
        <v>1</v>
      </c>
      <c r="AM11" s="4" t="b">
        <v>1</v>
      </c>
      <c r="AN11" s="3" t="b">
        <f t="shared" si="8"/>
        <v>1</v>
      </c>
      <c r="AO11" s="3" t="b">
        <f t="shared" si="9"/>
        <v>0</v>
      </c>
      <c r="AP11" s="3" t="b">
        <f t="shared" si="10"/>
        <v>0</v>
      </c>
      <c r="AQ11" s="3" t="b">
        <f t="shared" si="11"/>
        <v>0</v>
      </c>
      <c r="AR11" s="3"/>
    </row>
    <row r="12" spans="1:44" x14ac:dyDescent="0.35">
      <c r="A12" s="3"/>
      <c r="C12" s="4" t="s">
        <v>3430</v>
      </c>
      <c r="D12" s="3"/>
      <c r="E12" s="3"/>
      <c r="F12" s="3"/>
      <c r="G12" s="3" t="s">
        <v>3431</v>
      </c>
      <c r="H12" s="3"/>
      <c r="I12" s="3"/>
      <c r="L12" s="4" t="s">
        <v>3432</v>
      </c>
      <c r="M12" s="4" t="b">
        <v>1</v>
      </c>
      <c r="N12" s="4" t="b">
        <v>1</v>
      </c>
      <c r="O12" s="4" t="b">
        <v>1</v>
      </c>
      <c r="P12" s="4" t="b">
        <v>1</v>
      </c>
      <c r="Q12" s="4" t="b">
        <v>1</v>
      </c>
      <c r="R12" s="3" t="b">
        <f t="shared" si="0"/>
        <v>1</v>
      </c>
      <c r="S12" s="3" t="b">
        <f t="shared" si="1"/>
        <v>0</v>
      </c>
      <c r="T12" s="3" t="b">
        <f t="shared" si="2"/>
        <v>0</v>
      </c>
      <c r="U12" s="3" t="b">
        <f t="shared" si="3"/>
        <v>0</v>
      </c>
      <c r="W12" s="4" t="s">
        <v>3432</v>
      </c>
      <c r="X12" s="4" t="b">
        <v>1</v>
      </c>
      <c r="Y12" s="4" t="b">
        <v>1</v>
      </c>
      <c r="Z12" s="4" t="b">
        <v>1</v>
      </c>
      <c r="AA12" s="4" t="b">
        <v>1</v>
      </c>
      <c r="AB12" s="4" t="b">
        <v>1</v>
      </c>
      <c r="AC12" s="3" t="b">
        <f t="shared" si="4"/>
        <v>1</v>
      </c>
      <c r="AD12" s="3" t="b">
        <f t="shared" si="5"/>
        <v>0</v>
      </c>
      <c r="AE12" s="3" t="b">
        <f t="shared" si="6"/>
        <v>0</v>
      </c>
      <c r="AF12" s="3" t="b">
        <f t="shared" si="7"/>
        <v>0</v>
      </c>
      <c r="AH12" s="4" t="s">
        <v>3432</v>
      </c>
      <c r="AI12" s="4" t="b">
        <v>1</v>
      </c>
      <c r="AJ12" s="4" t="b">
        <v>1</v>
      </c>
      <c r="AK12" s="4" t="b">
        <v>1</v>
      </c>
      <c r="AL12" s="4" t="b">
        <v>1</v>
      </c>
      <c r="AM12" s="4" t="b">
        <v>1</v>
      </c>
      <c r="AN12" s="3" t="b">
        <f t="shared" si="8"/>
        <v>1</v>
      </c>
      <c r="AO12" s="3" t="b">
        <f t="shared" si="9"/>
        <v>0</v>
      </c>
      <c r="AP12" s="3" t="b">
        <f t="shared" si="10"/>
        <v>0</v>
      </c>
      <c r="AQ12" s="3" t="b">
        <f t="shared" si="11"/>
        <v>0</v>
      </c>
      <c r="AR12" s="3"/>
    </row>
    <row r="13" spans="1:44" x14ac:dyDescent="0.35">
      <c r="A13" s="3"/>
      <c r="B13" s="3" t="s">
        <v>263</v>
      </c>
      <c r="C13" s="3" t="s">
        <v>3423</v>
      </c>
      <c r="D13" s="3"/>
      <c r="E13" s="3"/>
      <c r="F13" s="3"/>
      <c r="G13" s="3" t="s">
        <v>3424</v>
      </c>
      <c r="H13" s="3"/>
      <c r="I13" s="3"/>
      <c r="L13" s="4" t="s">
        <v>3426</v>
      </c>
      <c r="M13" s="4" t="b">
        <v>1</v>
      </c>
      <c r="N13" s="4" t="b">
        <v>0</v>
      </c>
      <c r="O13" s="4" t="b">
        <v>0</v>
      </c>
      <c r="P13" s="4" t="b">
        <v>1</v>
      </c>
      <c r="Q13" s="4" t="b">
        <v>0</v>
      </c>
      <c r="R13" s="3" t="b">
        <f t="shared" si="0"/>
        <v>0</v>
      </c>
      <c r="S13" s="3" t="b">
        <f t="shared" si="1"/>
        <v>0</v>
      </c>
      <c r="T13" s="3" t="b">
        <f t="shared" si="2"/>
        <v>1</v>
      </c>
      <c r="U13" s="3" t="b">
        <f t="shared" si="3"/>
        <v>0</v>
      </c>
      <c r="W13" s="4" t="s">
        <v>3426</v>
      </c>
      <c r="X13" s="4" t="b">
        <v>1</v>
      </c>
      <c r="Y13" s="4" t="b">
        <v>0</v>
      </c>
      <c r="Z13" s="4" t="b">
        <v>0</v>
      </c>
      <c r="AA13" s="4" t="b">
        <v>1</v>
      </c>
      <c r="AB13" s="4" t="b">
        <v>0</v>
      </c>
      <c r="AC13" s="3" t="b">
        <f t="shared" si="4"/>
        <v>0</v>
      </c>
      <c r="AD13" s="3" t="b">
        <f t="shared" si="5"/>
        <v>0</v>
      </c>
      <c r="AE13" s="3" t="b">
        <f t="shared" si="6"/>
        <v>1</v>
      </c>
      <c r="AF13" s="3" t="b">
        <f t="shared" si="7"/>
        <v>0</v>
      </c>
      <c r="AH13" s="4" t="s">
        <v>3433</v>
      </c>
      <c r="AI13" s="4" t="b">
        <v>1</v>
      </c>
      <c r="AJ13" s="4" t="b">
        <v>0</v>
      </c>
      <c r="AK13" s="4" t="b">
        <v>0</v>
      </c>
      <c r="AL13" s="4" t="b">
        <v>1</v>
      </c>
      <c r="AM13" s="4" t="b">
        <v>0</v>
      </c>
      <c r="AN13" s="3" t="b">
        <f t="shared" si="8"/>
        <v>0</v>
      </c>
      <c r="AO13" s="3" t="b">
        <f t="shared" si="9"/>
        <v>0</v>
      </c>
      <c r="AP13" s="3" t="b">
        <f t="shared" si="10"/>
        <v>1</v>
      </c>
      <c r="AQ13" s="3" t="b">
        <f t="shared" si="11"/>
        <v>0</v>
      </c>
      <c r="AR13" s="3"/>
    </row>
    <row r="14" spans="1:44" x14ac:dyDescent="0.35">
      <c r="A14" s="3"/>
      <c r="B14" s="3"/>
      <c r="C14" s="3" t="s">
        <v>3434</v>
      </c>
      <c r="D14" s="3"/>
      <c r="E14" s="3"/>
      <c r="F14" s="3"/>
      <c r="G14" s="3" t="s">
        <v>3435</v>
      </c>
      <c r="H14" s="3"/>
      <c r="I14" s="3"/>
      <c r="L14" s="4" t="s">
        <v>3436</v>
      </c>
      <c r="M14" s="4" t="b">
        <v>1</v>
      </c>
      <c r="N14" s="4" t="b">
        <v>1</v>
      </c>
      <c r="O14" s="4" t="b">
        <v>1</v>
      </c>
      <c r="P14" s="4" t="b">
        <v>1</v>
      </c>
      <c r="Q14" s="4" t="b">
        <v>1</v>
      </c>
      <c r="R14" s="3" t="b">
        <f t="shared" si="0"/>
        <v>1</v>
      </c>
      <c r="S14" s="3" t="b">
        <f t="shared" si="1"/>
        <v>0</v>
      </c>
      <c r="T14" s="3" t="b">
        <f t="shared" si="2"/>
        <v>0</v>
      </c>
      <c r="U14" s="3" t="b">
        <f t="shared" si="3"/>
        <v>0</v>
      </c>
      <c r="W14" s="4" t="s">
        <v>3436</v>
      </c>
      <c r="X14" s="4" t="b">
        <v>1</v>
      </c>
      <c r="Y14" s="4" t="b">
        <v>1</v>
      </c>
      <c r="Z14" s="4" t="b">
        <v>1</v>
      </c>
      <c r="AA14" s="4" t="b">
        <v>1</v>
      </c>
      <c r="AB14" s="4" t="b">
        <v>1</v>
      </c>
      <c r="AC14" s="3" t="b">
        <f t="shared" si="4"/>
        <v>1</v>
      </c>
      <c r="AD14" s="3" t="b">
        <f t="shared" si="5"/>
        <v>0</v>
      </c>
      <c r="AE14" s="3" t="b">
        <f t="shared" si="6"/>
        <v>0</v>
      </c>
      <c r="AF14" s="3" t="b">
        <f t="shared" si="7"/>
        <v>0</v>
      </c>
      <c r="AH14" s="4" t="s">
        <v>3436</v>
      </c>
      <c r="AI14" s="4" t="b">
        <v>1</v>
      </c>
      <c r="AJ14" s="4" t="b">
        <v>1</v>
      </c>
      <c r="AK14" s="4" t="b">
        <v>1</v>
      </c>
      <c r="AL14" s="4" t="b">
        <v>1</v>
      </c>
      <c r="AM14" s="4" t="b">
        <v>1</v>
      </c>
      <c r="AN14" s="3" t="b">
        <f t="shared" si="8"/>
        <v>1</v>
      </c>
      <c r="AO14" s="3" t="b">
        <f t="shared" si="9"/>
        <v>0</v>
      </c>
      <c r="AP14" s="3" t="b">
        <f t="shared" si="10"/>
        <v>0</v>
      </c>
      <c r="AQ14" s="3" t="b">
        <f t="shared" si="11"/>
        <v>0</v>
      </c>
      <c r="AR14" s="3"/>
    </row>
    <row r="15" spans="1:44" x14ac:dyDescent="0.35">
      <c r="A15" s="3"/>
      <c r="B15" s="3"/>
      <c r="C15" s="3" t="s">
        <v>3430</v>
      </c>
      <c r="D15" s="3"/>
      <c r="E15" s="3"/>
      <c r="F15" s="3"/>
      <c r="G15" s="3" t="s">
        <v>3431</v>
      </c>
      <c r="H15" s="3"/>
      <c r="I15" s="3"/>
      <c r="L15" s="4" t="s">
        <v>3432</v>
      </c>
      <c r="M15" s="4" t="b">
        <v>1</v>
      </c>
      <c r="N15" s="4" t="b">
        <v>1</v>
      </c>
      <c r="O15" s="4" t="b">
        <v>1</v>
      </c>
      <c r="P15" s="4" t="b">
        <v>1</v>
      </c>
      <c r="Q15" s="4" t="b">
        <v>1</v>
      </c>
      <c r="R15" s="3" t="b">
        <f t="shared" si="0"/>
        <v>1</v>
      </c>
      <c r="S15" s="3" t="b">
        <f t="shared" si="1"/>
        <v>0</v>
      </c>
      <c r="T15" s="3" t="b">
        <f t="shared" si="2"/>
        <v>0</v>
      </c>
      <c r="U15" s="3" t="b">
        <f t="shared" si="3"/>
        <v>0</v>
      </c>
      <c r="W15" s="4" t="s">
        <v>3432</v>
      </c>
      <c r="X15" s="4" t="b">
        <v>1</v>
      </c>
      <c r="Y15" s="4" t="b">
        <v>1</v>
      </c>
      <c r="Z15" s="4" t="b">
        <v>1</v>
      </c>
      <c r="AA15" s="4" t="b">
        <v>1</v>
      </c>
      <c r="AB15" s="4" t="b">
        <v>1</v>
      </c>
      <c r="AC15" s="3" t="b">
        <f t="shared" si="4"/>
        <v>1</v>
      </c>
      <c r="AD15" s="3" t="b">
        <f t="shared" si="5"/>
        <v>0</v>
      </c>
      <c r="AE15" s="3" t="b">
        <f t="shared" si="6"/>
        <v>0</v>
      </c>
      <c r="AF15" s="3" t="b">
        <f t="shared" si="7"/>
        <v>0</v>
      </c>
      <c r="AH15" s="4" t="s">
        <v>3432</v>
      </c>
      <c r="AI15" s="4" t="b">
        <v>1</v>
      </c>
      <c r="AJ15" s="4" t="b">
        <v>1</v>
      </c>
      <c r="AK15" s="4" t="b">
        <v>1</v>
      </c>
      <c r="AL15" s="4" t="b">
        <v>1</v>
      </c>
      <c r="AM15" s="4" t="b">
        <v>1</v>
      </c>
      <c r="AN15" s="3" t="b">
        <f t="shared" si="8"/>
        <v>1</v>
      </c>
      <c r="AO15" s="3" t="b">
        <f t="shared" si="9"/>
        <v>0</v>
      </c>
      <c r="AP15" s="3" t="b">
        <f t="shared" si="10"/>
        <v>0</v>
      </c>
      <c r="AQ15" s="3" t="b">
        <f t="shared" si="11"/>
        <v>0</v>
      </c>
      <c r="AR15" s="3"/>
    </row>
    <row r="16" spans="1:44" x14ac:dyDescent="0.35">
      <c r="A16" s="3"/>
      <c r="B16" s="3"/>
      <c r="C16" s="3"/>
      <c r="D16" s="3"/>
      <c r="E16" s="3"/>
      <c r="F16" s="3"/>
      <c r="G16" s="3"/>
      <c r="H16" s="3"/>
      <c r="I16" s="3"/>
      <c r="R16" s="3">
        <f t="shared" si="0"/>
        <v>0</v>
      </c>
      <c r="S16" s="3">
        <f t="shared" si="1"/>
        <v>0</v>
      </c>
      <c r="T16" s="3">
        <f t="shared" si="2"/>
        <v>0</v>
      </c>
      <c r="U16" s="3">
        <f t="shared" si="3"/>
        <v>0</v>
      </c>
      <c r="AC16" s="3">
        <f t="shared" si="4"/>
        <v>0</v>
      </c>
      <c r="AD16" s="3">
        <f t="shared" si="5"/>
        <v>0</v>
      </c>
      <c r="AE16" s="3">
        <f t="shared" si="6"/>
        <v>0</v>
      </c>
      <c r="AF16" s="3">
        <f t="shared" si="7"/>
        <v>0</v>
      </c>
      <c r="AN16" s="3">
        <f t="shared" si="8"/>
        <v>0</v>
      </c>
      <c r="AO16" s="3">
        <f t="shared" si="9"/>
        <v>0</v>
      </c>
      <c r="AP16" s="3">
        <f t="shared" si="10"/>
        <v>0</v>
      </c>
      <c r="AQ16" s="3">
        <f t="shared" si="11"/>
        <v>0</v>
      </c>
      <c r="AR16" s="3"/>
    </row>
    <row r="17" spans="1:44" x14ac:dyDescent="0.35">
      <c r="A17" s="3" t="s">
        <v>3437</v>
      </c>
      <c r="B17" s="3" t="s">
        <v>3438</v>
      </c>
      <c r="C17" s="3" t="s">
        <v>3439</v>
      </c>
      <c r="D17" s="3" t="s">
        <v>3440</v>
      </c>
      <c r="E17" s="3" t="s">
        <v>3441</v>
      </c>
      <c r="F17" s="16" t="s">
        <v>3442</v>
      </c>
      <c r="G17" s="3" t="s">
        <v>3443</v>
      </c>
      <c r="H17" s="3"/>
      <c r="I17" s="3"/>
      <c r="L17" s="4" t="s">
        <v>3444</v>
      </c>
      <c r="M17" s="4" t="b">
        <v>1</v>
      </c>
      <c r="N17" s="4" t="b">
        <v>1</v>
      </c>
      <c r="O17" s="4" t="b">
        <v>1</v>
      </c>
      <c r="P17" s="4" t="b">
        <v>1</v>
      </c>
      <c r="Q17" s="4" t="b">
        <v>1</v>
      </c>
      <c r="R17" s="3" t="b">
        <f t="shared" si="0"/>
        <v>1</v>
      </c>
      <c r="S17" s="3" t="b">
        <f t="shared" si="1"/>
        <v>0</v>
      </c>
      <c r="T17" s="3" t="b">
        <f t="shared" si="2"/>
        <v>0</v>
      </c>
      <c r="U17" s="3" t="b">
        <f t="shared" si="3"/>
        <v>0</v>
      </c>
      <c r="W17" s="4" t="s">
        <v>3444</v>
      </c>
      <c r="X17" s="4" t="b">
        <v>1</v>
      </c>
      <c r="Y17" s="4" t="b">
        <v>1</v>
      </c>
      <c r="Z17" s="4" t="b">
        <v>1</v>
      </c>
      <c r="AA17" s="4" t="b">
        <v>1</v>
      </c>
      <c r="AB17" s="4" t="b">
        <v>1</v>
      </c>
      <c r="AC17" s="3" t="b">
        <f t="shared" si="4"/>
        <v>1</v>
      </c>
      <c r="AD17" s="3" t="b">
        <f t="shared" si="5"/>
        <v>0</v>
      </c>
      <c r="AE17" s="3" t="b">
        <f t="shared" si="6"/>
        <v>0</v>
      </c>
      <c r="AF17" s="3" t="b">
        <f t="shared" si="7"/>
        <v>0</v>
      </c>
      <c r="AH17" s="4" t="s">
        <v>3444</v>
      </c>
      <c r="AI17" s="4" t="b">
        <v>1</v>
      </c>
      <c r="AJ17" s="4" t="b">
        <v>1</v>
      </c>
      <c r="AK17" s="4" t="b">
        <v>1</v>
      </c>
      <c r="AL17" s="4" t="b">
        <v>1</v>
      </c>
      <c r="AM17" s="4" t="b">
        <v>1</v>
      </c>
      <c r="AN17" s="3" t="b">
        <f t="shared" si="8"/>
        <v>1</v>
      </c>
      <c r="AO17" s="3" t="b">
        <f t="shared" si="9"/>
        <v>0</v>
      </c>
      <c r="AP17" s="3" t="b">
        <f t="shared" si="10"/>
        <v>0</v>
      </c>
      <c r="AQ17" s="3" t="b">
        <f t="shared" si="11"/>
        <v>0</v>
      </c>
      <c r="AR17" s="3"/>
    </row>
    <row r="18" spans="1:44" x14ac:dyDescent="0.35">
      <c r="A18" s="3"/>
      <c r="B18" s="3"/>
      <c r="C18" s="3" t="s">
        <v>3445</v>
      </c>
      <c r="D18" s="3"/>
      <c r="E18" s="3"/>
      <c r="F18" s="3"/>
      <c r="G18" s="3" t="s">
        <v>3446</v>
      </c>
      <c r="H18" s="3"/>
      <c r="I18" s="3"/>
      <c r="L18" s="4" t="s">
        <v>3447</v>
      </c>
      <c r="M18" s="4" t="b">
        <v>1</v>
      </c>
      <c r="N18" s="4" t="b">
        <v>1</v>
      </c>
      <c r="O18" s="4" t="b">
        <v>1</v>
      </c>
      <c r="P18" s="4" t="b">
        <v>1</v>
      </c>
      <c r="Q18" s="4" t="b">
        <v>1</v>
      </c>
      <c r="R18" s="3" t="b">
        <f t="shared" si="0"/>
        <v>1</v>
      </c>
      <c r="S18" s="3" t="b">
        <f t="shared" si="1"/>
        <v>0</v>
      </c>
      <c r="T18" s="3" t="b">
        <f t="shared" si="2"/>
        <v>0</v>
      </c>
      <c r="U18" s="3" t="b">
        <f t="shared" si="3"/>
        <v>0</v>
      </c>
      <c r="W18" s="4" t="s">
        <v>3447</v>
      </c>
      <c r="X18" s="4" t="b">
        <v>1</v>
      </c>
      <c r="Y18" s="4" t="b">
        <v>1</v>
      </c>
      <c r="Z18" s="4" t="b">
        <v>1</v>
      </c>
      <c r="AA18" s="4" t="b">
        <v>1</v>
      </c>
      <c r="AB18" s="4" t="b">
        <v>1</v>
      </c>
      <c r="AC18" s="3" t="b">
        <f t="shared" si="4"/>
        <v>1</v>
      </c>
      <c r="AD18" s="3" t="b">
        <f t="shared" si="5"/>
        <v>0</v>
      </c>
      <c r="AE18" s="3" t="b">
        <f t="shared" si="6"/>
        <v>0</v>
      </c>
      <c r="AF18" s="3" t="b">
        <f t="shared" si="7"/>
        <v>0</v>
      </c>
      <c r="AH18" s="4" t="s">
        <v>3447</v>
      </c>
      <c r="AI18" s="4" t="b">
        <v>1</v>
      </c>
      <c r="AJ18" s="4" t="b">
        <v>1</v>
      </c>
      <c r="AK18" s="4" t="b">
        <v>1</v>
      </c>
      <c r="AL18" s="4" t="b">
        <v>1</v>
      </c>
      <c r="AM18" s="4" t="b">
        <v>1</v>
      </c>
      <c r="AN18" s="3" t="b">
        <f t="shared" si="8"/>
        <v>1</v>
      </c>
      <c r="AO18" s="3" t="b">
        <f t="shared" si="9"/>
        <v>0</v>
      </c>
      <c r="AP18" s="3" t="b">
        <f t="shared" si="10"/>
        <v>0</v>
      </c>
      <c r="AQ18" s="3" t="b">
        <f t="shared" si="11"/>
        <v>0</v>
      </c>
      <c r="AR18" s="3"/>
    </row>
    <row r="19" spans="1:44" x14ac:dyDescent="0.35">
      <c r="A19" s="3"/>
      <c r="B19" s="3"/>
      <c r="C19" s="3" t="s">
        <v>3448</v>
      </c>
      <c r="D19" s="3"/>
      <c r="E19" s="3"/>
      <c r="F19" s="3"/>
      <c r="G19" s="3" t="s">
        <v>3449</v>
      </c>
      <c r="H19" s="3"/>
      <c r="I19" s="3"/>
      <c r="L19" s="4" t="s">
        <v>3450</v>
      </c>
      <c r="M19" s="4" t="b">
        <v>1</v>
      </c>
      <c r="N19" s="4" t="b">
        <v>1</v>
      </c>
      <c r="O19" s="4" t="b">
        <v>1</v>
      </c>
      <c r="P19" s="4" t="b">
        <v>1</v>
      </c>
      <c r="Q19" s="4" t="b">
        <v>1</v>
      </c>
      <c r="R19" s="3" t="b">
        <f t="shared" si="0"/>
        <v>1</v>
      </c>
      <c r="S19" s="3" t="b">
        <f t="shared" si="1"/>
        <v>0</v>
      </c>
      <c r="T19" s="3" t="b">
        <f t="shared" si="2"/>
        <v>0</v>
      </c>
      <c r="U19" s="3" t="b">
        <f t="shared" si="3"/>
        <v>0</v>
      </c>
      <c r="W19" s="4" t="s">
        <v>3450</v>
      </c>
      <c r="X19" s="4" t="b">
        <v>1</v>
      </c>
      <c r="Y19" s="4" t="b">
        <v>1</v>
      </c>
      <c r="Z19" s="4" t="b">
        <v>1</v>
      </c>
      <c r="AA19" s="4" t="b">
        <v>1</v>
      </c>
      <c r="AB19" s="4" t="b">
        <v>1</v>
      </c>
      <c r="AC19" s="3" t="b">
        <f t="shared" si="4"/>
        <v>1</v>
      </c>
      <c r="AD19" s="3" t="b">
        <f t="shared" si="5"/>
        <v>0</v>
      </c>
      <c r="AE19" s="3" t="b">
        <f t="shared" si="6"/>
        <v>0</v>
      </c>
      <c r="AF19" s="3" t="b">
        <f t="shared" si="7"/>
        <v>0</v>
      </c>
      <c r="AH19" s="4" t="s">
        <v>3450</v>
      </c>
      <c r="AI19" s="4" t="b">
        <v>1</v>
      </c>
      <c r="AJ19" s="4" t="b">
        <v>1</v>
      </c>
      <c r="AK19" s="4" t="b">
        <v>1</v>
      </c>
      <c r="AL19" s="4" t="b">
        <v>1</v>
      </c>
      <c r="AM19" s="4" t="b">
        <v>1</v>
      </c>
      <c r="AN19" s="3" t="b">
        <f t="shared" si="8"/>
        <v>1</v>
      </c>
      <c r="AO19" s="3" t="b">
        <f t="shared" si="9"/>
        <v>0</v>
      </c>
      <c r="AP19" s="3" t="b">
        <f t="shared" si="10"/>
        <v>0</v>
      </c>
      <c r="AQ19" s="3" t="b">
        <f t="shared" si="11"/>
        <v>0</v>
      </c>
      <c r="AR19" s="3"/>
    </row>
    <row r="20" spans="1:44" x14ac:dyDescent="0.35">
      <c r="A20" s="3"/>
      <c r="C20" s="4" t="s">
        <v>759</v>
      </c>
      <c r="G20" s="4" t="s">
        <v>3451</v>
      </c>
      <c r="H20" s="4"/>
      <c r="I20" s="4"/>
      <c r="L20" s="4" t="s">
        <v>1503</v>
      </c>
      <c r="M20" s="4" t="b">
        <v>1</v>
      </c>
      <c r="N20" s="4" t="b">
        <v>1</v>
      </c>
      <c r="O20" s="4" t="b">
        <v>1</v>
      </c>
      <c r="P20" s="4" t="b">
        <v>1</v>
      </c>
      <c r="Q20" s="4" t="b">
        <v>1</v>
      </c>
      <c r="R20" s="3" t="b">
        <f t="shared" si="0"/>
        <v>1</v>
      </c>
      <c r="S20" s="3" t="b">
        <f t="shared" si="1"/>
        <v>0</v>
      </c>
      <c r="T20" s="3" t="b">
        <f t="shared" si="2"/>
        <v>0</v>
      </c>
      <c r="U20" s="3" t="b">
        <f t="shared" si="3"/>
        <v>0</v>
      </c>
      <c r="W20" s="4" t="s">
        <v>1503</v>
      </c>
      <c r="X20" s="4" t="b">
        <v>1</v>
      </c>
      <c r="Y20" s="4" t="b">
        <v>1</v>
      </c>
      <c r="Z20" s="4" t="b">
        <v>1</v>
      </c>
      <c r="AA20" s="4" t="b">
        <v>1</v>
      </c>
      <c r="AB20" s="4" t="b">
        <v>1</v>
      </c>
      <c r="AC20" s="3" t="b">
        <f t="shared" si="4"/>
        <v>1</v>
      </c>
      <c r="AD20" s="3" t="b">
        <f t="shared" si="5"/>
        <v>0</v>
      </c>
      <c r="AE20" s="3" t="b">
        <f t="shared" si="6"/>
        <v>0</v>
      </c>
      <c r="AF20" s="3" t="b">
        <f t="shared" si="7"/>
        <v>0</v>
      </c>
      <c r="AH20" s="4" t="s">
        <v>1503</v>
      </c>
      <c r="AI20" s="4" t="b">
        <v>1</v>
      </c>
      <c r="AJ20" s="4" t="b">
        <v>1</v>
      </c>
      <c r="AK20" s="4" t="b">
        <v>1</v>
      </c>
      <c r="AL20" s="4" t="b">
        <v>1</v>
      </c>
      <c r="AM20" s="4" t="b">
        <v>1</v>
      </c>
      <c r="AN20" s="3" t="b">
        <f t="shared" si="8"/>
        <v>1</v>
      </c>
      <c r="AO20" s="3" t="b">
        <f t="shared" si="9"/>
        <v>0</v>
      </c>
      <c r="AP20" s="3" t="b">
        <f t="shared" si="10"/>
        <v>0</v>
      </c>
      <c r="AQ20" s="3" t="b">
        <f t="shared" si="11"/>
        <v>0</v>
      </c>
      <c r="AR20" s="3"/>
    </row>
    <row r="21" spans="1:44" x14ac:dyDescent="0.35">
      <c r="A21" s="3"/>
      <c r="B21" s="3" t="s">
        <v>3452</v>
      </c>
      <c r="C21" s="3" t="s">
        <v>3453</v>
      </c>
      <c r="D21" s="3" t="s">
        <v>3454</v>
      </c>
      <c r="E21" s="3" t="s">
        <v>3455</v>
      </c>
      <c r="F21" s="3"/>
      <c r="G21" s="3" t="s">
        <v>3456</v>
      </c>
      <c r="H21" s="3"/>
      <c r="I21" s="3"/>
      <c r="L21" s="4" t="s">
        <v>3457</v>
      </c>
      <c r="M21" s="4" t="b">
        <v>1</v>
      </c>
      <c r="N21" s="4" t="b">
        <v>1</v>
      </c>
      <c r="O21" s="4" t="b">
        <v>1</v>
      </c>
      <c r="P21" s="4" t="b">
        <v>1</v>
      </c>
      <c r="Q21" s="4" t="b">
        <v>1</v>
      </c>
      <c r="R21" s="3" t="b">
        <f t="shared" si="0"/>
        <v>1</v>
      </c>
      <c r="S21" s="3" t="b">
        <f t="shared" si="1"/>
        <v>0</v>
      </c>
      <c r="T21" s="3" t="b">
        <f t="shared" si="2"/>
        <v>0</v>
      </c>
      <c r="U21" s="3" t="b">
        <f t="shared" si="3"/>
        <v>0</v>
      </c>
      <c r="W21" s="4" t="s">
        <v>3458</v>
      </c>
      <c r="X21" s="4" t="b">
        <v>1</v>
      </c>
      <c r="Y21" s="4" t="b">
        <v>0</v>
      </c>
      <c r="Z21" s="4" t="b">
        <v>0</v>
      </c>
      <c r="AA21" s="4" t="b">
        <v>0</v>
      </c>
      <c r="AB21" s="4" t="b">
        <v>0</v>
      </c>
      <c r="AC21" s="3" t="b">
        <f t="shared" si="4"/>
        <v>0</v>
      </c>
      <c r="AD21" s="3" t="b">
        <f t="shared" si="5"/>
        <v>0</v>
      </c>
      <c r="AE21" s="3" t="b">
        <f t="shared" si="6"/>
        <v>1</v>
      </c>
      <c r="AF21" s="3" t="b">
        <f t="shared" si="7"/>
        <v>0</v>
      </c>
      <c r="AH21" s="4" t="s">
        <v>3457</v>
      </c>
      <c r="AI21" s="4" t="b">
        <v>1</v>
      </c>
      <c r="AJ21" s="4" t="b">
        <v>1</v>
      </c>
      <c r="AK21" s="4" t="b">
        <v>1</v>
      </c>
      <c r="AL21" s="4" t="b">
        <v>1</v>
      </c>
      <c r="AM21" s="4" t="b">
        <v>1</v>
      </c>
      <c r="AN21" s="3" t="b">
        <f t="shared" si="8"/>
        <v>1</v>
      </c>
      <c r="AO21" s="3" t="b">
        <f t="shared" si="9"/>
        <v>0</v>
      </c>
      <c r="AP21" s="3" t="b">
        <f t="shared" si="10"/>
        <v>0</v>
      </c>
      <c r="AQ21" s="3" t="b">
        <f t="shared" si="11"/>
        <v>0</v>
      </c>
      <c r="AR21" s="3"/>
    </row>
    <row r="22" spans="1:44" x14ac:dyDescent="0.35">
      <c r="B22" s="3"/>
      <c r="C22" s="3" t="s">
        <v>3459</v>
      </c>
      <c r="D22" s="3"/>
      <c r="E22" s="3"/>
      <c r="F22" s="3"/>
      <c r="G22" s="3" t="s">
        <v>3460</v>
      </c>
      <c r="H22" s="3"/>
      <c r="I22" s="3"/>
      <c r="L22" s="4" t="s">
        <v>3461</v>
      </c>
      <c r="M22" s="4" t="b">
        <v>1</v>
      </c>
      <c r="N22" s="4" t="b">
        <v>0</v>
      </c>
      <c r="O22" s="4" t="b">
        <v>0</v>
      </c>
      <c r="P22" s="4" t="b">
        <v>0</v>
      </c>
      <c r="Q22" s="4" t="b">
        <v>0</v>
      </c>
      <c r="R22" s="3" t="b">
        <f t="shared" si="0"/>
        <v>0</v>
      </c>
      <c r="S22" s="3" t="b">
        <f t="shared" si="1"/>
        <v>0</v>
      </c>
      <c r="T22" s="3" t="b">
        <f t="shared" si="2"/>
        <v>1</v>
      </c>
      <c r="U22" s="3" t="b">
        <f t="shared" si="3"/>
        <v>0</v>
      </c>
      <c r="W22" s="4" t="s">
        <v>3462</v>
      </c>
      <c r="X22" s="4" t="b">
        <v>1</v>
      </c>
      <c r="Y22" s="4" t="b">
        <v>0</v>
      </c>
      <c r="Z22" s="4" t="b">
        <v>0</v>
      </c>
      <c r="AA22" s="4" t="b">
        <v>0</v>
      </c>
      <c r="AB22" s="4" t="b">
        <v>0</v>
      </c>
      <c r="AC22" s="3" t="b">
        <f t="shared" si="4"/>
        <v>0</v>
      </c>
      <c r="AD22" s="3" t="b">
        <f t="shared" si="5"/>
        <v>0</v>
      </c>
      <c r="AE22" s="3" t="b">
        <f t="shared" si="6"/>
        <v>1</v>
      </c>
      <c r="AF22" s="3" t="b">
        <f t="shared" si="7"/>
        <v>0</v>
      </c>
      <c r="AH22" s="4" t="s">
        <v>3461</v>
      </c>
      <c r="AI22" s="4" t="b">
        <v>1</v>
      </c>
      <c r="AJ22" s="4" t="b">
        <v>0</v>
      </c>
      <c r="AK22" s="4" t="b">
        <v>0</v>
      </c>
      <c r="AL22" s="4" t="b">
        <v>0</v>
      </c>
      <c r="AM22" s="4" t="b">
        <v>0</v>
      </c>
      <c r="AN22" s="3" t="b">
        <f t="shared" si="8"/>
        <v>0</v>
      </c>
      <c r="AO22" s="3" t="b">
        <f t="shared" si="9"/>
        <v>0</v>
      </c>
      <c r="AP22" s="3" t="b">
        <f t="shared" si="10"/>
        <v>1</v>
      </c>
      <c r="AQ22" s="3" t="b">
        <f t="shared" si="11"/>
        <v>0</v>
      </c>
      <c r="AR22" s="3"/>
    </row>
    <row r="23" spans="1:44" x14ac:dyDescent="0.35">
      <c r="C23" s="4" t="s">
        <v>3463</v>
      </c>
      <c r="G23" s="4" t="s">
        <v>3464</v>
      </c>
      <c r="H23" s="4"/>
      <c r="I23" s="4"/>
      <c r="L23" s="4" t="s">
        <v>3465</v>
      </c>
      <c r="M23" s="4" t="b">
        <v>1</v>
      </c>
      <c r="N23" s="4" t="b">
        <v>1</v>
      </c>
      <c r="O23" s="4" t="b">
        <v>1</v>
      </c>
      <c r="P23" s="4" t="b">
        <v>0</v>
      </c>
      <c r="Q23" s="4" t="b">
        <v>1</v>
      </c>
      <c r="R23" s="3" t="b">
        <f t="shared" si="0"/>
        <v>0</v>
      </c>
      <c r="S23" s="3" t="b">
        <f t="shared" si="1"/>
        <v>0</v>
      </c>
      <c r="T23" s="3" t="b">
        <f t="shared" si="2"/>
        <v>0</v>
      </c>
      <c r="U23" s="3" t="b">
        <f t="shared" si="3"/>
        <v>1</v>
      </c>
      <c r="W23" s="4" t="s">
        <v>3465</v>
      </c>
      <c r="X23" s="4" t="b">
        <v>1</v>
      </c>
      <c r="Y23" s="4" t="b">
        <v>1</v>
      </c>
      <c r="Z23" s="4" t="b">
        <v>1</v>
      </c>
      <c r="AA23" s="4" t="b">
        <v>0</v>
      </c>
      <c r="AB23" s="4" t="b">
        <v>1</v>
      </c>
      <c r="AC23" s="3" t="b">
        <f t="shared" si="4"/>
        <v>0</v>
      </c>
      <c r="AD23" s="3" t="b">
        <f t="shared" si="5"/>
        <v>0</v>
      </c>
      <c r="AE23" s="3" t="b">
        <f t="shared" si="6"/>
        <v>0</v>
      </c>
      <c r="AF23" s="3" t="b">
        <f t="shared" si="7"/>
        <v>1</v>
      </c>
      <c r="AH23" s="4" t="s">
        <v>3465</v>
      </c>
      <c r="AI23" s="4" t="b">
        <v>1</v>
      </c>
      <c r="AJ23" s="4" t="b">
        <v>1</v>
      </c>
      <c r="AK23" s="4" t="b">
        <v>1</v>
      </c>
      <c r="AL23" s="4" t="b">
        <v>0</v>
      </c>
      <c r="AM23" s="4" t="b">
        <v>1</v>
      </c>
      <c r="AN23" s="3" t="b">
        <f t="shared" si="8"/>
        <v>0</v>
      </c>
      <c r="AO23" s="3" t="b">
        <f t="shared" si="9"/>
        <v>0</v>
      </c>
      <c r="AP23" s="3" t="b">
        <f t="shared" si="10"/>
        <v>0</v>
      </c>
      <c r="AQ23" s="3" t="b">
        <f t="shared" si="11"/>
        <v>1</v>
      </c>
      <c r="AR23" s="3"/>
    </row>
    <row r="24" spans="1:44" x14ac:dyDescent="0.35">
      <c r="B24" s="4" t="s">
        <v>3466</v>
      </c>
      <c r="C24" s="4" t="s">
        <v>3467</v>
      </c>
      <c r="G24" s="4" t="s">
        <v>3468</v>
      </c>
      <c r="H24" s="4"/>
      <c r="I24" s="4"/>
      <c r="L24" s="4" t="s">
        <v>240</v>
      </c>
      <c r="M24" s="4" t="b">
        <v>1</v>
      </c>
      <c r="N24" s="4" t="b">
        <v>1</v>
      </c>
      <c r="O24" s="4" t="b">
        <v>1</v>
      </c>
      <c r="P24" s="4" t="b">
        <v>0</v>
      </c>
      <c r="Q24" s="4" t="b">
        <v>0</v>
      </c>
      <c r="R24" s="3" t="b">
        <f t="shared" si="0"/>
        <v>0</v>
      </c>
      <c r="S24" s="3" t="b">
        <f t="shared" si="1"/>
        <v>0</v>
      </c>
      <c r="T24" s="3" t="b">
        <f t="shared" si="2"/>
        <v>1</v>
      </c>
      <c r="U24" s="3" t="b">
        <f t="shared" si="3"/>
        <v>0</v>
      </c>
      <c r="W24" s="4" t="s">
        <v>240</v>
      </c>
      <c r="X24" s="4" t="b">
        <v>1</v>
      </c>
      <c r="Y24" s="4" t="b">
        <v>1</v>
      </c>
      <c r="Z24" s="4" t="b">
        <v>1</v>
      </c>
      <c r="AA24" s="4" t="b">
        <v>0</v>
      </c>
      <c r="AB24" s="4" t="b">
        <v>0</v>
      </c>
      <c r="AC24" s="3" t="b">
        <f t="shared" si="4"/>
        <v>0</v>
      </c>
      <c r="AD24" s="3" t="b">
        <f t="shared" si="5"/>
        <v>0</v>
      </c>
      <c r="AE24" s="3" t="b">
        <f t="shared" si="6"/>
        <v>1</v>
      </c>
      <c r="AF24" s="3" t="b">
        <f t="shared" si="7"/>
        <v>0</v>
      </c>
      <c r="AH24" s="4" t="s">
        <v>240</v>
      </c>
      <c r="AI24" s="4" t="b">
        <v>1</v>
      </c>
      <c r="AJ24" s="4" t="b">
        <v>1</v>
      </c>
      <c r="AK24" s="4" t="b">
        <v>1</v>
      </c>
      <c r="AL24" s="4" t="b">
        <v>0</v>
      </c>
      <c r="AM24" s="4" t="b">
        <v>0</v>
      </c>
      <c r="AN24" s="3" t="b">
        <f t="shared" si="8"/>
        <v>0</v>
      </c>
      <c r="AO24" s="3" t="b">
        <f t="shared" si="9"/>
        <v>0</v>
      </c>
      <c r="AP24" s="3" t="b">
        <f t="shared" si="10"/>
        <v>1</v>
      </c>
      <c r="AQ24" s="3" t="b">
        <f t="shared" si="11"/>
        <v>0</v>
      </c>
      <c r="AR24" s="3"/>
    </row>
    <row r="25" spans="1:44" x14ac:dyDescent="0.35">
      <c r="C25" s="4" t="s">
        <v>3469</v>
      </c>
      <c r="G25" s="4" t="s">
        <v>3470</v>
      </c>
      <c r="H25" s="4"/>
      <c r="I25" s="4"/>
      <c r="L25" s="4" t="s">
        <v>3471</v>
      </c>
      <c r="M25" s="4" t="b">
        <v>1</v>
      </c>
      <c r="N25" s="4" t="b">
        <v>1</v>
      </c>
      <c r="O25" s="4" t="b">
        <v>1</v>
      </c>
      <c r="P25" s="4" t="b">
        <v>1</v>
      </c>
      <c r="Q25" s="4" t="b">
        <v>1</v>
      </c>
      <c r="R25" s="3" t="b">
        <f t="shared" si="0"/>
        <v>1</v>
      </c>
      <c r="S25" s="3" t="b">
        <f t="shared" si="1"/>
        <v>0</v>
      </c>
      <c r="T25" s="3" t="b">
        <f t="shared" si="2"/>
        <v>0</v>
      </c>
      <c r="U25" s="3" t="b">
        <f t="shared" si="3"/>
        <v>0</v>
      </c>
      <c r="W25" s="4" t="s">
        <v>3471</v>
      </c>
      <c r="X25" s="4" t="b">
        <v>1</v>
      </c>
      <c r="Y25" s="4" t="b">
        <v>1</v>
      </c>
      <c r="Z25" s="4" t="b">
        <v>1</v>
      </c>
      <c r="AA25" s="4" t="b">
        <v>1</v>
      </c>
      <c r="AB25" s="4" t="b">
        <v>1</v>
      </c>
      <c r="AC25" s="3" t="b">
        <f t="shared" si="4"/>
        <v>1</v>
      </c>
      <c r="AD25" s="3" t="b">
        <f t="shared" si="5"/>
        <v>0</v>
      </c>
      <c r="AE25" s="3" t="b">
        <f t="shared" si="6"/>
        <v>0</v>
      </c>
      <c r="AF25" s="3" t="b">
        <f t="shared" si="7"/>
        <v>0</v>
      </c>
      <c r="AH25" s="4" t="s">
        <v>3471</v>
      </c>
      <c r="AI25" s="4" t="b">
        <v>1</v>
      </c>
      <c r="AJ25" s="4" t="b">
        <v>1</v>
      </c>
      <c r="AK25" s="4" t="b">
        <v>1</v>
      </c>
      <c r="AL25" s="4" t="b">
        <v>1</v>
      </c>
      <c r="AM25" s="4" t="b">
        <v>1</v>
      </c>
      <c r="AN25" s="3" t="b">
        <f t="shared" si="8"/>
        <v>1</v>
      </c>
      <c r="AO25" s="3" t="b">
        <f t="shared" si="9"/>
        <v>0</v>
      </c>
      <c r="AP25" s="3" t="b">
        <f t="shared" si="10"/>
        <v>0</v>
      </c>
      <c r="AQ25" s="3" t="b">
        <f t="shared" si="11"/>
        <v>0</v>
      </c>
      <c r="AR25" s="3"/>
    </row>
    <row r="26" spans="1:44" x14ac:dyDescent="0.35">
      <c r="R26" s="3">
        <f t="shared" si="0"/>
        <v>0</v>
      </c>
      <c r="S26" s="3">
        <f t="shared" si="1"/>
        <v>0</v>
      </c>
      <c r="T26" s="3">
        <f t="shared" si="2"/>
        <v>0</v>
      </c>
      <c r="U26" s="3">
        <f t="shared" si="3"/>
        <v>0</v>
      </c>
      <c r="AC26" s="3">
        <f t="shared" si="4"/>
        <v>0</v>
      </c>
      <c r="AD26" s="3">
        <f t="shared" si="5"/>
        <v>0</v>
      </c>
      <c r="AE26" s="3">
        <f t="shared" si="6"/>
        <v>0</v>
      </c>
      <c r="AF26" s="3">
        <f t="shared" si="7"/>
        <v>0</v>
      </c>
      <c r="AN26" s="3">
        <f t="shared" si="8"/>
        <v>0</v>
      </c>
      <c r="AO26" s="3">
        <f t="shared" si="9"/>
        <v>0</v>
      </c>
      <c r="AP26" s="3">
        <f t="shared" si="10"/>
        <v>0</v>
      </c>
      <c r="AQ26" s="3">
        <f t="shared" si="11"/>
        <v>0</v>
      </c>
      <c r="AR26" s="3"/>
    </row>
    <row r="27" spans="1:44" x14ac:dyDescent="0.35">
      <c r="A27" s="4" t="s">
        <v>3472</v>
      </c>
      <c r="B27" s="4" t="s">
        <v>3473</v>
      </c>
      <c r="C27" s="4" t="s">
        <v>3474</v>
      </c>
      <c r="D27" s="4" t="s">
        <v>3475</v>
      </c>
      <c r="E27" s="4" t="s">
        <v>3476</v>
      </c>
      <c r="F27" s="16" t="s">
        <v>3477</v>
      </c>
      <c r="G27" s="4" t="s">
        <v>3478</v>
      </c>
      <c r="H27" s="4"/>
      <c r="I27" s="4"/>
      <c r="L27" s="4" t="s">
        <v>3479</v>
      </c>
      <c r="M27" s="4" t="b">
        <v>1</v>
      </c>
      <c r="N27" s="4" t="b">
        <v>1</v>
      </c>
      <c r="O27" s="4" t="b">
        <v>1</v>
      </c>
      <c r="P27" s="4" t="b">
        <v>0</v>
      </c>
      <c r="Q27" s="4" t="b">
        <v>1</v>
      </c>
      <c r="R27" s="3" t="b">
        <f t="shared" si="0"/>
        <v>0</v>
      </c>
      <c r="S27" s="3" t="b">
        <f t="shared" si="1"/>
        <v>0</v>
      </c>
      <c r="T27" s="3" t="b">
        <f t="shared" si="2"/>
        <v>0</v>
      </c>
      <c r="U27" s="3" t="b">
        <f t="shared" si="3"/>
        <v>1</v>
      </c>
      <c r="W27" s="4" t="s">
        <v>3479</v>
      </c>
      <c r="X27" s="4" t="b">
        <v>1</v>
      </c>
      <c r="Y27" s="4" t="b">
        <v>1</v>
      </c>
      <c r="Z27" s="4" t="b">
        <v>1</v>
      </c>
      <c r="AA27" s="4" t="b">
        <v>0</v>
      </c>
      <c r="AB27" s="4" t="b">
        <v>1</v>
      </c>
      <c r="AC27" s="3" t="b">
        <f t="shared" si="4"/>
        <v>0</v>
      </c>
      <c r="AD27" s="3" t="b">
        <f t="shared" si="5"/>
        <v>0</v>
      </c>
      <c r="AE27" s="3" t="b">
        <f t="shared" si="6"/>
        <v>0</v>
      </c>
      <c r="AF27" s="3" t="b">
        <f t="shared" si="7"/>
        <v>1</v>
      </c>
      <c r="AH27" s="4" t="s">
        <v>3479</v>
      </c>
      <c r="AI27" s="4" t="b">
        <v>1</v>
      </c>
      <c r="AJ27" s="4" t="b">
        <v>1</v>
      </c>
      <c r="AK27" s="4" t="b">
        <v>1</v>
      </c>
      <c r="AL27" s="4" t="b">
        <v>0</v>
      </c>
      <c r="AM27" s="4" t="b">
        <v>1</v>
      </c>
      <c r="AN27" s="3" t="b">
        <f t="shared" si="8"/>
        <v>0</v>
      </c>
      <c r="AO27" s="3" t="b">
        <f t="shared" si="9"/>
        <v>0</v>
      </c>
      <c r="AP27" s="3" t="b">
        <f t="shared" si="10"/>
        <v>0</v>
      </c>
      <c r="AQ27" s="3" t="b">
        <f t="shared" si="11"/>
        <v>1</v>
      </c>
      <c r="AR27" s="3"/>
    </row>
    <row r="28" spans="1:44" x14ac:dyDescent="0.35">
      <c r="C28" s="4" t="s">
        <v>3480</v>
      </c>
      <c r="G28" s="4" t="s">
        <v>3481</v>
      </c>
      <c r="H28" s="4"/>
      <c r="I28" s="4"/>
      <c r="L28" s="4" t="s">
        <v>3482</v>
      </c>
      <c r="M28" s="4" t="b">
        <v>1</v>
      </c>
      <c r="N28" s="4" t="b">
        <v>1</v>
      </c>
      <c r="O28" s="4" t="b">
        <v>1</v>
      </c>
      <c r="P28" s="4" t="b">
        <v>1</v>
      </c>
      <c r="Q28" s="4" t="b">
        <v>1</v>
      </c>
      <c r="R28" s="3" t="b">
        <f t="shared" si="0"/>
        <v>1</v>
      </c>
      <c r="S28" s="3" t="b">
        <f t="shared" si="1"/>
        <v>0</v>
      </c>
      <c r="T28" s="3" t="b">
        <f t="shared" si="2"/>
        <v>0</v>
      </c>
      <c r="U28" s="3" t="b">
        <f t="shared" si="3"/>
        <v>0</v>
      </c>
      <c r="W28" s="4" t="s">
        <v>3482</v>
      </c>
      <c r="X28" s="4" t="b">
        <v>1</v>
      </c>
      <c r="Y28" s="4" t="b">
        <v>1</v>
      </c>
      <c r="Z28" s="4" t="b">
        <v>1</v>
      </c>
      <c r="AA28" s="4" t="b">
        <v>1</v>
      </c>
      <c r="AB28" s="4" t="b">
        <v>1</v>
      </c>
      <c r="AC28" s="3" t="b">
        <f t="shared" si="4"/>
        <v>1</v>
      </c>
      <c r="AD28" s="3" t="b">
        <f t="shared" si="5"/>
        <v>0</v>
      </c>
      <c r="AE28" s="3" t="b">
        <f t="shared" si="6"/>
        <v>0</v>
      </c>
      <c r="AF28" s="3" t="b">
        <f t="shared" si="7"/>
        <v>0</v>
      </c>
      <c r="AH28" s="4" t="s">
        <v>3482</v>
      </c>
      <c r="AI28" s="4" t="b">
        <v>1</v>
      </c>
      <c r="AJ28" s="4" t="b">
        <v>1</v>
      </c>
      <c r="AK28" s="4" t="b">
        <v>1</v>
      </c>
      <c r="AL28" s="4" t="b">
        <v>1</v>
      </c>
      <c r="AM28" s="4" t="b">
        <v>1</v>
      </c>
      <c r="AN28" s="3" t="b">
        <f t="shared" si="8"/>
        <v>1</v>
      </c>
      <c r="AO28" s="3" t="b">
        <f t="shared" si="9"/>
        <v>0</v>
      </c>
      <c r="AP28" s="3" t="b">
        <f t="shared" si="10"/>
        <v>0</v>
      </c>
      <c r="AQ28" s="3" t="b">
        <f t="shared" si="11"/>
        <v>0</v>
      </c>
      <c r="AR28" s="3"/>
    </row>
    <row r="29" spans="1:44" x14ac:dyDescent="0.35">
      <c r="C29" s="4" t="s">
        <v>3483</v>
      </c>
      <c r="G29" s="4" t="s">
        <v>3484</v>
      </c>
      <c r="H29" s="4"/>
      <c r="I29" s="4"/>
      <c r="L29" s="4" t="s">
        <v>3485</v>
      </c>
      <c r="M29" s="4" t="b">
        <v>1</v>
      </c>
      <c r="N29" s="4" t="b">
        <v>1</v>
      </c>
      <c r="O29" s="4" t="b">
        <v>1</v>
      </c>
      <c r="P29" s="4" t="b">
        <v>1</v>
      </c>
      <c r="Q29" s="4" t="b">
        <v>1</v>
      </c>
      <c r="R29" s="3" t="b">
        <f t="shared" si="0"/>
        <v>1</v>
      </c>
      <c r="S29" s="3" t="b">
        <f t="shared" si="1"/>
        <v>0</v>
      </c>
      <c r="T29" s="3" t="b">
        <f t="shared" si="2"/>
        <v>0</v>
      </c>
      <c r="U29" s="3" t="b">
        <f t="shared" si="3"/>
        <v>0</v>
      </c>
      <c r="W29" s="4" t="s">
        <v>3485</v>
      </c>
      <c r="X29" s="4" t="b">
        <v>1</v>
      </c>
      <c r="Y29" s="4" t="b">
        <v>1</v>
      </c>
      <c r="Z29" s="4" t="b">
        <v>1</v>
      </c>
      <c r="AA29" s="4" t="b">
        <v>1</v>
      </c>
      <c r="AB29" s="4" t="b">
        <v>1</v>
      </c>
      <c r="AC29" s="3" t="b">
        <f t="shared" si="4"/>
        <v>1</v>
      </c>
      <c r="AD29" s="3" t="b">
        <f t="shared" si="5"/>
        <v>0</v>
      </c>
      <c r="AE29" s="3" t="b">
        <f t="shared" si="6"/>
        <v>0</v>
      </c>
      <c r="AF29" s="3" t="b">
        <f t="shared" si="7"/>
        <v>0</v>
      </c>
      <c r="AH29" s="4" t="s">
        <v>3485</v>
      </c>
      <c r="AI29" s="4" t="b">
        <v>1</v>
      </c>
      <c r="AJ29" s="4" t="b">
        <v>1</v>
      </c>
      <c r="AK29" s="4" t="b">
        <v>1</v>
      </c>
      <c r="AL29" s="4" t="b">
        <v>1</v>
      </c>
      <c r="AM29" s="4" t="b">
        <v>1</v>
      </c>
      <c r="AN29" s="3" t="b">
        <f t="shared" si="8"/>
        <v>1</v>
      </c>
      <c r="AO29" s="3" t="b">
        <f t="shared" si="9"/>
        <v>0</v>
      </c>
      <c r="AP29" s="3" t="b">
        <f t="shared" si="10"/>
        <v>0</v>
      </c>
      <c r="AQ29" s="3" t="b">
        <f t="shared" si="11"/>
        <v>0</v>
      </c>
      <c r="AR29" s="3"/>
    </row>
    <row r="30" spans="1:44" x14ac:dyDescent="0.35">
      <c r="C30" s="4" t="s">
        <v>3486</v>
      </c>
      <c r="G30" s="4" t="s">
        <v>3487</v>
      </c>
      <c r="H30" s="4"/>
      <c r="I30" s="4"/>
      <c r="L30" s="4" t="s">
        <v>3488</v>
      </c>
      <c r="M30" s="4" t="b">
        <v>1</v>
      </c>
      <c r="N30" s="4" t="b">
        <v>1</v>
      </c>
      <c r="O30" s="4" t="b">
        <v>1</v>
      </c>
      <c r="P30" s="4" t="b">
        <v>0</v>
      </c>
      <c r="Q30" s="4" t="b">
        <v>1</v>
      </c>
      <c r="R30" s="3" t="b">
        <f t="shared" si="0"/>
        <v>0</v>
      </c>
      <c r="S30" s="3" t="b">
        <f t="shared" si="1"/>
        <v>0</v>
      </c>
      <c r="T30" s="3" t="b">
        <f t="shared" si="2"/>
        <v>0</v>
      </c>
      <c r="U30" s="3" t="b">
        <f t="shared" si="3"/>
        <v>1</v>
      </c>
      <c r="W30" s="4" t="s">
        <v>3488</v>
      </c>
      <c r="X30" s="4" t="b">
        <v>1</v>
      </c>
      <c r="Y30" s="4" t="b">
        <v>1</v>
      </c>
      <c r="Z30" s="4" t="b">
        <v>1</v>
      </c>
      <c r="AA30" s="4" t="b">
        <v>0</v>
      </c>
      <c r="AB30" s="4" t="b">
        <v>1</v>
      </c>
      <c r="AC30" s="3" t="b">
        <f t="shared" si="4"/>
        <v>0</v>
      </c>
      <c r="AD30" s="3" t="b">
        <f t="shared" si="5"/>
        <v>0</v>
      </c>
      <c r="AE30" s="3" t="b">
        <f t="shared" si="6"/>
        <v>0</v>
      </c>
      <c r="AF30" s="3" t="b">
        <f t="shared" si="7"/>
        <v>1</v>
      </c>
      <c r="AH30" s="4" t="s">
        <v>3489</v>
      </c>
      <c r="AI30" s="4" t="b">
        <v>1</v>
      </c>
      <c r="AJ30" s="4" t="b">
        <v>1</v>
      </c>
      <c r="AK30" s="4" t="b">
        <v>1</v>
      </c>
      <c r="AL30" s="4" t="b">
        <v>0</v>
      </c>
      <c r="AM30" s="4" t="b">
        <v>1</v>
      </c>
      <c r="AN30" s="3" t="b">
        <f t="shared" si="8"/>
        <v>0</v>
      </c>
      <c r="AO30" s="3" t="b">
        <f t="shared" si="9"/>
        <v>0</v>
      </c>
      <c r="AP30" s="3" t="b">
        <f t="shared" si="10"/>
        <v>0</v>
      </c>
      <c r="AQ30" s="3" t="b">
        <f t="shared" si="11"/>
        <v>1</v>
      </c>
      <c r="AR30" s="3"/>
    </row>
    <row r="31" spans="1:44" x14ac:dyDescent="0.35">
      <c r="C31" s="4" t="s">
        <v>3490</v>
      </c>
      <c r="G31" s="4" t="s">
        <v>3491</v>
      </c>
      <c r="H31" s="4"/>
      <c r="I31" s="4"/>
      <c r="L31" s="4" t="s">
        <v>3492</v>
      </c>
      <c r="M31" s="4" t="b">
        <v>1</v>
      </c>
      <c r="N31" s="4" t="b">
        <v>1</v>
      </c>
      <c r="O31" s="4" t="b">
        <v>1</v>
      </c>
      <c r="P31" s="4" t="b">
        <v>0</v>
      </c>
      <c r="Q31" s="4" t="b">
        <v>1</v>
      </c>
      <c r="R31" s="3" t="b">
        <f t="shared" si="0"/>
        <v>0</v>
      </c>
      <c r="S31" s="3" t="b">
        <f t="shared" si="1"/>
        <v>0</v>
      </c>
      <c r="T31" s="3" t="b">
        <f t="shared" si="2"/>
        <v>0</v>
      </c>
      <c r="U31" s="3" t="b">
        <f t="shared" si="3"/>
        <v>1</v>
      </c>
      <c r="W31" s="4" t="s">
        <v>3492</v>
      </c>
      <c r="X31" s="4" t="b">
        <v>1</v>
      </c>
      <c r="Y31" s="4" t="b">
        <v>1</v>
      </c>
      <c r="Z31" s="4" t="b">
        <v>1</v>
      </c>
      <c r="AA31" s="4" t="b">
        <v>0</v>
      </c>
      <c r="AB31" s="4" t="b">
        <v>1</v>
      </c>
      <c r="AC31" s="3" t="b">
        <f t="shared" si="4"/>
        <v>0</v>
      </c>
      <c r="AD31" s="3" t="b">
        <f t="shared" si="5"/>
        <v>0</v>
      </c>
      <c r="AE31" s="3" t="b">
        <f t="shared" si="6"/>
        <v>0</v>
      </c>
      <c r="AF31" s="3" t="b">
        <f t="shared" si="7"/>
        <v>1</v>
      </c>
      <c r="AH31" s="4" t="s">
        <v>3493</v>
      </c>
      <c r="AI31" s="4" t="b">
        <v>1</v>
      </c>
      <c r="AJ31" s="4" t="b">
        <v>1</v>
      </c>
      <c r="AK31" s="4" t="b">
        <v>1</v>
      </c>
      <c r="AL31" s="4" t="b">
        <v>1</v>
      </c>
      <c r="AM31" s="4" t="b">
        <v>1</v>
      </c>
      <c r="AN31" s="3" t="b">
        <f t="shared" si="8"/>
        <v>1</v>
      </c>
      <c r="AO31" s="3" t="b">
        <f t="shared" si="9"/>
        <v>0</v>
      </c>
      <c r="AP31" s="3" t="b">
        <f t="shared" si="10"/>
        <v>0</v>
      </c>
      <c r="AQ31" s="3" t="b">
        <f t="shared" si="11"/>
        <v>0</v>
      </c>
      <c r="AR31" s="3"/>
    </row>
    <row r="32" spans="1:44" x14ac:dyDescent="0.35">
      <c r="C32" s="4" t="s">
        <v>3494</v>
      </c>
      <c r="G32" s="4" t="s">
        <v>3495</v>
      </c>
      <c r="H32" s="4"/>
      <c r="I32" s="4"/>
      <c r="L32" s="4" t="s">
        <v>3496</v>
      </c>
      <c r="M32" s="4" t="b">
        <v>1</v>
      </c>
      <c r="N32" s="4" t="b">
        <v>1</v>
      </c>
      <c r="O32" s="4" t="b">
        <v>1</v>
      </c>
      <c r="P32" s="4" t="b">
        <v>1</v>
      </c>
      <c r="Q32" s="4" t="b">
        <v>1</v>
      </c>
      <c r="R32" s="3" t="b">
        <f t="shared" si="0"/>
        <v>1</v>
      </c>
      <c r="S32" s="3" t="b">
        <f t="shared" si="1"/>
        <v>0</v>
      </c>
      <c r="T32" s="3" t="b">
        <f t="shared" si="2"/>
        <v>0</v>
      </c>
      <c r="U32" s="3" t="b">
        <f t="shared" si="3"/>
        <v>0</v>
      </c>
      <c r="W32" s="4" t="s">
        <v>3497</v>
      </c>
      <c r="X32" s="4" t="b">
        <v>1</v>
      </c>
      <c r="Y32" s="4" t="b">
        <v>1</v>
      </c>
      <c r="Z32" s="4" t="b">
        <v>1</v>
      </c>
      <c r="AA32" s="4" t="b">
        <v>1</v>
      </c>
      <c r="AB32" s="4" t="b">
        <v>1</v>
      </c>
      <c r="AC32" s="3" t="b">
        <f t="shared" si="4"/>
        <v>1</v>
      </c>
      <c r="AD32" s="3" t="b">
        <f t="shared" si="5"/>
        <v>0</v>
      </c>
      <c r="AE32" s="3" t="b">
        <f t="shared" si="6"/>
        <v>0</v>
      </c>
      <c r="AF32" s="3" t="b">
        <f t="shared" si="7"/>
        <v>0</v>
      </c>
      <c r="AH32" s="4" t="s">
        <v>3497</v>
      </c>
      <c r="AI32" s="4" t="b">
        <v>1</v>
      </c>
      <c r="AJ32" s="4" t="b">
        <v>1</v>
      </c>
      <c r="AK32" s="4" t="b">
        <v>1</v>
      </c>
      <c r="AL32" s="4" t="b">
        <v>1</v>
      </c>
      <c r="AM32" s="4" t="b">
        <v>1</v>
      </c>
      <c r="AN32" s="3" t="b">
        <f t="shared" si="8"/>
        <v>1</v>
      </c>
      <c r="AO32" s="3" t="b">
        <f t="shared" si="9"/>
        <v>0</v>
      </c>
      <c r="AP32" s="3" t="b">
        <f t="shared" si="10"/>
        <v>0</v>
      </c>
      <c r="AQ32" s="3" t="b">
        <f t="shared" si="11"/>
        <v>0</v>
      </c>
      <c r="AR32" s="3"/>
    </row>
    <row r="33" spans="2:44" x14ac:dyDescent="0.35">
      <c r="C33" s="4" t="s">
        <v>3498</v>
      </c>
      <c r="G33" s="4" t="s">
        <v>3499</v>
      </c>
      <c r="H33" s="4"/>
      <c r="I33" s="4"/>
      <c r="L33" s="4" t="s">
        <v>3500</v>
      </c>
      <c r="M33" s="4" t="b">
        <v>1</v>
      </c>
      <c r="N33" s="4" t="b">
        <v>0</v>
      </c>
      <c r="O33" s="4" t="b">
        <v>0</v>
      </c>
      <c r="P33" s="4" t="b">
        <v>0</v>
      </c>
      <c r="Q33" s="4" t="b">
        <v>0</v>
      </c>
      <c r="R33" s="3" t="b">
        <f t="shared" si="0"/>
        <v>0</v>
      </c>
      <c r="S33" s="3" t="b">
        <f t="shared" si="1"/>
        <v>0</v>
      </c>
      <c r="T33" s="3" t="b">
        <f t="shared" si="2"/>
        <v>1</v>
      </c>
      <c r="U33" s="3" t="b">
        <f t="shared" si="3"/>
        <v>0</v>
      </c>
      <c r="W33" s="4" t="s">
        <v>3500</v>
      </c>
      <c r="X33" s="4" t="b">
        <v>1</v>
      </c>
      <c r="Y33" s="4" t="b">
        <v>0</v>
      </c>
      <c r="Z33" s="4" t="b">
        <v>0</v>
      </c>
      <c r="AA33" s="4" t="b">
        <v>0</v>
      </c>
      <c r="AB33" s="4" t="b">
        <v>0</v>
      </c>
      <c r="AC33" s="3" t="b">
        <f t="shared" si="4"/>
        <v>0</v>
      </c>
      <c r="AD33" s="3" t="b">
        <f t="shared" si="5"/>
        <v>0</v>
      </c>
      <c r="AE33" s="3" t="b">
        <f t="shared" si="6"/>
        <v>1</v>
      </c>
      <c r="AF33" s="3" t="b">
        <f t="shared" si="7"/>
        <v>0</v>
      </c>
      <c r="AH33" s="4" t="s">
        <v>3500</v>
      </c>
      <c r="AI33" s="4" t="b">
        <v>1</v>
      </c>
      <c r="AJ33" s="4" t="b">
        <v>0</v>
      </c>
      <c r="AK33" s="4" t="b">
        <v>0</v>
      </c>
      <c r="AL33" s="4" t="b">
        <v>0</v>
      </c>
      <c r="AM33" s="4" t="b">
        <v>0</v>
      </c>
      <c r="AN33" s="3" t="b">
        <f t="shared" si="8"/>
        <v>0</v>
      </c>
      <c r="AO33" s="3" t="b">
        <f t="shared" si="9"/>
        <v>0</v>
      </c>
      <c r="AP33" s="3" t="b">
        <f t="shared" si="10"/>
        <v>1</v>
      </c>
      <c r="AQ33" s="3" t="b">
        <f t="shared" si="11"/>
        <v>0</v>
      </c>
      <c r="AR33" s="3"/>
    </row>
    <row r="34" spans="2:44" x14ac:dyDescent="0.35">
      <c r="B34" s="4" t="s">
        <v>3501</v>
      </c>
      <c r="C34" s="4" t="s">
        <v>3502</v>
      </c>
      <c r="D34" s="4" t="s">
        <v>3475</v>
      </c>
      <c r="E34" s="4" t="s">
        <v>3476</v>
      </c>
      <c r="G34" s="4" t="s">
        <v>3503</v>
      </c>
      <c r="H34" s="4"/>
      <c r="I34" s="4"/>
      <c r="L34" s="4" t="s">
        <v>3504</v>
      </c>
      <c r="M34" s="4" t="b">
        <v>1</v>
      </c>
      <c r="N34" s="4" t="b">
        <v>1</v>
      </c>
      <c r="O34" s="4" t="b">
        <v>1</v>
      </c>
      <c r="P34" s="4" t="b">
        <v>1</v>
      </c>
      <c r="Q34" s="4" t="b">
        <v>1</v>
      </c>
      <c r="R34" s="3" t="b">
        <f t="shared" si="0"/>
        <v>1</v>
      </c>
      <c r="S34" s="3" t="b">
        <f t="shared" si="1"/>
        <v>0</v>
      </c>
      <c r="T34" s="3" t="b">
        <f t="shared" si="2"/>
        <v>0</v>
      </c>
      <c r="U34" s="3" t="b">
        <f t="shared" si="3"/>
        <v>0</v>
      </c>
      <c r="W34" s="4" t="s">
        <v>3504</v>
      </c>
      <c r="X34" s="4" t="b">
        <v>1</v>
      </c>
      <c r="Y34" s="4" t="b">
        <v>1</v>
      </c>
      <c r="Z34" s="4" t="b">
        <v>1</v>
      </c>
      <c r="AA34" s="4" t="b">
        <v>1</v>
      </c>
      <c r="AB34" s="4" t="b">
        <v>1</v>
      </c>
      <c r="AC34" s="3" t="b">
        <f t="shared" si="4"/>
        <v>1</v>
      </c>
      <c r="AD34" s="3" t="b">
        <f t="shared" si="5"/>
        <v>0</v>
      </c>
      <c r="AE34" s="3" t="b">
        <f t="shared" si="6"/>
        <v>0</v>
      </c>
      <c r="AF34" s="3" t="b">
        <f t="shared" si="7"/>
        <v>0</v>
      </c>
      <c r="AH34" s="4" t="s">
        <v>3504</v>
      </c>
      <c r="AI34" s="4" t="b">
        <v>1</v>
      </c>
      <c r="AJ34" s="4" t="b">
        <v>1</v>
      </c>
      <c r="AK34" s="4" t="b">
        <v>1</v>
      </c>
      <c r="AL34" s="4" t="b">
        <v>1</v>
      </c>
      <c r="AM34" s="4" t="b">
        <v>1</v>
      </c>
      <c r="AN34" s="3" t="b">
        <f t="shared" si="8"/>
        <v>1</v>
      </c>
      <c r="AO34" s="3" t="b">
        <f t="shared" si="9"/>
        <v>0</v>
      </c>
      <c r="AP34" s="3" t="b">
        <f t="shared" si="10"/>
        <v>0</v>
      </c>
      <c r="AQ34" s="3" t="b">
        <f t="shared" si="11"/>
        <v>0</v>
      </c>
      <c r="AR34" s="3"/>
    </row>
    <row r="35" spans="2:44" x14ac:dyDescent="0.35">
      <c r="C35" s="4" t="s">
        <v>3505</v>
      </c>
      <c r="G35" s="4" t="s">
        <v>3506</v>
      </c>
      <c r="H35" s="4"/>
      <c r="I35" s="4"/>
      <c r="L35" s="4" t="s">
        <v>3507</v>
      </c>
      <c r="M35" s="4" t="b">
        <v>1</v>
      </c>
      <c r="N35" s="4" t="b">
        <v>1</v>
      </c>
      <c r="O35" s="4" t="b">
        <v>1</v>
      </c>
      <c r="P35" s="4" t="b">
        <v>1</v>
      </c>
      <c r="Q35" s="4" t="b">
        <v>0</v>
      </c>
      <c r="R35" s="3" t="b">
        <f t="shared" si="0"/>
        <v>0</v>
      </c>
      <c r="S35" s="3" t="b">
        <f t="shared" si="1"/>
        <v>1</v>
      </c>
      <c r="T35" s="3" t="b">
        <f t="shared" si="2"/>
        <v>0</v>
      </c>
      <c r="U35" s="3" t="b">
        <f t="shared" si="3"/>
        <v>0</v>
      </c>
      <c r="W35" s="4" t="s">
        <v>3507</v>
      </c>
      <c r="X35" s="4" t="b">
        <v>1</v>
      </c>
      <c r="Y35" s="4" t="b">
        <v>1</v>
      </c>
      <c r="Z35" s="4" t="b">
        <v>1</v>
      </c>
      <c r="AA35" s="4" t="b">
        <v>1</v>
      </c>
      <c r="AB35" s="4" t="b">
        <v>0</v>
      </c>
      <c r="AC35" s="3" t="b">
        <f t="shared" si="4"/>
        <v>0</v>
      </c>
      <c r="AD35" s="3" t="b">
        <f t="shared" si="5"/>
        <v>1</v>
      </c>
      <c r="AE35" s="3" t="b">
        <f t="shared" si="6"/>
        <v>0</v>
      </c>
      <c r="AF35" s="3" t="b">
        <f t="shared" si="7"/>
        <v>0</v>
      </c>
      <c r="AH35" s="4" t="s">
        <v>3507</v>
      </c>
      <c r="AI35" s="4" t="b">
        <v>1</v>
      </c>
      <c r="AJ35" s="4" t="b">
        <v>1</v>
      </c>
      <c r="AK35" s="4" t="b">
        <v>1</v>
      </c>
      <c r="AL35" s="4" t="b">
        <v>1</v>
      </c>
      <c r="AM35" s="4" t="b">
        <v>0</v>
      </c>
      <c r="AN35" s="3" t="b">
        <f t="shared" si="8"/>
        <v>0</v>
      </c>
      <c r="AO35" s="3" t="b">
        <f t="shared" si="9"/>
        <v>1</v>
      </c>
      <c r="AP35" s="3" t="b">
        <f t="shared" si="10"/>
        <v>0</v>
      </c>
      <c r="AQ35" s="3" t="b">
        <f t="shared" si="11"/>
        <v>0</v>
      </c>
      <c r="AR35" s="3"/>
    </row>
    <row r="36" spans="2:44" x14ac:dyDescent="0.35">
      <c r="C36" s="4" t="s">
        <v>3508</v>
      </c>
      <c r="G36" s="4" t="s">
        <v>3509</v>
      </c>
      <c r="H36" s="4"/>
      <c r="I36" s="4"/>
      <c r="L36" s="4" t="s">
        <v>3510</v>
      </c>
      <c r="M36" s="4" t="b">
        <v>1</v>
      </c>
      <c r="N36" s="4" t="b">
        <v>1</v>
      </c>
      <c r="O36" s="4" t="b">
        <v>1</v>
      </c>
      <c r="P36" s="4" t="b">
        <v>1</v>
      </c>
      <c r="Q36" s="4" t="b">
        <v>1</v>
      </c>
      <c r="R36" s="3" t="b">
        <f t="shared" si="0"/>
        <v>1</v>
      </c>
      <c r="S36" s="3" t="b">
        <f t="shared" si="1"/>
        <v>0</v>
      </c>
      <c r="T36" s="3" t="b">
        <f t="shared" si="2"/>
        <v>0</v>
      </c>
      <c r="U36" s="3" t="b">
        <f t="shared" si="3"/>
        <v>0</v>
      </c>
      <c r="W36" s="4" t="s">
        <v>3510</v>
      </c>
      <c r="X36" s="4" t="b">
        <v>1</v>
      </c>
      <c r="Y36" s="4" t="b">
        <v>1</v>
      </c>
      <c r="Z36" s="4" t="b">
        <v>1</v>
      </c>
      <c r="AA36" s="4" t="b">
        <v>1</v>
      </c>
      <c r="AB36" s="4" t="b">
        <v>1</v>
      </c>
      <c r="AC36" s="3" t="b">
        <f t="shared" si="4"/>
        <v>1</v>
      </c>
      <c r="AD36" s="3" t="b">
        <f t="shared" si="5"/>
        <v>0</v>
      </c>
      <c r="AE36" s="3" t="b">
        <f t="shared" si="6"/>
        <v>0</v>
      </c>
      <c r="AF36" s="3" t="b">
        <f t="shared" si="7"/>
        <v>0</v>
      </c>
      <c r="AH36" s="4" t="s">
        <v>3510</v>
      </c>
      <c r="AI36" s="4" t="b">
        <v>1</v>
      </c>
      <c r="AJ36" s="4" t="b">
        <v>1</v>
      </c>
      <c r="AK36" s="4" t="b">
        <v>1</v>
      </c>
      <c r="AL36" s="4" t="b">
        <v>1</v>
      </c>
      <c r="AM36" s="4" t="b">
        <v>1</v>
      </c>
      <c r="AN36" s="3" t="b">
        <f t="shared" si="8"/>
        <v>1</v>
      </c>
      <c r="AO36" s="3" t="b">
        <f t="shared" si="9"/>
        <v>0</v>
      </c>
      <c r="AP36" s="3" t="b">
        <f t="shared" si="10"/>
        <v>0</v>
      </c>
      <c r="AQ36" s="3" t="b">
        <f t="shared" si="11"/>
        <v>0</v>
      </c>
      <c r="AR36" s="3"/>
    </row>
    <row r="37" spans="2:44" x14ac:dyDescent="0.35">
      <c r="C37" s="4" t="s">
        <v>3511</v>
      </c>
      <c r="G37" s="4" t="s">
        <v>3512</v>
      </c>
      <c r="H37" s="4"/>
      <c r="I37" s="4"/>
      <c r="L37" s="4" t="s">
        <v>3513</v>
      </c>
      <c r="M37" s="4" t="b">
        <v>1</v>
      </c>
      <c r="N37" s="4" t="b">
        <v>1</v>
      </c>
      <c r="O37" s="4" t="b">
        <v>1</v>
      </c>
      <c r="P37" s="4" t="b">
        <v>1</v>
      </c>
      <c r="Q37" s="4" t="b">
        <v>1</v>
      </c>
      <c r="R37" s="3" t="b">
        <f t="shared" si="0"/>
        <v>1</v>
      </c>
      <c r="S37" s="3" t="b">
        <f t="shared" si="1"/>
        <v>0</v>
      </c>
      <c r="T37" s="3" t="b">
        <f t="shared" si="2"/>
        <v>0</v>
      </c>
      <c r="U37" s="3" t="b">
        <f t="shared" si="3"/>
        <v>0</v>
      </c>
      <c r="W37" s="4" t="s">
        <v>3514</v>
      </c>
      <c r="X37" s="4" t="b">
        <v>1</v>
      </c>
      <c r="Y37" s="4" t="b">
        <v>1</v>
      </c>
      <c r="Z37" s="4" t="b">
        <v>1</v>
      </c>
      <c r="AA37" s="4" t="b">
        <v>1</v>
      </c>
      <c r="AB37" s="4" t="b">
        <v>1</v>
      </c>
      <c r="AC37" s="3" t="b">
        <f t="shared" si="4"/>
        <v>1</v>
      </c>
      <c r="AD37" s="3" t="b">
        <f t="shared" si="5"/>
        <v>0</v>
      </c>
      <c r="AE37" s="3" t="b">
        <f t="shared" si="6"/>
        <v>0</v>
      </c>
      <c r="AF37" s="3" t="b">
        <f t="shared" si="7"/>
        <v>0</v>
      </c>
      <c r="AH37" s="4" t="s">
        <v>3514</v>
      </c>
      <c r="AI37" s="4" t="b">
        <v>1</v>
      </c>
      <c r="AJ37" s="4" t="b">
        <v>1</v>
      </c>
      <c r="AK37" s="4" t="b">
        <v>1</v>
      </c>
      <c r="AL37" s="4" t="b">
        <v>1</v>
      </c>
      <c r="AM37" s="4" t="b">
        <v>1</v>
      </c>
      <c r="AN37" s="3" t="b">
        <f t="shared" si="8"/>
        <v>1</v>
      </c>
      <c r="AO37" s="3" t="b">
        <f t="shared" si="9"/>
        <v>0</v>
      </c>
      <c r="AP37" s="3" t="b">
        <f t="shared" si="10"/>
        <v>0</v>
      </c>
      <c r="AQ37" s="3" t="b">
        <f t="shared" si="11"/>
        <v>0</v>
      </c>
      <c r="AR37" s="3"/>
    </row>
    <row r="38" spans="2:44" x14ac:dyDescent="0.35">
      <c r="C38" s="4" t="s">
        <v>3515</v>
      </c>
      <c r="G38" s="4" t="s">
        <v>3516</v>
      </c>
      <c r="H38" s="4"/>
      <c r="I38" s="4"/>
      <c r="L38" s="4" t="s">
        <v>3517</v>
      </c>
      <c r="M38" s="4" t="b">
        <v>1</v>
      </c>
      <c r="N38" s="4" t="b">
        <v>1</v>
      </c>
      <c r="O38" s="4" t="b">
        <v>1</v>
      </c>
      <c r="P38" s="4" t="b">
        <v>1</v>
      </c>
      <c r="Q38" s="4" t="b">
        <v>1</v>
      </c>
      <c r="R38" s="3" t="b">
        <f t="shared" si="0"/>
        <v>1</v>
      </c>
      <c r="S38" s="3" t="b">
        <f t="shared" si="1"/>
        <v>0</v>
      </c>
      <c r="T38" s="3" t="b">
        <f t="shared" si="2"/>
        <v>0</v>
      </c>
      <c r="U38" s="3" t="b">
        <f t="shared" si="3"/>
        <v>0</v>
      </c>
      <c r="W38" s="4" t="s">
        <v>3517</v>
      </c>
      <c r="X38" s="4" t="b">
        <v>1</v>
      </c>
      <c r="Y38" s="4" t="b">
        <v>1</v>
      </c>
      <c r="Z38" s="4" t="b">
        <v>1</v>
      </c>
      <c r="AA38" s="4" t="b">
        <v>1</v>
      </c>
      <c r="AB38" s="4" t="b">
        <v>1</v>
      </c>
      <c r="AC38" s="3" t="b">
        <f t="shared" si="4"/>
        <v>1</v>
      </c>
      <c r="AD38" s="3" t="b">
        <f t="shared" si="5"/>
        <v>0</v>
      </c>
      <c r="AE38" s="3" t="b">
        <f t="shared" si="6"/>
        <v>0</v>
      </c>
      <c r="AF38" s="3" t="b">
        <f t="shared" si="7"/>
        <v>0</v>
      </c>
      <c r="AH38" s="4" t="s">
        <v>3518</v>
      </c>
      <c r="AI38" s="4" t="b">
        <v>1</v>
      </c>
      <c r="AJ38" s="4" t="b">
        <v>1</v>
      </c>
      <c r="AK38" s="4" t="b">
        <v>1</v>
      </c>
      <c r="AL38" s="4" t="b">
        <v>1</v>
      </c>
      <c r="AM38" s="4" t="b">
        <v>1</v>
      </c>
      <c r="AN38" s="3" t="b">
        <f t="shared" si="8"/>
        <v>1</v>
      </c>
      <c r="AO38" s="3" t="b">
        <f t="shared" si="9"/>
        <v>0</v>
      </c>
      <c r="AP38" s="3" t="b">
        <f t="shared" si="10"/>
        <v>0</v>
      </c>
      <c r="AQ38" s="3" t="b">
        <f t="shared" si="11"/>
        <v>0</v>
      </c>
      <c r="AR38" s="3"/>
    </row>
    <row r="39" spans="2:44" x14ac:dyDescent="0.35">
      <c r="C39" s="4" t="s">
        <v>3519</v>
      </c>
      <c r="G39" s="4" t="s">
        <v>3520</v>
      </c>
      <c r="H39" s="4"/>
      <c r="I39" s="4"/>
      <c r="L39" s="4" t="s">
        <v>3521</v>
      </c>
      <c r="M39" s="4" t="b">
        <v>1</v>
      </c>
      <c r="N39" s="4" t="b">
        <v>0</v>
      </c>
      <c r="O39" s="4" t="b">
        <v>0</v>
      </c>
      <c r="P39" s="4" t="b">
        <v>0</v>
      </c>
      <c r="Q39" s="4" t="b">
        <v>0</v>
      </c>
      <c r="R39" s="3" t="b">
        <f t="shared" si="0"/>
        <v>0</v>
      </c>
      <c r="S39" s="3" t="b">
        <f t="shared" si="1"/>
        <v>0</v>
      </c>
      <c r="T39" s="3" t="b">
        <f t="shared" si="2"/>
        <v>1</v>
      </c>
      <c r="U39" s="3" t="b">
        <f t="shared" si="3"/>
        <v>0</v>
      </c>
      <c r="W39" s="4" t="s">
        <v>3521</v>
      </c>
      <c r="X39" s="4" t="b">
        <v>1</v>
      </c>
      <c r="Y39" s="4" t="b">
        <v>0</v>
      </c>
      <c r="Z39" s="4" t="b">
        <v>0</v>
      </c>
      <c r="AA39" s="4" t="b">
        <v>0</v>
      </c>
      <c r="AB39" s="4" t="b">
        <v>0</v>
      </c>
      <c r="AC39" s="3" t="b">
        <f t="shared" si="4"/>
        <v>0</v>
      </c>
      <c r="AD39" s="3" t="b">
        <f t="shared" si="5"/>
        <v>0</v>
      </c>
      <c r="AE39" s="3" t="b">
        <f t="shared" si="6"/>
        <v>1</v>
      </c>
      <c r="AF39" s="3" t="b">
        <f t="shared" si="7"/>
        <v>0</v>
      </c>
      <c r="AH39" s="4" t="s">
        <v>3522</v>
      </c>
      <c r="AI39" s="4" t="b">
        <v>1</v>
      </c>
      <c r="AJ39" s="4" t="b">
        <v>0</v>
      </c>
      <c r="AK39" s="4" t="b">
        <v>0</v>
      </c>
      <c r="AL39" s="4" t="b">
        <v>0</v>
      </c>
      <c r="AM39" s="4" t="b">
        <v>0</v>
      </c>
      <c r="AN39" s="3" t="b">
        <f t="shared" si="8"/>
        <v>0</v>
      </c>
      <c r="AO39" s="3" t="b">
        <f t="shared" si="9"/>
        <v>0</v>
      </c>
      <c r="AP39" s="3" t="b">
        <f t="shared" si="10"/>
        <v>1</v>
      </c>
      <c r="AQ39" s="3" t="b">
        <f t="shared" si="11"/>
        <v>0</v>
      </c>
      <c r="AR39" s="3"/>
    </row>
    <row r="40" spans="2:44" x14ac:dyDescent="0.35">
      <c r="B40" s="4" t="s">
        <v>105</v>
      </c>
      <c r="C40" s="4" t="s">
        <v>25</v>
      </c>
      <c r="G40" s="4" t="s">
        <v>3523</v>
      </c>
      <c r="H40" s="4"/>
      <c r="I40" s="4"/>
      <c r="L40" s="4" t="s">
        <v>28</v>
      </c>
      <c r="M40" s="4" t="b">
        <v>1</v>
      </c>
      <c r="N40" s="4" t="b">
        <v>1</v>
      </c>
      <c r="O40" s="4" t="b">
        <v>1</v>
      </c>
      <c r="P40" s="4" t="b">
        <v>1</v>
      </c>
      <c r="Q40" s="4" t="b">
        <v>1</v>
      </c>
      <c r="R40" s="3" t="b">
        <f t="shared" si="0"/>
        <v>1</v>
      </c>
      <c r="S40" s="3" t="b">
        <f t="shared" si="1"/>
        <v>0</v>
      </c>
      <c r="T40" s="3" t="b">
        <f t="shared" si="2"/>
        <v>0</v>
      </c>
      <c r="U40" s="3" t="b">
        <f t="shared" si="3"/>
        <v>0</v>
      </c>
      <c r="W40" s="4" t="s">
        <v>28</v>
      </c>
      <c r="X40" s="4" t="b">
        <v>1</v>
      </c>
      <c r="Y40" s="4" t="b">
        <v>1</v>
      </c>
      <c r="Z40" s="4" t="b">
        <v>1</v>
      </c>
      <c r="AA40" s="4" t="b">
        <v>1</v>
      </c>
      <c r="AB40" s="4" t="b">
        <v>1</v>
      </c>
      <c r="AC40" s="3" t="b">
        <f t="shared" si="4"/>
        <v>1</v>
      </c>
      <c r="AD40" s="3" t="b">
        <f t="shared" si="5"/>
        <v>0</v>
      </c>
      <c r="AE40" s="3" t="b">
        <f t="shared" si="6"/>
        <v>0</v>
      </c>
      <c r="AF40" s="3" t="b">
        <f t="shared" si="7"/>
        <v>0</v>
      </c>
      <c r="AH40" s="4" t="s">
        <v>28</v>
      </c>
      <c r="AI40" s="4" t="b">
        <v>1</v>
      </c>
      <c r="AJ40" s="4" t="b">
        <v>1</v>
      </c>
      <c r="AK40" s="4" t="b">
        <v>1</v>
      </c>
      <c r="AL40" s="4" t="b">
        <v>1</v>
      </c>
      <c r="AM40" s="4" t="b">
        <v>1</v>
      </c>
      <c r="AN40" s="3" t="b">
        <f t="shared" si="8"/>
        <v>1</v>
      </c>
      <c r="AO40" s="3" t="b">
        <f t="shared" si="9"/>
        <v>0</v>
      </c>
      <c r="AP40" s="3" t="b">
        <f t="shared" si="10"/>
        <v>0</v>
      </c>
      <c r="AQ40" s="3" t="b">
        <f t="shared" si="11"/>
        <v>0</v>
      </c>
      <c r="AR40" s="3"/>
    </row>
    <row r="41" spans="2:44" x14ac:dyDescent="0.35">
      <c r="C41" s="4" t="s">
        <v>29</v>
      </c>
      <c r="G41" s="4" t="s">
        <v>3524</v>
      </c>
      <c r="H41" s="4"/>
      <c r="I41" s="4"/>
      <c r="L41" s="4" t="s">
        <v>31</v>
      </c>
      <c r="M41" s="4" t="b">
        <v>1</v>
      </c>
      <c r="N41" s="4" t="b">
        <v>1</v>
      </c>
      <c r="O41" s="4" t="b">
        <v>1</v>
      </c>
      <c r="P41" s="4" t="b">
        <v>1</v>
      </c>
      <c r="Q41" s="4" t="b">
        <v>1</v>
      </c>
      <c r="R41" s="3" t="b">
        <f t="shared" si="0"/>
        <v>1</v>
      </c>
      <c r="S41" s="3" t="b">
        <f t="shared" si="1"/>
        <v>0</v>
      </c>
      <c r="T41" s="3" t="b">
        <f t="shared" si="2"/>
        <v>0</v>
      </c>
      <c r="U41" s="3" t="b">
        <f t="shared" si="3"/>
        <v>0</v>
      </c>
      <c r="W41" s="4" t="s">
        <v>31</v>
      </c>
      <c r="X41" s="4" t="b">
        <v>1</v>
      </c>
      <c r="Y41" s="4" t="b">
        <v>1</v>
      </c>
      <c r="Z41" s="4" t="b">
        <v>1</v>
      </c>
      <c r="AA41" s="4" t="b">
        <v>1</v>
      </c>
      <c r="AB41" s="4" t="b">
        <v>1</v>
      </c>
      <c r="AC41" s="3" t="b">
        <f t="shared" si="4"/>
        <v>1</v>
      </c>
      <c r="AD41" s="3" t="b">
        <f t="shared" si="5"/>
        <v>0</v>
      </c>
      <c r="AE41" s="3" t="b">
        <f t="shared" si="6"/>
        <v>0</v>
      </c>
      <c r="AF41" s="3" t="b">
        <f t="shared" si="7"/>
        <v>0</v>
      </c>
      <c r="AH41" s="4" t="s">
        <v>31</v>
      </c>
      <c r="AI41" s="4" t="b">
        <v>1</v>
      </c>
      <c r="AJ41" s="4" t="b">
        <v>1</v>
      </c>
      <c r="AK41" s="4" t="b">
        <v>1</v>
      </c>
      <c r="AL41" s="4" t="b">
        <v>1</v>
      </c>
      <c r="AM41" s="4" t="b">
        <v>1</v>
      </c>
      <c r="AN41" s="3" t="b">
        <f t="shared" si="8"/>
        <v>1</v>
      </c>
      <c r="AO41" s="3" t="b">
        <f t="shared" si="9"/>
        <v>0</v>
      </c>
      <c r="AP41" s="3" t="b">
        <f t="shared" si="10"/>
        <v>0</v>
      </c>
      <c r="AQ41" s="3" t="b">
        <f t="shared" si="11"/>
        <v>0</v>
      </c>
      <c r="AR41" s="3"/>
    </row>
    <row r="42" spans="2:44" x14ac:dyDescent="0.35">
      <c r="B42" s="4" t="s">
        <v>3525</v>
      </c>
      <c r="C42" s="4" t="s">
        <v>3526</v>
      </c>
      <c r="D42" s="4" t="s">
        <v>3527</v>
      </c>
      <c r="E42" s="4" t="s">
        <v>3528</v>
      </c>
      <c r="G42" s="4" t="s">
        <v>3529</v>
      </c>
      <c r="H42" s="4"/>
      <c r="I42" s="4"/>
      <c r="L42" s="4" t="s">
        <v>3530</v>
      </c>
      <c r="M42" s="4" t="b">
        <v>1</v>
      </c>
      <c r="N42" s="4" t="b">
        <v>1</v>
      </c>
      <c r="O42" s="4" t="b">
        <v>1</v>
      </c>
      <c r="P42" s="4" t="b">
        <v>1</v>
      </c>
      <c r="Q42" s="4" t="b">
        <v>1</v>
      </c>
      <c r="R42" s="3" t="b">
        <f t="shared" si="0"/>
        <v>1</v>
      </c>
      <c r="S42" s="3" t="b">
        <f t="shared" si="1"/>
        <v>0</v>
      </c>
      <c r="T42" s="3" t="b">
        <f t="shared" si="2"/>
        <v>0</v>
      </c>
      <c r="U42" s="3" t="b">
        <f t="shared" si="3"/>
        <v>0</v>
      </c>
      <c r="W42" s="4" t="s">
        <v>3530</v>
      </c>
      <c r="X42" s="4" t="b">
        <v>1</v>
      </c>
      <c r="Y42" s="4" t="b">
        <v>1</v>
      </c>
      <c r="Z42" s="4" t="b">
        <v>1</v>
      </c>
      <c r="AA42" s="4" t="b">
        <v>1</v>
      </c>
      <c r="AB42" s="4" t="b">
        <v>1</v>
      </c>
      <c r="AC42" s="3" t="b">
        <f t="shared" si="4"/>
        <v>1</v>
      </c>
      <c r="AD42" s="3" t="b">
        <f t="shared" si="5"/>
        <v>0</v>
      </c>
      <c r="AE42" s="3" t="b">
        <f t="shared" si="6"/>
        <v>0</v>
      </c>
      <c r="AF42" s="3" t="b">
        <f t="shared" si="7"/>
        <v>0</v>
      </c>
      <c r="AH42" s="4" t="s">
        <v>3530</v>
      </c>
      <c r="AI42" s="4" t="b">
        <v>1</v>
      </c>
      <c r="AJ42" s="4" t="b">
        <v>1</v>
      </c>
      <c r="AK42" s="4" t="b">
        <v>1</v>
      </c>
      <c r="AL42" s="4" t="b">
        <v>1</v>
      </c>
      <c r="AM42" s="4" t="b">
        <v>1</v>
      </c>
      <c r="AN42" s="3" t="b">
        <f t="shared" si="8"/>
        <v>1</v>
      </c>
      <c r="AO42" s="3" t="b">
        <f t="shared" si="9"/>
        <v>0</v>
      </c>
      <c r="AP42" s="3" t="b">
        <f t="shared" si="10"/>
        <v>0</v>
      </c>
      <c r="AQ42" s="3" t="b">
        <f t="shared" si="11"/>
        <v>0</v>
      </c>
      <c r="AR42" s="3"/>
    </row>
    <row r="43" spans="2:44" x14ac:dyDescent="0.35">
      <c r="C43" s="4" t="s">
        <v>3531</v>
      </c>
      <c r="G43" s="4" t="s">
        <v>3532</v>
      </c>
      <c r="H43" s="4"/>
      <c r="I43" s="4"/>
      <c r="L43" s="4" t="s">
        <v>3533</v>
      </c>
      <c r="M43" s="4" t="b">
        <v>1</v>
      </c>
      <c r="N43" s="4" t="b">
        <v>0</v>
      </c>
      <c r="O43" s="4" t="b">
        <v>0</v>
      </c>
      <c r="P43" s="4" t="b">
        <v>1</v>
      </c>
      <c r="Q43" s="4" t="b">
        <v>0</v>
      </c>
      <c r="R43" s="3" t="b">
        <f t="shared" si="0"/>
        <v>0</v>
      </c>
      <c r="S43" s="3" t="b">
        <f t="shared" si="1"/>
        <v>0</v>
      </c>
      <c r="T43" s="3" t="b">
        <f t="shared" si="2"/>
        <v>1</v>
      </c>
      <c r="U43" s="3" t="b">
        <f t="shared" si="3"/>
        <v>0</v>
      </c>
      <c r="W43" s="4" t="s">
        <v>3533</v>
      </c>
      <c r="X43" s="4" t="b">
        <v>1</v>
      </c>
      <c r="Y43" s="4" t="b">
        <v>0</v>
      </c>
      <c r="Z43" s="4" t="b">
        <v>0</v>
      </c>
      <c r="AA43" s="4" t="b">
        <v>1</v>
      </c>
      <c r="AB43" s="4" t="b">
        <v>0</v>
      </c>
      <c r="AC43" s="3" t="b">
        <f t="shared" si="4"/>
        <v>0</v>
      </c>
      <c r="AD43" s="3" t="b">
        <f t="shared" si="5"/>
        <v>0</v>
      </c>
      <c r="AE43" s="3" t="b">
        <f t="shared" si="6"/>
        <v>1</v>
      </c>
      <c r="AF43" s="3" t="b">
        <f t="shared" si="7"/>
        <v>0</v>
      </c>
      <c r="AH43" s="4" t="s">
        <v>3534</v>
      </c>
      <c r="AI43" s="4" t="b">
        <v>1</v>
      </c>
      <c r="AJ43" s="4" t="b">
        <v>0</v>
      </c>
      <c r="AK43" s="4" t="b">
        <v>0</v>
      </c>
      <c r="AL43" s="4" t="b">
        <v>1</v>
      </c>
      <c r="AM43" s="4" t="b">
        <v>0</v>
      </c>
      <c r="AN43" s="3" t="b">
        <f t="shared" si="8"/>
        <v>0</v>
      </c>
      <c r="AO43" s="3" t="b">
        <f t="shared" si="9"/>
        <v>0</v>
      </c>
      <c r="AP43" s="3" t="b">
        <f t="shared" si="10"/>
        <v>1</v>
      </c>
      <c r="AQ43" s="3" t="b">
        <f t="shared" si="11"/>
        <v>0</v>
      </c>
      <c r="AR43" s="3"/>
    </row>
    <row r="45" spans="2:44" x14ac:dyDescent="0.35">
      <c r="R45" s="4">
        <f t="shared" ref="R45:U45" si="12">COUNTIF(R3:R43,TRUE)</f>
        <v>27</v>
      </c>
      <c r="S45" s="4">
        <f t="shared" si="12"/>
        <v>1</v>
      </c>
      <c r="T45" s="4">
        <f t="shared" si="12"/>
        <v>6</v>
      </c>
      <c r="U45" s="4">
        <f t="shared" si="12"/>
        <v>5</v>
      </c>
      <c r="V45" s="4">
        <f>SUM(R45:U45)</f>
        <v>39</v>
      </c>
      <c r="AC45" s="4">
        <f t="shared" ref="AC45:AF45" si="13">COUNTIF(AC3:AC43,TRUE)</f>
        <v>25</v>
      </c>
      <c r="AD45" s="4">
        <f t="shared" si="13"/>
        <v>1</v>
      </c>
      <c r="AE45" s="4">
        <f t="shared" si="13"/>
        <v>8</v>
      </c>
      <c r="AF45" s="4">
        <f t="shared" si="13"/>
        <v>5</v>
      </c>
      <c r="AG45" s="4">
        <f>SUM(AC45:AF45)</f>
        <v>39</v>
      </c>
      <c r="AN45" s="4">
        <f t="shared" ref="AN45:AQ45" si="14">COUNTIF(AN3:AN43,TRUE)</f>
        <v>26</v>
      </c>
      <c r="AO45" s="4">
        <f t="shared" si="14"/>
        <v>1</v>
      </c>
      <c r="AP45" s="4">
        <f t="shared" si="14"/>
        <v>8</v>
      </c>
      <c r="AQ45" s="4">
        <f t="shared" si="14"/>
        <v>4</v>
      </c>
      <c r="AR45" s="4">
        <f>SUM(AN45:AQ45)</f>
        <v>39</v>
      </c>
    </row>
    <row r="47" spans="2:44" x14ac:dyDescent="0.35">
      <c r="R47" s="3"/>
      <c r="S47" s="3"/>
      <c r="T47" s="3"/>
      <c r="U47" s="3"/>
    </row>
    <row r="49" spans="18:21" x14ac:dyDescent="0.35">
      <c r="R49" s="3"/>
      <c r="S49" s="3"/>
      <c r="T49" s="3"/>
      <c r="U49" s="3"/>
    </row>
    <row r="50" spans="18:21" x14ac:dyDescent="0.35">
      <c r="R50" s="3"/>
      <c r="S50" s="3"/>
      <c r="T50" s="3"/>
      <c r="U50" s="3"/>
    </row>
    <row r="51" spans="18:21" x14ac:dyDescent="0.35">
      <c r="R51" s="3"/>
      <c r="S51" s="3"/>
      <c r="T51" s="3"/>
      <c r="U51" s="3"/>
    </row>
    <row r="52" spans="18:21" x14ac:dyDescent="0.35">
      <c r="R52" s="3"/>
      <c r="S52" s="3"/>
      <c r="T52" s="3"/>
      <c r="U52" s="3"/>
    </row>
    <row r="53" spans="18:21" x14ac:dyDescent="0.35">
      <c r="R53" s="3"/>
      <c r="S53" s="3"/>
      <c r="T53" s="3"/>
      <c r="U53" s="3"/>
    </row>
    <row r="54" spans="18:21" x14ac:dyDescent="0.35">
      <c r="R54" s="3"/>
      <c r="S54" s="3"/>
      <c r="T54" s="3"/>
      <c r="U54" s="3"/>
    </row>
    <row r="55" spans="18:21" x14ac:dyDescent="0.35">
      <c r="R55" s="3"/>
      <c r="S55" s="3"/>
      <c r="T55" s="3"/>
      <c r="U55" s="3"/>
    </row>
    <row r="56" spans="18:21" x14ac:dyDescent="0.35">
      <c r="R56" s="3"/>
      <c r="S56" s="3"/>
      <c r="T56" s="3"/>
      <c r="U56" s="3"/>
    </row>
    <row r="57" spans="18:21" x14ac:dyDescent="0.35">
      <c r="R57" s="3"/>
      <c r="S57" s="3"/>
      <c r="T57" s="3"/>
      <c r="U57" s="3"/>
    </row>
    <row r="58" spans="18:21" x14ac:dyDescent="0.35">
      <c r="R58" s="3"/>
      <c r="S58" s="3"/>
      <c r="T58" s="3"/>
      <c r="U58" s="3"/>
    </row>
    <row r="59" spans="18:21" x14ac:dyDescent="0.35">
      <c r="R59" s="3"/>
      <c r="S59" s="3"/>
      <c r="T59" s="3"/>
      <c r="U59" s="3"/>
    </row>
    <row r="60" spans="18:21" x14ac:dyDescent="0.35">
      <c r="R60" s="3"/>
      <c r="S60" s="3"/>
      <c r="T60" s="3"/>
      <c r="U60" s="3"/>
    </row>
    <row r="61" spans="18:21" x14ac:dyDescent="0.35">
      <c r="R61" s="3"/>
      <c r="S61" s="3"/>
      <c r="T61" s="3"/>
      <c r="U61" s="3"/>
    </row>
    <row r="62" spans="18:21" x14ac:dyDescent="0.35">
      <c r="R62" s="3"/>
      <c r="S62" s="3"/>
      <c r="T62" s="3"/>
      <c r="U62" s="3"/>
    </row>
    <row r="63" spans="18:21" x14ac:dyDescent="0.35">
      <c r="R63" s="3"/>
      <c r="S63" s="3"/>
      <c r="T63" s="3"/>
      <c r="U63" s="3"/>
    </row>
    <row r="64" spans="18:21" x14ac:dyDescent="0.35">
      <c r="R64" s="3"/>
      <c r="S64" s="3"/>
      <c r="T64" s="3"/>
      <c r="U64" s="3"/>
    </row>
    <row r="65" spans="18:21" x14ac:dyDescent="0.35">
      <c r="R65" s="3"/>
      <c r="S65" s="3"/>
      <c r="T65" s="3"/>
      <c r="U65" s="3"/>
    </row>
    <row r="66" spans="18:21" x14ac:dyDescent="0.35">
      <c r="R66" s="3"/>
      <c r="S66" s="3"/>
      <c r="T66" s="3"/>
      <c r="U66" s="3"/>
    </row>
    <row r="67" spans="18:21" x14ac:dyDescent="0.35">
      <c r="R67" s="3"/>
      <c r="S67" s="3"/>
      <c r="T67" s="3"/>
      <c r="U67" s="3"/>
    </row>
    <row r="68" spans="18:21" x14ac:dyDescent="0.35">
      <c r="R68" s="3"/>
      <c r="S68" s="3"/>
      <c r="T68" s="3"/>
      <c r="U68" s="3"/>
    </row>
    <row r="69" spans="18:21" x14ac:dyDescent="0.35">
      <c r="R69" s="3"/>
      <c r="S69" s="3"/>
      <c r="T69" s="3"/>
      <c r="U69" s="3"/>
    </row>
    <row r="70" spans="18:21" x14ac:dyDescent="0.35">
      <c r="R70" s="3"/>
      <c r="S70" s="3"/>
      <c r="T70" s="3"/>
      <c r="U70" s="3"/>
    </row>
    <row r="71" spans="18:21" x14ac:dyDescent="0.35">
      <c r="R71" s="3"/>
      <c r="S71" s="3"/>
      <c r="T71" s="3"/>
      <c r="U71" s="3"/>
    </row>
    <row r="72" spans="18:21" x14ac:dyDescent="0.35">
      <c r="R72" s="3"/>
      <c r="S72" s="3"/>
      <c r="T72" s="3"/>
      <c r="U72" s="3"/>
    </row>
    <row r="73" spans="18:21" x14ac:dyDescent="0.35">
      <c r="R73" s="3"/>
      <c r="S73" s="3"/>
      <c r="T73" s="3"/>
      <c r="U73" s="3"/>
    </row>
    <row r="74" spans="18:21" x14ac:dyDescent="0.35">
      <c r="R74" s="3"/>
      <c r="S74" s="3"/>
      <c r="T74" s="3"/>
      <c r="U74" s="3"/>
    </row>
    <row r="75" spans="18:21" x14ac:dyDescent="0.35">
      <c r="R75" s="3"/>
      <c r="S75" s="3"/>
      <c r="T75" s="3"/>
      <c r="U75" s="3"/>
    </row>
    <row r="76" spans="18:21" x14ac:dyDescent="0.35">
      <c r="R76" s="3"/>
      <c r="S76" s="3"/>
      <c r="T76" s="3"/>
      <c r="U76" s="3"/>
    </row>
    <row r="77" spans="18:21" x14ac:dyDescent="0.35">
      <c r="R77" s="3"/>
      <c r="S77" s="3"/>
      <c r="T77" s="3"/>
      <c r="U77" s="3"/>
    </row>
    <row r="78" spans="18:21" x14ac:dyDescent="0.35">
      <c r="R78" s="3"/>
      <c r="S78" s="3"/>
      <c r="T78" s="3"/>
      <c r="U78" s="3"/>
    </row>
    <row r="79" spans="18:21" x14ac:dyDescent="0.35">
      <c r="R79" s="3"/>
      <c r="S79" s="3"/>
      <c r="T79" s="3"/>
      <c r="U79" s="3"/>
    </row>
    <row r="80" spans="18:21" x14ac:dyDescent="0.35">
      <c r="R80" s="3"/>
      <c r="S80" s="3"/>
      <c r="T80" s="3"/>
      <c r="U80" s="3"/>
    </row>
    <row r="81" spans="18:21" x14ac:dyDescent="0.35">
      <c r="R81" s="3"/>
      <c r="S81" s="3"/>
      <c r="T81" s="3"/>
      <c r="U81" s="3"/>
    </row>
    <row r="82" spans="18:21" x14ac:dyDescent="0.35">
      <c r="R82" s="3"/>
      <c r="S82" s="3"/>
      <c r="T82" s="3"/>
      <c r="U82" s="3"/>
    </row>
    <row r="83" spans="18:21" x14ac:dyDescent="0.35">
      <c r="R83" s="3"/>
      <c r="S83" s="3"/>
      <c r="T83" s="3"/>
      <c r="U83" s="3"/>
    </row>
    <row r="84" spans="18:21" x14ac:dyDescent="0.35">
      <c r="R84" s="3"/>
      <c r="S84" s="3"/>
      <c r="T84" s="3"/>
      <c r="U84" s="3"/>
    </row>
    <row r="85" spans="18:21" x14ac:dyDescent="0.35">
      <c r="R85" s="3"/>
      <c r="S85" s="3"/>
      <c r="T85" s="3"/>
      <c r="U85" s="3"/>
    </row>
    <row r="86" spans="18:21" x14ac:dyDescent="0.35">
      <c r="R86" s="3"/>
      <c r="S86" s="3"/>
      <c r="T86" s="3"/>
      <c r="U86" s="3"/>
    </row>
    <row r="87" spans="18:21" x14ac:dyDescent="0.35">
      <c r="R87" s="3"/>
      <c r="S87" s="3"/>
      <c r="T87" s="3"/>
      <c r="U87" s="3"/>
    </row>
    <row r="88" spans="18:21" x14ac:dyDescent="0.35">
      <c r="R88" s="3"/>
      <c r="S88" s="3"/>
      <c r="T88" s="3"/>
      <c r="U88" s="3"/>
    </row>
    <row r="89" spans="18:21" x14ac:dyDescent="0.35">
      <c r="R89" s="3"/>
      <c r="S89" s="3"/>
      <c r="T89" s="3"/>
      <c r="U89" s="3"/>
    </row>
    <row r="90" spans="18:21" x14ac:dyDescent="0.35">
      <c r="R90" s="3"/>
      <c r="S90" s="3"/>
      <c r="T90" s="3"/>
      <c r="U90" s="3"/>
    </row>
    <row r="91" spans="18:21" x14ac:dyDescent="0.35">
      <c r="R91" s="3"/>
      <c r="S91" s="3"/>
      <c r="T91" s="3"/>
      <c r="U91" s="3"/>
    </row>
    <row r="92" spans="18:21" x14ac:dyDescent="0.35">
      <c r="R92" s="3"/>
      <c r="S92" s="3"/>
      <c r="T92" s="3"/>
      <c r="U92" s="3"/>
    </row>
    <row r="93" spans="18:21" x14ac:dyDescent="0.35">
      <c r="R93" s="3"/>
      <c r="S93" s="3"/>
      <c r="T93" s="3"/>
      <c r="U93" s="3"/>
    </row>
    <row r="94" spans="18:21" x14ac:dyDescent="0.35">
      <c r="R94" s="3"/>
      <c r="S94" s="3"/>
      <c r="T94" s="3"/>
      <c r="U94" s="3"/>
    </row>
    <row r="95" spans="18:21" x14ac:dyDescent="0.35">
      <c r="R95" s="3"/>
      <c r="S95" s="3"/>
      <c r="T95" s="3"/>
      <c r="U95" s="3"/>
    </row>
    <row r="96" spans="18:21" x14ac:dyDescent="0.35">
      <c r="R96" s="3"/>
      <c r="S96" s="3"/>
      <c r="T96" s="3"/>
      <c r="U96" s="3"/>
    </row>
    <row r="97" spans="18:21" x14ac:dyDescent="0.35">
      <c r="R97" s="3"/>
      <c r="S97" s="3"/>
      <c r="T97" s="3"/>
      <c r="U97" s="3"/>
    </row>
    <row r="98" spans="18:21" x14ac:dyDescent="0.35">
      <c r="R98" s="3"/>
      <c r="S98" s="3"/>
      <c r="T98" s="3"/>
      <c r="U98" s="3"/>
    </row>
    <row r="99" spans="18:21" x14ac:dyDescent="0.35">
      <c r="R99" s="3"/>
      <c r="S99" s="3"/>
      <c r="T99" s="3"/>
      <c r="U99" s="3"/>
    </row>
    <row r="100" spans="18:21" x14ac:dyDescent="0.35">
      <c r="R100" s="3"/>
      <c r="S100" s="3"/>
      <c r="T100" s="3"/>
      <c r="U100" s="3"/>
    </row>
    <row r="101" spans="18:21" x14ac:dyDescent="0.35">
      <c r="R101" s="3"/>
      <c r="S101" s="3"/>
      <c r="T101" s="3"/>
      <c r="U101" s="3"/>
    </row>
    <row r="102" spans="18:21" x14ac:dyDescent="0.35">
      <c r="R102" s="3"/>
      <c r="S102" s="3"/>
      <c r="T102" s="3"/>
      <c r="U102" s="3"/>
    </row>
    <row r="103" spans="18:21" x14ac:dyDescent="0.35">
      <c r="R103" s="3"/>
      <c r="S103" s="3"/>
      <c r="T103" s="3"/>
      <c r="U103" s="3"/>
    </row>
    <row r="104" spans="18:21" x14ac:dyDescent="0.35">
      <c r="R104" s="3"/>
      <c r="S104" s="3"/>
      <c r="T104" s="3"/>
      <c r="U104" s="3"/>
    </row>
    <row r="105" spans="18:21" x14ac:dyDescent="0.35">
      <c r="R105" s="3"/>
      <c r="S105" s="3"/>
      <c r="T105" s="3"/>
      <c r="U105" s="3"/>
    </row>
    <row r="106" spans="18:21" x14ac:dyDescent="0.35">
      <c r="R106" s="3"/>
      <c r="S106" s="3"/>
      <c r="T106" s="3"/>
      <c r="U106" s="3"/>
    </row>
    <row r="107" spans="18:21" x14ac:dyDescent="0.35">
      <c r="R107" s="3"/>
      <c r="S107" s="3"/>
      <c r="T107" s="3"/>
      <c r="U107" s="3"/>
    </row>
    <row r="108" spans="18:21" x14ac:dyDescent="0.35">
      <c r="R108" s="3"/>
      <c r="S108" s="3"/>
      <c r="T108" s="3"/>
      <c r="U108" s="3"/>
    </row>
    <row r="109" spans="18:21" x14ac:dyDescent="0.35">
      <c r="R109" s="3"/>
      <c r="S109" s="3"/>
      <c r="T109" s="3"/>
      <c r="U109" s="3"/>
    </row>
    <row r="110" spans="18:21" x14ac:dyDescent="0.35">
      <c r="R110" s="3"/>
      <c r="S110" s="3"/>
      <c r="T110" s="3"/>
      <c r="U110" s="3"/>
    </row>
    <row r="111" spans="18:21" x14ac:dyDescent="0.35">
      <c r="R111" s="3"/>
      <c r="S111" s="3"/>
      <c r="T111" s="3"/>
      <c r="U111" s="3"/>
    </row>
    <row r="112" spans="18:21" x14ac:dyDescent="0.35">
      <c r="R112" s="3"/>
      <c r="S112" s="3"/>
      <c r="T112" s="3"/>
      <c r="U112" s="3"/>
    </row>
    <row r="113" spans="18:21" x14ac:dyDescent="0.35">
      <c r="R113" s="3"/>
      <c r="S113" s="3"/>
      <c r="T113" s="3"/>
      <c r="U113" s="3"/>
    </row>
    <row r="114" spans="18:21" x14ac:dyDescent="0.35">
      <c r="R114" s="3"/>
      <c r="S114" s="3"/>
      <c r="T114" s="3"/>
      <c r="U114" s="3"/>
    </row>
    <row r="115" spans="18:21" x14ac:dyDescent="0.35">
      <c r="R115" s="3"/>
      <c r="S115" s="3"/>
      <c r="T115" s="3"/>
      <c r="U115" s="3"/>
    </row>
    <row r="116" spans="18:21" x14ac:dyDescent="0.35">
      <c r="R116" s="3"/>
      <c r="S116" s="3"/>
      <c r="T116" s="3"/>
      <c r="U116" s="3"/>
    </row>
    <row r="117" spans="18:21" x14ac:dyDescent="0.35">
      <c r="R117" s="3"/>
      <c r="S117" s="3"/>
      <c r="T117" s="3"/>
      <c r="U117" s="3"/>
    </row>
    <row r="118" spans="18:21" x14ac:dyDescent="0.35">
      <c r="R118" s="3"/>
      <c r="S118" s="3"/>
      <c r="T118" s="3"/>
      <c r="U118" s="3"/>
    </row>
    <row r="119" spans="18:21" x14ac:dyDescent="0.35">
      <c r="R119" s="3"/>
      <c r="S119" s="3"/>
      <c r="T119" s="3"/>
      <c r="U119" s="3"/>
    </row>
    <row r="120" spans="18:21" x14ac:dyDescent="0.35">
      <c r="R120" s="3"/>
      <c r="S120" s="3"/>
      <c r="T120" s="3"/>
      <c r="U120" s="3"/>
    </row>
    <row r="121" spans="18:21" x14ac:dyDescent="0.35">
      <c r="R121" s="3"/>
      <c r="S121" s="3"/>
      <c r="T121" s="3"/>
      <c r="U121" s="3"/>
    </row>
    <row r="122" spans="18:21" x14ac:dyDescent="0.35">
      <c r="R122" s="3"/>
      <c r="S122" s="3"/>
      <c r="T122" s="3"/>
      <c r="U122" s="3"/>
    </row>
    <row r="123" spans="18:21" x14ac:dyDescent="0.35">
      <c r="R123" s="3"/>
      <c r="S123" s="3"/>
      <c r="T123" s="3"/>
      <c r="U123" s="3"/>
    </row>
    <row r="124" spans="18:21" x14ac:dyDescent="0.35">
      <c r="R124" s="3"/>
      <c r="S124" s="3"/>
      <c r="T124" s="3"/>
      <c r="U124" s="3"/>
    </row>
    <row r="125" spans="18:21" x14ac:dyDescent="0.35">
      <c r="R125" s="3"/>
      <c r="S125" s="3"/>
      <c r="T125" s="3"/>
      <c r="U125" s="3"/>
    </row>
    <row r="126" spans="18:21" x14ac:dyDescent="0.35">
      <c r="R126" s="3"/>
      <c r="S126" s="3"/>
      <c r="T126" s="3"/>
      <c r="U126" s="3"/>
    </row>
    <row r="127" spans="18:21" x14ac:dyDescent="0.35">
      <c r="R127" s="3"/>
      <c r="S127" s="3"/>
      <c r="T127" s="3"/>
      <c r="U127" s="3"/>
    </row>
    <row r="128" spans="18:21" x14ac:dyDescent="0.35">
      <c r="R128" s="3"/>
      <c r="S128" s="3"/>
      <c r="T128" s="3"/>
      <c r="U128" s="3"/>
    </row>
    <row r="129" spans="18:21" x14ac:dyDescent="0.35">
      <c r="R129" s="3"/>
      <c r="S129" s="3"/>
      <c r="T129" s="3"/>
      <c r="U129" s="3"/>
    </row>
    <row r="130" spans="18:21" x14ac:dyDescent="0.35">
      <c r="R130" s="3"/>
      <c r="S130" s="3"/>
      <c r="T130" s="3"/>
      <c r="U130" s="3"/>
    </row>
    <row r="131" spans="18:21" x14ac:dyDescent="0.35">
      <c r="R131" s="3"/>
      <c r="S131" s="3"/>
      <c r="T131" s="3"/>
      <c r="U131" s="3"/>
    </row>
    <row r="132" spans="18:21" x14ac:dyDescent="0.35">
      <c r="R132" s="3"/>
      <c r="S132" s="3"/>
      <c r="T132" s="3"/>
      <c r="U132" s="3"/>
    </row>
    <row r="133" spans="18:21" x14ac:dyDescent="0.35">
      <c r="R133" s="3"/>
      <c r="S133" s="3"/>
      <c r="T133" s="3"/>
      <c r="U133" s="3"/>
    </row>
    <row r="134" spans="18:21" x14ac:dyDescent="0.35">
      <c r="R134" s="3"/>
      <c r="S134" s="3"/>
      <c r="T134" s="3"/>
      <c r="U134" s="3"/>
    </row>
    <row r="135" spans="18:21" x14ac:dyDescent="0.35">
      <c r="R135" s="3"/>
      <c r="S135" s="3"/>
      <c r="T135" s="3"/>
      <c r="U135" s="3"/>
    </row>
    <row r="136" spans="18:21" x14ac:dyDescent="0.35">
      <c r="R136" s="3"/>
      <c r="S136" s="3"/>
      <c r="T136" s="3"/>
      <c r="U136" s="3"/>
    </row>
    <row r="137" spans="18:21" x14ac:dyDescent="0.35">
      <c r="R137" s="3"/>
      <c r="S137" s="3"/>
      <c r="T137" s="3"/>
      <c r="U137" s="3"/>
    </row>
    <row r="138" spans="18:21" x14ac:dyDescent="0.35">
      <c r="R138" s="3"/>
      <c r="S138" s="3"/>
      <c r="T138" s="3"/>
      <c r="U138" s="3"/>
    </row>
    <row r="139" spans="18:21" x14ac:dyDescent="0.35">
      <c r="R139" s="3"/>
      <c r="S139" s="3"/>
      <c r="T139" s="3"/>
      <c r="U139" s="3"/>
    </row>
    <row r="140" spans="18:21" x14ac:dyDescent="0.35">
      <c r="R140" s="3"/>
      <c r="S140" s="3"/>
      <c r="T140" s="3"/>
      <c r="U140" s="3"/>
    </row>
    <row r="141" spans="18:21" x14ac:dyDescent="0.35">
      <c r="R141" s="3"/>
      <c r="S141" s="3"/>
      <c r="T141" s="3"/>
      <c r="U141" s="3"/>
    </row>
    <row r="142" spans="18:21" x14ac:dyDescent="0.35">
      <c r="R142" s="3"/>
      <c r="S142" s="3"/>
      <c r="T142" s="3"/>
      <c r="U142" s="3"/>
    </row>
    <row r="143" spans="18:21" x14ac:dyDescent="0.35">
      <c r="R143" s="3"/>
      <c r="S143" s="3"/>
      <c r="T143" s="3"/>
      <c r="U143" s="3"/>
    </row>
    <row r="144" spans="18:21" x14ac:dyDescent="0.35">
      <c r="R144" s="3"/>
      <c r="S144" s="3"/>
      <c r="T144" s="3"/>
      <c r="U144" s="3"/>
    </row>
    <row r="145" spans="18:21" x14ac:dyDescent="0.35">
      <c r="R145" s="3"/>
      <c r="S145" s="3"/>
      <c r="T145" s="3"/>
      <c r="U145" s="3"/>
    </row>
    <row r="146" spans="18:21" x14ac:dyDescent="0.35">
      <c r="R146" s="3"/>
      <c r="S146" s="3"/>
      <c r="T146" s="3"/>
      <c r="U146" s="3"/>
    </row>
    <row r="147" spans="18:21" x14ac:dyDescent="0.35">
      <c r="R147" s="3"/>
      <c r="S147" s="3"/>
      <c r="T147" s="3"/>
      <c r="U147" s="3"/>
    </row>
    <row r="148" spans="18:21" x14ac:dyDescent="0.35">
      <c r="R148" s="3"/>
      <c r="S148" s="3"/>
      <c r="T148" s="3"/>
      <c r="U148" s="3"/>
    </row>
    <row r="149" spans="18:21" x14ac:dyDescent="0.35">
      <c r="R149" s="3"/>
      <c r="S149" s="3"/>
      <c r="T149" s="3"/>
      <c r="U149" s="3"/>
    </row>
    <row r="150" spans="18:21" x14ac:dyDescent="0.35">
      <c r="R150" s="3"/>
      <c r="S150" s="3"/>
      <c r="T150" s="3"/>
      <c r="U150" s="3"/>
    </row>
    <row r="151" spans="18:21" x14ac:dyDescent="0.35">
      <c r="R151" s="3"/>
      <c r="S151" s="3"/>
      <c r="T151" s="3"/>
      <c r="U151" s="3"/>
    </row>
    <row r="152" spans="18:21" x14ac:dyDescent="0.35">
      <c r="R152" s="3"/>
      <c r="S152" s="3"/>
      <c r="T152" s="3"/>
      <c r="U152" s="3"/>
    </row>
    <row r="153" spans="18:21" x14ac:dyDescent="0.35">
      <c r="R153" s="3"/>
      <c r="S153" s="3"/>
      <c r="T153" s="3"/>
      <c r="U153" s="3"/>
    </row>
    <row r="154" spans="18:21" x14ac:dyDescent="0.35">
      <c r="R154" s="3"/>
      <c r="S154" s="3"/>
      <c r="T154" s="3"/>
      <c r="U154" s="3"/>
    </row>
    <row r="155" spans="18:21" x14ac:dyDescent="0.35">
      <c r="R155" s="3"/>
      <c r="S155" s="3"/>
      <c r="T155" s="3"/>
      <c r="U155" s="3"/>
    </row>
    <row r="156" spans="18:21" x14ac:dyDescent="0.35">
      <c r="R156" s="3"/>
      <c r="S156" s="3"/>
      <c r="T156" s="3"/>
      <c r="U156" s="3"/>
    </row>
    <row r="157" spans="18:21" x14ac:dyDescent="0.35">
      <c r="R157" s="3"/>
      <c r="S157" s="3"/>
      <c r="T157" s="3"/>
      <c r="U157" s="3"/>
    </row>
    <row r="158" spans="18:21" x14ac:dyDescent="0.35">
      <c r="R158" s="3"/>
      <c r="S158" s="3"/>
      <c r="T158" s="3"/>
      <c r="U158" s="3"/>
    </row>
    <row r="159" spans="18:21" x14ac:dyDescent="0.35">
      <c r="R159" s="3"/>
      <c r="S159" s="3"/>
      <c r="T159" s="3"/>
      <c r="U159" s="3"/>
    </row>
    <row r="160" spans="18:21" x14ac:dyDescent="0.35">
      <c r="R160" s="3"/>
      <c r="S160" s="3"/>
      <c r="T160" s="3"/>
      <c r="U160" s="3"/>
    </row>
    <row r="161" spans="18:21" x14ac:dyDescent="0.35">
      <c r="R161" s="3"/>
      <c r="S161" s="3"/>
      <c r="T161" s="3"/>
      <c r="U161" s="3"/>
    </row>
    <row r="162" spans="18:21" x14ac:dyDescent="0.35">
      <c r="R162" s="3"/>
      <c r="S162" s="3"/>
      <c r="T162" s="3"/>
      <c r="U162" s="3"/>
    </row>
    <row r="163" spans="18:21" x14ac:dyDescent="0.35">
      <c r="R163" s="3"/>
      <c r="S163" s="3"/>
      <c r="T163" s="3"/>
      <c r="U163" s="3"/>
    </row>
    <row r="164" spans="18:21" x14ac:dyDescent="0.35">
      <c r="R164" s="3"/>
      <c r="S164" s="3"/>
      <c r="T164" s="3"/>
      <c r="U164" s="3"/>
    </row>
    <row r="165" spans="18:21" x14ac:dyDescent="0.35">
      <c r="R165" s="3"/>
      <c r="S165" s="3"/>
      <c r="T165" s="3"/>
      <c r="U165" s="3"/>
    </row>
    <row r="166" spans="18:21" x14ac:dyDescent="0.35">
      <c r="R166" s="3"/>
      <c r="S166" s="3"/>
      <c r="T166" s="3"/>
      <c r="U166" s="3"/>
    </row>
    <row r="167" spans="18:21" x14ac:dyDescent="0.35">
      <c r="R167" s="3"/>
      <c r="S167" s="3"/>
      <c r="T167" s="3"/>
      <c r="U167" s="3"/>
    </row>
    <row r="168" spans="18:21" x14ac:dyDescent="0.35">
      <c r="R168" s="3"/>
      <c r="S168" s="3"/>
      <c r="T168" s="3"/>
      <c r="U168" s="3"/>
    </row>
    <row r="169" spans="18:21" x14ac:dyDescent="0.35">
      <c r="R169" s="3"/>
      <c r="S169" s="3"/>
      <c r="T169" s="3"/>
      <c r="U169" s="3"/>
    </row>
    <row r="170" spans="18:21" x14ac:dyDescent="0.35">
      <c r="R170" s="3"/>
      <c r="S170" s="3"/>
      <c r="T170" s="3"/>
      <c r="U170" s="3"/>
    </row>
    <row r="171" spans="18:21" x14ac:dyDescent="0.35">
      <c r="R171" s="3"/>
      <c r="S171" s="3"/>
      <c r="T171" s="3"/>
      <c r="U171" s="3"/>
    </row>
    <row r="172" spans="18:21" x14ac:dyDescent="0.35">
      <c r="R172" s="3"/>
      <c r="S172" s="3"/>
      <c r="T172" s="3"/>
      <c r="U172" s="3"/>
    </row>
    <row r="173" spans="18:21" x14ac:dyDescent="0.35">
      <c r="R173" s="3"/>
      <c r="S173" s="3"/>
      <c r="T173" s="3"/>
      <c r="U173" s="3"/>
    </row>
    <row r="174" spans="18:21" x14ac:dyDescent="0.35">
      <c r="R174" s="3"/>
      <c r="S174" s="3"/>
      <c r="T174" s="3"/>
      <c r="U174" s="3"/>
    </row>
    <row r="175" spans="18:21" x14ac:dyDescent="0.35">
      <c r="R175" s="3"/>
      <c r="S175" s="3"/>
      <c r="T175" s="3"/>
      <c r="U175" s="3"/>
    </row>
    <row r="176" spans="18:21" x14ac:dyDescent="0.35">
      <c r="R176" s="3"/>
      <c r="S176" s="3"/>
      <c r="T176" s="3"/>
      <c r="U176" s="3"/>
    </row>
    <row r="177" spans="18:21" x14ac:dyDescent="0.35">
      <c r="R177" s="3"/>
      <c r="S177" s="3"/>
      <c r="T177" s="3"/>
      <c r="U177" s="3"/>
    </row>
    <row r="178" spans="18:21" x14ac:dyDescent="0.35">
      <c r="R178" s="3"/>
      <c r="S178" s="3"/>
      <c r="T178" s="3"/>
      <c r="U178" s="3"/>
    </row>
    <row r="179" spans="18:21" x14ac:dyDescent="0.35">
      <c r="R179" s="3"/>
      <c r="S179" s="3"/>
      <c r="T179" s="3"/>
      <c r="U179" s="3"/>
    </row>
    <row r="180" spans="18:21" x14ac:dyDescent="0.35">
      <c r="R180" s="3"/>
      <c r="S180" s="3"/>
      <c r="T180" s="3"/>
      <c r="U180" s="3"/>
    </row>
    <row r="181" spans="18:21" x14ac:dyDescent="0.35">
      <c r="R181" s="3"/>
      <c r="S181" s="3"/>
      <c r="T181" s="3"/>
      <c r="U181" s="3"/>
    </row>
    <row r="182" spans="18:21" x14ac:dyDescent="0.35">
      <c r="R182" s="3"/>
      <c r="S182" s="3"/>
      <c r="T182" s="3"/>
      <c r="U182" s="3"/>
    </row>
    <row r="183" spans="18:21" x14ac:dyDescent="0.35">
      <c r="R183" s="3"/>
      <c r="S183" s="3"/>
      <c r="T183" s="3"/>
      <c r="U183" s="3"/>
    </row>
    <row r="184" spans="18:21" x14ac:dyDescent="0.35">
      <c r="R184" s="3"/>
      <c r="S184" s="3"/>
      <c r="T184" s="3"/>
      <c r="U184" s="3"/>
    </row>
    <row r="185" spans="18:21" x14ac:dyDescent="0.35">
      <c r="R185" s="3"/>
      <c r="S185" s="3"/>
      <c r="T185" s="3"/>
      <c r="U185" s="3"/>
    </row>
    <row r="186" spans="18:21" x14ac:dyDescent="0.35">
      <c r="R186" s="3"/>
      <c r="S186" s="3"/>
      <c r="T186" s="3"/>
      <c r="U186" s="3"/>
    </row>
    <row r="187" spans="18:21" x14ac:dyDescent="0.35">
      <c r="R187" s="3"/>
      <c r="S187" s="3"/>
      <c r="T187" s="3"/>
      <c r="U187" s="3"/>
    </row>
    <row r="188" spans="18:21" x14ac:dyDescent="0.35">
      <c r="R188" s="3"/>
      <c r="S188" s="3"/>
      <c r="T188" s="3"/>
      <c r="U188" s="3"/>
    </row>
    <row r="189" spans="18:21" x14ac:dyDescent="0.35">
      <c r="R189" s="3"/>
      <c r="S189" s="3"/>
      <c r="T189" s="3"/>
      <c r="U189" s="3"/>
    </row>
    <row r="190" spans="18:21" x14ac:dyDescent="0.35">
      <c r="R190" s="3"/>
      <c r="S190" s="3"/>
      <c r="T190" s="3"/>
      <c r="U190" s="3"/>
    </row>
    <row r="191" spans="18:21" x14ac:dyDescent="0.35">
      <c r="R191" s="3"/>
      <c r="S191" s="3"/>
      <c r="T191" s="3"/>
      <c r="U191" s="3"/>
    </row>
    <row r="192" spans="18:21" x14ac:dyDescent="0.35">
      <c r="R192" s="3"/>
      <c r="S192" s="3"/>
      <c r="T192" s="3"/>
      <c r="U192" s="3"/>
    </row>
    <row r="193" spans="18:21" x14ac:dyDescent="0.35">
      <c r="R193" s="3"/>
      <c r="S193" s="3"/>
      <c r="T193" s="3"/>
      <c r="U193" s="3"/>
    </row>
    <row r="194" spans="18:21" x14ac:dyDescent="0.35">
      <c r="R194" s="3"/>
      <c r="S194" s="3"/>
      <c r="T194" s="3"/>
      <c r="U194" s="3"/>
    </row>
    <row r="195" spans="18:21" x14ac:dyDescent="0.35">
      <c r="R195" s="3"/>
      <c r="S195" s="3"/>
      <c r="T195" s="3"/>
      <c r="U195" s="3"/>
    </row>
    <row r="196" spans="18:21" x14ac:dyDescent="0.35">
      <c r="R196" s="3"/>
      <c r="S196" s="3"/>
      <c r="T196" s="3"/>
      <c r="U196" s="3"/>
    </row>
    <row r="197" spans="18:21" x14ac:dyDescent="0.35">
      <c r="R197" s="3"/>
      <c r="S197" s="3"/>
      <c r="T197" s="3"/>
      <c r="U197" s="3"/>
    </row>
    <row r="198" spans="18:21" x14ac:dyDescent="0.35">
      <c r="R198" s="3"/>
      <c r="S198" s="3"/>
      <c r="T198" s="3"/>
      <c r="U198" s="3"/>
    </row>
    <row r="199" spans="18:21" x14ac:dyDescent="0.35">
      <c r="R199" s="3"/>
      <c r="S199" s="3"/>
      <c r="T199" s="3"/>
      <c r="U199" s="3"/>
    </row>
    <row r="200" spans="18:21" x14ac:dyDescent="0.35">
      <c r="R200" s="3"/>
      <c r="S200" s="3"/>
      <c r="T200" s="3"/>
      <c r="U200" s="3"/>
    </row>
    <row r="201" spans="18:21" x14ac:dyDescent="0.35">
      <c r="R201" s="3"/>
      <c r="S201" s="3"/>
      <c r="T201" s="3"/>
      <c r="U201" s="3"/>
    </row>
    <row r="202" spans="18:21" x14ac:dyDescent="0.35">
      <c r="R202" s="3"/>
      <c r="S202" s="3"/>
      <c r="T202" s="3"/>
      <c r="U202" s="3"/>
    </row>
    <row r="203" spans="18:21" x14ac:dyDescent="0.35">
      <c r="R203" s="3"/>
      <c r="S203" s="3"/>
      <c r="T203" s="3"/>
      <c r="U203" s="3"/>
    </row>
    <row r="204" spans="18:21" x14ac:dyDescent="0.35">
      <c r="R204" s="3"/>
      <c r="S204" s="3"/>
      <c r="T204" s="3"/>
      <c r="U204" s="3"/>
    </row>
    <row r="205" spans="18:21" x14ac:dyDescent="0.35">
      <c r="R205" s="3"/>
      <c r="S205" s="3"/>
      <c r="T205" s="3"/>
      <c r="U205" s="3"/>
    </row>
    <row r="206" spans="18:21" x14ac:dyDescent="0.35">
      <c r="R206" s="3"/>
      <c r="S206" s="3"/>
      <c r="T206" s="3"/>
      <c r="U206" s="3"/>
    </row>
    <row r="207" spans="18:21" x14ac:dyDescent="0.35">
      <c r="R207" s="3"/>
      <c r="S207" s="3"/>
      <c r="T207" s="3"/>
      <c r="U207" s="3"/>
    </row>
    <row r="208" spans="18:21" x14ac:dyDescent="0.35">
      <c r="R208" s="3"/>
      <c r="S208" s="3"/>
      <c r="T208" s="3"/>
      <c r="U208" s="3"/>
    </row>
    <row r="209" spans="18:21" x14ac:dyDescent="0.35">
      <c r="R209" s="3"/>
      <c r="S209" s="3"/>
      <c r="T209" s="3"/>
      <c r="U209" s="3"/>
    </row>
    <row r="210" spans="18:21" x14ac:dyDescent="0.35">
      <c r="R210" s="3"/>
      <c r="S210" s="3"/>
      <c r="T210" s="3"/>
      <c r="U210" s="3"/>
    </row>
    <row r="211" spans="18:21" x14ac:dyDescent="0.35">
      <c r="R211" s="3"/>
      <c r="S211" s="3"/>
      <c r="T211" s="3"/>
      <c r="U211" s="3"/>
    </row>
    <row r="212" spans="18:21" x14ac:dyDescent="0.35">
      <c r="R212" s="3"/>
      <c r="S212" s="3"/>
      <c r="T212" s="3"/>
      <c r="U212" s="3"/>
    </row>
    <row r="213" spans="18:21" x14ac:dyDescent="0.35">
      <c r="R213" s="3"/>
      <c r="S213" s="3"/>
      <c r="T213" s="3"/>
      <c r="U213" s="3"/>
    </row>
    <row r="214" spans="18:21" x14ac:dyDescent="0.35">
      <c r="R214" s="3"/>
      <c r="S214" s="3"/>
      <c r="T214" s="3"/>
      <c r="U214" s="3"/>
    </row>
    <row r="215" spans="18:21" x14ac:dyDescent="0.35">
      <c r="R215" s="3"/>
      <c r="S215" s="3"/>
      <c r="T215" s="3"/>
      <c r="U215" s="3"/>
    </row>
    <row r="216" spans="18:21" x14ac:dyDescent="0.35">
      <c r="R216" s="3"/>
      <c r="S216" s="3"/>
      <c r="T216" s="3"/>
      <c r="U216" s="3"/>
    </row>
    <row r="217" spans="18:21" x14ac:dyDescent="0.35">
      <c r="R217" s="3"/>
      <c r="S217" s="3"/>
      <c r="T217" s="3"/>
      <c r="U217" s="3"/>
    </row>
    <row r="218" spans="18:21" x14ac:dyDescent="0.35">
      <c r="R218" s="3"/>
      <c r="S218" s="3"/>
      <c r="T218" s="3"/>
      <c r="U218" s="3"/>
    </row>
    <row r="219" spans="18:21" x14ac:dyDescent="0.35">
      <c r="R219" s="3"/>
      <c r="S219" s="3"/>
      <c r="T219" s="3"/>
      <c r="U219" s="3"/>
    </row>
    <row r="220" spans="18:21" x14ac:dyDescent="0.35">
      <c r="R220" s="3"/>
      <c r="S220" s="3"/>
      <c r="T220" s="3"/>
      <c r="U220" s="3"/>
    </row>
    <row r="221" spans="18:21" x14ac:dyDescent="0.35">
      <c r="R221" s="3"/>
      <c r="S221" s="3"/>
      <c r="T221" s="3"/>
      <c r="U221" s="3"/>
    </row>
    <row r="222" spans="18:21" x14ac:dyDescent="0.35">
      <c r="R222" s="3"/>
      <c r="S222" s="3"/>
      <c r="T222" s="3"/>
      <c r="U222" s="3"/>
    </row>
    <row r="223" spans="18:21" x14ac:dyDescent="0.35">
      <c r="R223" s="3"/>
      <c r="S223" s="3"/>
      <c r="T223" s="3"/>
      <c r="U223" s="3"/>
    </row>
    <row r="224" spans="18:21" x14ac:dyDescent="0.35">
      <c r="R224" s="3"/>
      <c r="S224" s="3"/>
      <c r="T224" s="3"/>
      <c r="U224" s="3"/>
    </row>
    <row r="225" spans="18:21" x14ac:dyDescent="0.35">
      <c r="R225" s="3"/>
      <c r="S225" s="3"/>
      <c r="T225" s="3"/>
      <c r="U225" s="3"/>
    </row>
    <row r="226" spans="18:21" x14ac:dyDescent="0.35">
      <c r="R226" s="3"/>
      <c r="S226" s="3"/>
      <c r="T226" s="3"/>
      <c r="U226" s="3"/>
    </row>
    <row r="227" spans="18:21" x14ac:dyDescent="0.35">
      <c r="R227" s="3"/>
      <c r="S227" s="3"/>
      <c r="T227" s="3"/>
      <c r="U227" s="3"/>
    </row>
    <row r="228" spans="18:21" x14ac:dyDescent="0.35">
      <c r="R228" s="3"/>
      <c r="S228" s="3"/>
      <c r="T228" s="3"/>
      <c r="U228" s="3"/>
    </row>
    <row r="229" spans="18:21" x14ac:dyDescent="0.35">
      <c r="R229" s="3"/>
      <c r="S229" s="3"/>
      <c r="T229" s="3"/>
      <c r="U229" s="3"/>
    </row>
    <row r="230" spans="18:21" x14ac:dyDescent="0.35">
      <c r="R230" s="3"/>
      <c r="S230" s="3"/>
      <c r="T230" s="3"/>
      <c r="U230" s="3"/>
    </row>
    <row r="231" spans="18:21" x14ac:dyDescent="0.35">
      <c r="R231" s="3"/>
      <c r="S231" s="3"/>
      <c r="T231" s="3"/>
      <c r="U231" s="3"/>
    </row>
    <row r="232" spans="18:21" x14ac:dyDescent="0.35">
      <c r="R232" s="3"/>
      <c r="S232" s="3"/>
      <c r="T232" s="3"/>
      <c r="U232" s="3"/>
    </row>
    <row r="233" spans="18:21" x14ac:dyDescent="0.35">
      <c r="R233" s="3"/>
      <c r="S233" s="3"/>
      <c r="T233" s="3"/>
      <c r="U233" s="3"/>
    </row>
    <row r="234" spans="18:21" x14ac:dyDescent="0.35">
      <c r="R234" s="3"/>
      <c r="S234" s="3"/>
      <c r="T234" s="3"/>
      <c r="U234" s="3"/>
    </row>
    <row r="235" spans="18:21" x14ac:dyDescent="0.35">
      <c r="R235" s="3"/>
      <c r="S235" s="3"/>
      <c r="T235" s="3"/>
      <c r="U235" s="3"/>
    </row>
    <row r="236" spans="18:21" x14ac:dyDescent="0.35">
      <c r="R236" s="3"/>
      <c r="S236" s="3"/>
      <c r="T236" s="3"/>
      <c r="U236" s="3"/>
    </row>
    <row r="237" spans="18:21" x14ac:dyDescent="0.35">
      <c r="R237" s="3"/>
      <c r="S237" s="3"/>
      <c r="T237" s="3"/>
      <c r="U237" s="3"/>
    </row>
    <row r="238" spans="18:21" x14ac:dyDescent="0.35">
      <c r="R238" s="3"/>
      <c r="S238" s="3"/>
      <c r="T238" s="3"/>
      <c r="U238" s="3"/>
    </row>
    <row r="239" spans="18:21" x14ac:dyDescent="0.35">
      <c r="R239" s="3"/>
      <c r="S239" s="3"/>
      <c r="T239" s="3"/>
      <c r="U239" s="3"/>
    </row>
    <row r="240" spans="18:21" x14ac:dyDescent="0.35">
      <c r="R240" s="3"/>
      <c r="S240" s="3"/>
      <c r="T240" s="3"/>
      <c r="U240" s="3"/>
    </row>
    <row r="241" spans="18:21" x14ac:dyDescent="0.35">
      <c r="R241" s="3"/>
      <c r="S241" s="3"/>
      <c r="T241" s="3"/>
      <c r="U241" s="3"/>
    </row>
    <row r="242" spans="18:21" x14ac:dyDescent="0.35">
      <c r="R242" s="3"/>
      <c r="S242" s="3"/>
      <c r="T242" s="3"/>
      <c r="U242" s="3"/>
    </row>
    <row r="243" spans="18:21" x14ac:dyDescent="0.35">
      <c r="R243" s="3"/>
      <c r="S243" s="3"/>
      <c r="T243" s="3"/>
      <c r="U243" s="3"/>
    </row>
    <row r="244" spans="18:21" x14ac:dyDescent="0.35">
      <c r="R244" s="3"/>
      <c r="S244" s="3"/>
      <c r="T244" s="3"/>
      <c r="U244" s="3"/>
    </row>
    <row r="245" spans="18:21" x14ac:dyDescent="0.35">
      <c r="R245" s="3"/>
      <c r="S245" s="3"/>
      <c r="T245" s="3"/>
      <c r="U245" s="3"/>
    </row>
    <row r="246" spans="18:21" x14ac:dyDescent="0.35">
      <c r="R246" s="3"/>
      <c r="S246" s="3"/>
      <c r="T246" s="3"/>
      <c r="U246" s="3"/>
    </row>
    <row r="247" spans="18:21" x14ac:dyDescent="0.35">
      <c r="R247" s="3"/>
      <c r="S247" s="3"/>
      <c r="T247" s="3"/>
      <c r="U247" s="3"/>
    </row>
    <row r="248" spans="18:21" x14ac:dyDescent="0.35">
      <c r="R248" s="3"/>
      <c r="S248" s="3"/>
      <c r="T248" s="3"/>
      <c r="U248" s="3"/>
    </row>
    <row r="249" spans="18:21" x14ac:dyDescent="0.35">
      <c r="R249" s="3"/>
      <c r="S249" s="3"/>
      <c r="T249" s="3"/>
      <c r="U249" s="3"/>
    </row>
    <row r="250" spans="18:21" x14ac:dyDescent="0.35">
      <c r="R250" s="3"/>
      <c r="S250" s="3"/>
      <c r="T250" s="3"/>
      <c r="U250" s="3"/>
    </row>
    <row r="251" spans="18:21" x14ac:dyDescent="0.35">
      <c r="R251" s="3"/>
      <c r="S251" s="3"/>
      <c r="T251" s="3"/>
      <c r="U251" s="3"/>
    </row>
    <row r="252" spans="18:21" x14ac:dyDescent="0.35">
      <c r="R252" s="3"/>
      <c r="S252" s="3"/>
      <c r="T252" s="3"/>
      <c r="U252" s="3"/>
    </row>
    <row r="253" spans="18:21" x14ac:dyDescent="0.35">
      <c r="R253" s="3"/>
      <c r="S253" s="3"/>
      <c r="T253" s="3"/>
      <c r="U253" s="3"/>
    </row>
    <row r="254" spans="18:21" x14ac:dyDescent="0.35">
      <c r="R254" s="3"/>
      <c r="S254" s="3"/>
      <c r="T254" s="3"/>
      <c r="U254" s="3"/>
    </row>
    <row r="255" spans="18:21" x14ac:dyDescent="0.35">
      <c r="R255" s="3"/>
      <c r="S255" s="3"/>
      <c r="T255" s="3"/>
      <c r="U255" s="3"/>
    </row>
    <row r="256" spans="18:21" x14ac:dyDescent="0.35">
      <c r="R256" s="3"/>
      <c r="S256" s="3"/>
      <c r="T256" s="3"/>
      <c r="U256" s="3"/>
    </row>
    <row r="257" spans="18:21" x14ac:dyDescent="0.35">
      <c r="R257" s="3"/>
      <c r="S257" s="3"/>
      <c r="T257" s="3"/>
      <c r="U257" s="3"/>
    </row>
    <row r="258" spans="18:21" x14ac:dyDescent="0.35">
      <c r="R258" s="3"/>
      <c r="S258" s="3"/>
      <c r="T258" s="3"/>
      <c r="U258" s="3"/>
    </row>
    <row r="259" spans="18:21" x14ac:dyDescent="0.35">
      <c r="R259" s="3"/>
      <c r="S259" s="3"/>
      <c r="T259" s="3"/>
      <c r="U259" s="3"/>
    </row>
    <row r="260" spans="18:21" x14ac:dyDescent="0.35">
      <c r="R260" s="3"/>
      <c r="S260" s="3"/>
      <c r="T260" s="3"/>
      <c r="U260" s="3"/>
    </row>
    <row r="261" spans="18:21" x14ac:dyDescent="0.35">
      <c r="R261" s="3"/>
      <c r="S261" s="3"/>
      <c r="T261" s="3"/>
      <c r="U261" s="3"/>
    </row>
    <row r="262" spans="18:21" x14ac:dyDescent="0.35">
      <c r="R262" s="3"/>
      <c r="S262" s="3"/>
      <c r="T262" s="3"/>
      <c r="U262" s="3"/>
    </row>
    <row r="263" spans="18:21" x14ac:dyDescent="0.35">
      <c r="R263" s="3"/>
      <c r="S263" s="3"/>
      <c r="T263" s="3"/>
      <c r="U263" s="3"/>
    </row>
    <row r="264" spans="18:21" x14ac:dyDescent="0.35">
      <c r="R264" s="3"/>
      <c r="S264" s="3"/>
      <c r="T264" s="3"/>
      <c r="U264" s="3"/>
    </row>
    <row r="265" spans="18:21" x14ac:dyDescent="0.35">
      <c r="R265" s="3"/>
      <c r="S265" s="3"/>
      <c r="T265" s="3"/>
      <c r="U265" s="3"/>
    </row>
    <row r="266" spans="18:21" x14ac:dyDescent="0.35">
      <c r="R266" s="3"/>
      <c r="S266" s="3"/>
      <c r="T266" s="3"/>
      <c r="U266" s="3"/>
    </row>
    <row r="267" spans="18:21" x14ac:dyDescent="0.35">
      <c r="R267" s="3"/>
      <c r="S267" s="3"/>
      <c r="T267" s="3"/>
      <c r="U267" s="3"/>
    </row>
    <row r="268" spans="18:21" x14ac:dyDescent="0.35">
      <c r="R268" s="3"/>
      <c r="S268" s="3"/>
      <c r="T268" s="3"/>
      <c r="U268" s="3"/>
    </row>
    <row r="269" spans="18:21" x14ac:dyDescent="0.35">
      <c r="R269" s="3"/>
      <c r="S269" s="3"/>
      <c r="T269" s="3"/>
      <c r="U269" s="3"/>
    </row>
    <row r="270" spans="18:21" x14ac:dyDescent="0.35">
      <c r="R270" s="3"/>
      <c r="S270" s="3"/>
      <c r="T270" s="3"/>
      <c r="U270" s="3"/>
    </row>
    <row r="271" spans="18:21" x14ac:dyDescent="0.35">
      <c r="R271" s="3"/>
      <c r="S271" s="3"/>
      <c r="T271" s="3"/>
      <c r="U271" s="3"/>
    </row>
    <row r="272" spans="18:21" x14ac:dyDescent="0.35">
      <c r="R272" s="3"/>
      <c r="S272" s="3"/>
      <c r="T272" s="3"/>
      <c r="U272" s="3"/>
    </row>
    <row r="273" spans="18:21" x14ac:dyDescent="0.35">
      <c r="R273" s="3"/>
      <c r="S273" s="3"/>
      <c r="T273" s="3"/>
      <c r="U273" s="3"/>
    </row>
    <row r="274" spans="18:21" x14ac:dyDescent="0.35">
      <c r="R274" s="3"/>
      <c r="S274" s="3"/>
      <c r="T274" s="3"/>
      <c r="U274" s="3"/>
    </row>
    <row r="275" spans="18:21" x14ac:dyDescent="0.35">
      <c r="R275" s="3"/>
      <c r="S275" s="3"/>
      <c r="T275" s="3"/>
      <c r="U275" s="3"/>
    </row>
    <row r="276" spans="18:21" x14ac:dyDescent="0.35">
      <c r="R276" s="3"/>
      <c r="S276" s="3"/>
      <c r="T276" s="3"/>
      <c r="U276" s="3"/>
    </row>
    <row r="277" spans="18:21" x14ac:dyDescent="0.35">
      <c r="R277" s="3"/>
      <c r="S277" s="3"/>
      <c r="T277" s="3"/>
      <c r="U277" s="3"/>
    </row>
    <row r="278" spans="18:21" x14ac:dyDescent="0.35">
      <c r="R278" s="3"/>
      <c r="S278" s="3"/>
      <c r="T278" s="3"/>
      <c r="U278" s="3"/>
    </row>
    <row r="279" spans="18:21" x14ac:dyDescent="0.35">
      <c r="R279" s="3"/>
      <c r="S279" s="3"/>
      <c r="T279" s="3"/>
      <c r="U279" s="3"/>
    </row>
    <row r="280" spans="18:21" x14ac:dyDescent="0.35">
      <c r="R280" s="3"/>
      <c r="S280" s="3"/>
      <c r="T280" s="3"/>
      <c r="U280" s="3"/>
    </row>
    <row r="281" spans="18:21" x14ac:dyDescent="0.35">
      <c r="R281" s="3"/>
      <c r="S281" s="3"/>
      <c r="T281" s="3"/>
      <c r="U281" s="3"/>
    </row>
    <row r="282" spans="18:21" x14ac:dyDescent="0.35">
      <c r="R282" s="3"/>
      <c r="S282" s="3"/>
      <c r="T282" s="3"/>
      <c r="U282" s="3"/>
    </row>
    <row r="283" spans="18:21" x14ac:dyDescent="0.35">
      <c r="R283" s="3"/>
      <c r="S283" s="3"/>
      <c r="T283" s="3"/>
      <c r="U283" s="3"/>
    </row>
    <row r="284" spans="18:21" x14ac:dyDescent="0.35">
      <c r="R284" s="3"/>
      <c r="S284" s="3"/>
      <c r="T284" s="3"/>
      <c r="U284" s="3"/>
    </row>
    <row r="285" spans="18:21" x14ac:dyDescent="0.35">
      <c r="R285" s="3"/>
      <c r="S285" s="3"/>
      <c r="T285" s="3"/>
      <c r="U285" s="3"/>
    </row>
    <row r="286" spans="18:21" x14ac:dyDescent="0.35">
      <c r="R286" s="3"/>
      <c r="S286" s="3"/>
      <c r="T286" s="3"/>
      <c r="U286" s="3"/>
    </row>
    <row r="287" spans="18:21" x14ac:dyDescent="0.35">
      <c r="R287" s="3"/>
      <c r="S287" s="3"/>
      <c r="T287" s="3"/>
      <c r="U287" s="3"/>
    </row>
    <row r="288" spans="18:21" x14ac:dyDescent="0.35">
      <c r="R288" s="3"/>
      <c r="S288" s="3"/>
      <c r="T288" s="3"/>
      <c r="U288" s="3"/>
    </row>
    <row r="289" spans="18:21" x14ac:dyDescent="0.35">
      <c r="R289" s="3"/>
      <c r="S289" s="3"/>
      <c r="T289" s="3"/>
      <c r="U289" s="3"/>
    </row>
    <row r="290" spans="18:21" x14ac:dyDescent="0.35">
      <c r="R290" s="3"/>
      <c r="S290" s="3"/>
      <c r="T290" s="3"/>
      <c r="U290" s="3"/>
    </row>
    <row r="291" spans="18:21" x14ac:dyDescent="0.35">
      <c r="R291" s="3"/>
      <c r="S291" s="3"/>
      <c r="T291" s="3"/>
      <c r="U291" s="3"/>
    </row>
    <row r="292" spans="18:21" x14ac:dyDescent="0.35">
      <c r="R292" s="3"/>
      <c r="S292" s="3"/>
      <c r="T292" s="3"/>
      <c r="U292" s="3"/>
    </row>
    <row r="293" spans="18:21" x14ac:dyDescent="0.35">
      <c r="R293" s="3"/>
      <c r="S293" s="3"/>
      <c r="T293" s="3"/>
      <c r="U293" s="3"/>
    </row>
    <row r="294" spans="18:21" x14ac:dyDescent="0.35">
      <c r="R294" s="3"/>
      <c r="S294" s="3"/>
      <c r="T294" s="3"/>
      <c r="U294" s="3"/>
    </row>
    <row r="295" spans="18:21" x14ac:dyDescent="0.35">
      <c r="R295" s="3"/>
      <c r="S295" s="3"/>
      <c r="T295" s="3"/>
      <c r="U295" s="3"/>
    </row>
    <row r="296" spans="18:21" x14ac:dyDescent="0.35">
      <c r="R296" s="3"/>
      <c r="S296" s="3"/>
      <c r="T296" s="3"/>
      <c r="U296" s="3"/>
    </row>
    <row r="297" spans="18:21" x14ac:dyDescent="0.35">
      <c r="R297" s="3"/>
      <c r="S297" s="3"/>
      <c r="T297" s="3"/>
      <c r="U297" s="3"/>
    </row>
    <row r="298" spans="18:21" x14ac:dyDescent="0.35">
      <c r="R298" s="3"/>
      <c r="S298" s="3"/>
      <c r="T298" s="3"/>
      <c r="U298" s="3"/>
    </row>
    <row r="299" spans="18:21" x14ac:dyDescent="0.35">
      <c r="R299" s="3"/>
      <c r="S299" s="3"/>
      <c r="T299" s="3"/>
      <c r="U299" s="3"/>
    </row>
    <row r="300" spans="18:21" x14ac:dyDescent="0.35">
      <c r="R300" s="3"/>
      <c r="S300" s="3"/>
      <c r="T300" s="3"/>
      <c r="U300" s="3"/>
    </row>
    <row r="301" spans="18:21" x14ac:dyDescent="0.35">
      <c r="R301" s="3"/>
      <c r="S301" s="3"/>
      <c r="T301" s="3"/>
      <c r="U301" s="3"/>
    </row>
    <row r="302" spans="18:21" x14ac:dyDescent="0.35">
      <c r="R302" s="3"/>
      <c r="S302" s="3"/>
      <c r="T302" s="3"/>
      <c r="U302" s="3"/>
    </row>
    <row r="303" spans="18:21" x14ac:dyDescent="0.35">
      <c r="R303" s="3"/>
      <c r="S303" s="3"/>
      <c r="T303" s="3"/>
      <c r="U303" s="3"/>
    </row>
    <row r="304" spans="18:21" x14ac:dyDescent="0.35">
      <c r="R304" s="3"/>
      <c r="S304" s="3"/>
      <c r="T304" s="3"/>
      <c r="U304" s="3"/>
    </row>
    <row r="305" spans="18:21" x14ac:dyDescent="0.35">
      <c r="R305" s="3"/>
      <c r="S305" s="3"/>
      <c r="T305" s="3"/>
      <c r="U305" s="3"/>
    </row>
    <row r="306" spans="18:21" x14ac:dyDescent="0.35">
      <c r="R306" s="3"/>
      <c r="S306" s="3"/>
      <c r="T306" s="3"/>
      <c r="U306" s="3"/>
    </row>
    <row r="307" spans="18:21" x14ac:dyDescent="0.35">
      <c r="R307" s="3"/>
      <c r="S307" s="3"/>
      <c r="T307" s="3"/>
      <c r="U307" s="3"/>
    </row>
    <row r="308" spans="18:21" x14ac:dyDescent="0.35">
      <c r="R308" s="3"/>
      <c r="S308" s="3"/>
      <c r="T308" s="3"/>
      <c r="U308" s="3"/>
    </row>
    <row r="309" spans="18:21" x14ac:dyDescent="0.35">
      <c r="R309" s="3"/>
      <c r="S309" s="3"/>
      <c r="T309" s="3"/>
      <c r="U309" s="3"/>
    </row>
    <row r="310" spans="18:21" x14ac:dyDescent="0.35">
      <c r="R310" s="3"/>
      <c r="S310" s="3"/>
      <c r="T310" s="3"/>
      <c r="U310" s="3"/>
    </row>
    <row r="311" spans="18:21" x14ac:dyDescent="0.35">
      <c r="R311" s="3"/>
      <c r="S311" s="3"/>
      <c r="T311" s="3"/>
      <c r="U311" s="3"/>
    </row>
    <row r="312" spans="18:21" x14ac:dyDescent="0.35">
      <c r="R312" s="3"/>
      <c r="S312" s="3"/>
      <c r="T312" s="3"/>
      <c r="U312" s="3"/>
    </row>
    <row r="313" spans="18:21" x14ac:dyDescent="0.35">
      <c r="R313" s="3"/>
      <c r="S313" s="3"/>
      <c r="T313" s="3"/>
      <c r="U313" s="3"/>
    </row>
    <row r="314" spans="18:21" x14ac:dyDescent="0.35">
      <c r="R314" s="3"/>
      <c r="S314" s="3"/>
      <c r="T314" s="3"/>
      <c r="U314" s="3"/>
    </row>
    <row r="315" spans="18:21" x14ac:dyDescent="0.35">
      <c r="R315" s="3"/>
      <c r="S315" s="3"/>
      <c r="T315" s="3"/>
      <c r="U315" s="3"/>
    </row>
    <row r="316" spans="18:21" x14ac:dyDescent="0.35">
      <c r="R316" s="3"/>
      <c r="S316" s="3"/>
      <c r="T316" s="3"/>
      <c r="U316" s="3"/>
    </row>
    <row r="317" spans="18:21" x14ac:dyDescent="0.35">
      <c r="R317" s="3"/>
      <c r="S317" s="3"/>
      <c r="T317" s="3"/>
      <c r="U317" s="3"/>
    </row>
    <row r="318" spans="18:21" x14ac:dyDescent="0.35">
      <c r="R318" s="3"/>
      <c r="S318" s="3"/>
      <c r="T318" s="3"/>
      <c r="U318" s="3"/>
    </row>
    <row r="319" spans="18:21" x14ac:dyDescent="0.35">
      <c r="R319" s="3"/>
      <c r="S319" s="3"/>
      <c r="T319" s="3"/>
      <c r="U319" s="3"/>
    </row>
    <row r="320" spans="18:21" x14ac:dyDescent="0.35">
      <c r="R320" s="3"/>
      <c r="S320" s="3"/>
      <c r="T320" s="3"/>
      <c r="U320" s="3"/>
    </row>
    <row r="321" spans="18:21" x14ac:dyDescent="0.35">
      <c r="R321" s="3"/>
      <c r="S321" s="3"/>
      <c r="T321" s="3"/>
      <c r="U321" s="3"/>
    </row>
    <row r="322" spans="18:21" x14ac:dyDescent="0.35">
      <c r="R322" s="3"/>
      <c r="S322" s="3"/>
      <c r="T322" s="3"/>
      <c r="U322" s="3"/>
    </row>
    <row r="323" spans="18:21" x14ac:dyDescent="0.35">
      <c r="R323" s="3"/>
      <c r="S323" s="3"/>
      <c r="T323" s="3"/>
      <c r="U323" s="3"/>
    </row>
    <row r="324" spans="18:21" x14ac:dyDescent="0.35">
      <c r="R324" s="3"/>
      <c r="S324" s="3"/>
      <c r="T324" s="3"/>
      <c r="U324" s="3"/>
    </row>
    <row r="325" spans="18:21" x14ac:dyDescent="0.35">
      <c r="R325" s="3"/>
      <c r="S325" s="3"/>
      <c r="T325" s="3"/>
      <c r="U325" s="3"/>
    </row>
    <row r="326" spans="18:21" x14ac:dyDescent="0.35">
      <c r="R326" s="3"/>
      <c r="S326" s="3"/>
      <c r="T326" s="3"/>
      <c r="U326" s="3"/>
    </row>
    <row r="327" spans="18:21" x14ac:dyDescent="0.35">
      <c r="R327" s="3"/>
      <c r="S327" s="3"/>
      <c r="T327" s="3"/>
      <c r="U327" s="3"/>
    </row>
    <row r="328" spans="18:21" x14ac:dyDescent="0.35">
      <c r="R328" s="3"/>
      <c r="S328" s="3"/>
      <c r="T328" s="3"/>
      <c r="U328" s="3"/>
    </row>
    <row r="329" spans="18:21" x14ac:dyDescent="0.35">
      <c r="R329" s="3"/>
      <c r="S329" s="3"/>
      <c r="T329" s="3"/>
      <c r="U329" s="3"/>
    </row>
    <row r="330" spans="18:21" x14ac:dyDescent="0.35">
      <c r="R330" s="3"/>
      <c r="S330" s="3"/>
      <c r="T330" s="3"/>
      <c r="U330" s="3"/>
    </row>
    <row r="331" spans="18:21" x14ac:dyDescent="0.35">
      <c r="R331" s="3"/>
      <c r="S331" s="3"/>
      <c r="T331" s="3"/>
      <c r="U331" s="3"/>
    </row>
    <row r="332" spans="18:21" x14ac:dyDescent="0.35">
      <c r="R332" s="3"/>
      <c r="S332" s="3"/>
      <c r="T332" s="3"/>
      <c r="U332" s="3"/>
    </row>
    <row r="333" spans="18:21" x14ac:dyDescent="0.35">
      <c r="R333" s="3"/>
      <c r="S333" s="3"/>
      <c r="T333" s="3"/>
      <c r="U333" s="3"/>
    </row>
    <row r="334" spans="18:21" x14ac:dyDescent="0.35">
      <c r="R334" s="3"/>
      <c r="S334" s="3"/>
      <c r="T334" s="3"/>
      <c r="U334" s="3"/>
    </row>
    <row r="335" spans="18:21" x14ac:dyDescent="0.35">
      <c r="R335" s="3"/>
      <c r="S335" s="3"/>
      <c r="T335" s="3"/>
      <c r="U335" s="3"/>
    </row>
    <row r="336" spans="18:21" x14ac:dyDescent="0.35">
      <c r="R336" s="3"/>
      <c r="S336" s="3"/>
      <c r="T336" s="3"/>
      <c r="U336" s="3"/>
    </row>
    <row r="337" spans="18:21" x14ac:dyDescent="0.35">
      <c r="R337" s="3"/>
      <c r="S337" s="3"/>
      <c r="T337" s="3"/>
      <c r="U337" s="3"/>
    </row>
    <row r="338" spans="18:21" x14ac:dyDescent="0.35">
      <c r="R338" s="3"/>
      <c r="S338" s="3"/>
      <c r="T338" s="3"/>
      <c r="U338" s="3"/>
    </row>
    <row r="339" spans="18:21" x14ac:dyDescent="0.35">
      <c r="R339" s="3"/>
      <c r="S339" s="3"/>
      <c r="T339" s="3"/>
      <c r="U339" s="3"/>
    </row>
    <row r="340" spans="18:21" x14ac:dyDescent="0.35">
      <c r="R340" s="3"/>
      <c r="S340" s="3"/>
      <c r="T340" s="3"/>
      <c r="U340" s="3"/>
    </row>
    <row r="341" spans="18:21" x14ac:dyDescent="0.35">
      <c r="R341" s="3"/>
      <c r="S341" s="3"/>
      <c r="T341" s="3"/>
      <c r="U341" s="3"/>
    </row>
    <row r="342" spans="18:21" x14ac:dyDescent="0.35">
      <c r="R342" s="3"/>
      <c r="S342" s="3"/>
      <c r="T342" s="3"/>
      <c r="U342" s="3"/>
    </row>
    <row r="343" spans="18:21" x14ac:dyDescent="0.35">
      <c r="R343" s="3"/>
      <c r="S343" s="3"/>
      <c r="T343" s="3"/>
      <c r="U343" s="3"/>
    </row>
    <row r="344" spans="18:21" x14ac:dyDescent="0.35">
      <c r="R344" s="3"/>
      <c r="S344" s="3"/>
      <c r="T344" s="3"/>
      <c r="U344" s="3"/>
    </row>
    <row r="345" spans="18:21" x14ac:dyDescent="0.35">
      <c r="R345" s="3"/>
      <c r="S345" s="3"/>
      <c r="T345" s="3"/>
      <c r="U345" s="3"/>
    </row>
    <row r="346" spans="18:21" x14ac:dyDescent="0.35">
      <c r="R346" s="3"/>
      <c r="S346" s="3"/>
      <c r="T346" s="3"/>
      <c r="U346" s="3"/>
    </row>
    <row r="347" spans="18:21" x14ac:dyDescent="0.35">
      <c r="R347" s="3"/>
      <c r="S347" s="3"/>
      <c r="T347" s="3"/>
      <c r="U347" s="3"/>
    </row>
    <row r="348" spans="18:21" x14ac:dyDescent="0.35">
      <c r="R348" s="3"/>
      <c r="S348" s="3"/>
      <c r="T348" s="3"/>
      <c r="U348" s="3"/>
    </row>
    <row r="349" spans="18:21" x14ac:dyDescent="0.35">
      <c r="R349" s="3"/>
      <c r="S349" s="3"/>
      <c r="T349" s="3"/>
      <c r="U349" s="3"/>
    </row>
    <row r="350" spans="18:21" x14ac:dyDescent="0.35">
      <c r="R350" s="3"/>
      <c r="S350" s="3"/>
      <c r="T350" s="3"/>
      <c r="U350" s="3"/>
    </row>
    <row r="351" spans="18:21" x14ac:dyDescent="0.35">
      <c r="R351" s="3"/>
      <c r="S351" s="3"/>
      <c r="T351" s="3"/>
      <c r="U351" s="3"/>
    </row>
    <row r="352" spans="18:21" x14ac:dyDescent="0.35">
      <c r="R352" s="3"/>
      <c r="S352" s="3"/>
      <c r="T352" s="3"/>
      <c r="U352" s="3"/>
    </row>
    <row r="353" spans="18:21" x14ac:dyDescent="0.35">
      <c r="R353" s="3"/>
      <c r="S353" s="3"/>
      <c r="T353" s="3"/>
      <c r="U353" s="3"/>
    </row>
    <row r="354" spans="18:21" x14ac:dyDescent="0.35">
      <c r="R354" s="3"/>
      <c r="S354" s="3"/>
      <c r="T354" s="3"/>
      <c r="U354" s="3"/>
    </row>
    <row r="355" spans="18:21" x14ac:dyDescent="0.35">
      <c r="R355" s="3"/>
      <c r="S355" s="3"/>
      <c r="T355" s="3"/>
      <c r="U355" s="3"/>
    </row>
    <row r="356" spans="18:21" x14ac:dyDescent="0.35">
      <c r="R356" s="3"/>
      <c r="S356" s="3"/>
      <c r="T356" s="3"/>
      <c r="U356" s="3"/>
    </row>
    <row r="357" spans="18:21" x14ac:dyDescent="0.35">
      <c r="R357" s="3"/>
      <c r="S357" s="3"/>
      <c r="T357" s="3"/>
      <c r="U357" s="3"/>
    </row>
    <row r="358" spans="18:21" x14ac:dyDescent="0.35">
      <c r="R358" s="3"/>
      <c r="S358" s="3"/>
      <c r="T358" s="3"/>
      <c r="U358" s="3"/>
    </row>
    <row r="359" spans="18:21" x14ac:dyDescent="0.35">
      <c r="R359" s="3"/>
      <c r="S359" s="3"/>
      <c r="T359" s="3"/>
      <c r="U359" s="3"/>
    </row>
    <row r="360" spans="18:21" x14ac:dyDescent="0.35">
      <c r="R360" s="3"/>
      <c r="S360" s="3"/>
      <c r="T360" s="3"/>
      <c r="U360" s="3"/>
    </row>
    <row r="361" spans="18:21" x14ac:dyDescent="0.35">
      <c r="R361" s="3"/>
      <c r="S361" s="3"/>
      <c r="T361" s="3"/>
      <c r="U361" s="3"/>
    </row>
    <row r="362" spans="18:21" x14ac:dyDescent="0.35">
      <c r="R362" s="3"/>
      <c r="S362" s="3"/>
      <c r="T362" s="3"/>
      <c r="U362" s="3"/>
    </row>
    <row r="363" spans="18:21" x14ac:dyDescent="0.35">
      <c r="R363" s="3"/>
      <c r="S363" s="3"/>
      <c r="T363" s="3"/>
      <c r="U363" s="3"/>
    </row>
    <row r="364" spans="18:21" x14ac:dyDescent="0.35">
      <c r="R364" s="3"/>
      <c r="S364" s="3"/>
      <c r="T364" s="3"/>
      <c r="U364" s="3"/>
    </row>
    <row r="365" spans="18:21" x14ac:dyDescent="0.35">
      <c r="R365" s="3"/>
      <c r="S365" s="3"/>
      <c r="T365" s="3"/>
      <c r="U365" s="3"/>
    </row>
    <row r="366" spans="18:21" x14ac:dyDescent="0.35">
      <c r="R366" s="3"/>
      <c r="S366" s="3"/>
      <c r="T366" s="3"/>
      <c r="U366" s="3"/>
    </row>
    <row r="367" spans="18:21" x14ac:dyDescent="0.35">
      <c r="R367" s="3"/>
      <c r="S367" s="3"/>
      <c r="T367" s="3"/>
      <c r="U367" s="3"/>
    </row>
    <row r="368" spans="18:21" x14ac:dyDescent="0.35">
      <c r="R368" s="3"/>
      <c r="S368" s="3"/>
      <c r="T368" s="3"/>
      <c r="U368" s="3"/>
    </row>
    <row r="369" spans="18:21" x14ac:dyDescent="0.35">
      <c r="R369" s="3"/>
      <c r="S369" s="3"/>
      <c r="T369" s="3"/>
      <c r="U369" s="3"/>
    </row>
    <row r="370" spans="18:21" x14ac:dyDescent="0.35">
      <c r="R370" s="3"/>
      <c r="S370" s="3"/>
      <c r="T370" s="3"/>
      <c r="U370" s="3"/>
    </row>
    <row r="371" spans="18:21" x14ac:dyDescent="0.35">
      <c r="R371" s="3"/>
      <c r="S371" s="3"/>
      <c r="T371" s="3"/>
      <c r="U371" s="3"/>
    </row>
    <row r="372" spans="18:21" x14ac:dyDescent="0.35">
      <c r="R372" s="3"/>
      <c r="S372" s="3"/>
      <c r="T372" s="3"/>
      <c r="U372" s="3"/>
    </row>
    <row r="373" spans="18:21" x14ac:dyDescent="0.35">
      <c r="R373" s="3"/>
      <c r="S373" s="3"/>
      <c r="T373" s="3"/>
      <c r="U373" s="3"/>
    </row>
    <row r="374" spans="18:21" x14ac:dyDescent="0.35">
      <c r="R374" s="3"/>
      <c r="S374" s="3"/>
      <c r="T374" s="3"/>
      <c r="U374" s="3"/>
    </row>
    <row r="375" spans="18:21" x14ac:dyDescent="0.35">
      <c r="R375" s="3"/>
      <c r="S375" s="3"/>
      <c r="T375" s="3"/>
      <c r="U375" s="3"/>
    </row>
    <row r="376" spans="18:21" x14ac:dyDescent="0.35">
      <c r="R376" s="3"/>
      <c r="S376" s="3"/>
      <c r="T376" s="3"/>
      <c r="U376" s="3"/>
    </row>
    <row r="377" spans="18:21" x14ac:dyDescent="0.35">
      <c r="R377" s="3"/>
      <c r="S377" s="3"/>
      <c r="T377" s="3"/>
      <c r="U377" s="3"/>
    </row>
    <row r="378" spans="18:21" x14ac:dyDescent="0.35">
      <c r="R378" s="3"/>
      <c r="S378" s="3"/>
      <c r="T378" s="3"/>
      <c r="U378" s="3"/>
    </row>
    <row r="379" spans="18:21" x14ac:dyDescent="0.35">
      <c r="R379" s="3"/>
      <c r="S379" s="3"/>
      <c r="T379" s="3"/>
      <c r="U379" s="3"/>
    </row>
    <row r="380" spans="18:21" x14ac:dyDescent="0.35">
      <c r="R380" s="3"/>
      <c r="S380" s="3"/>
      <c r="T380" s="3"/>
      <c r="U380" s="3"/>
    </row>
    <row r="381" spans="18:21" x14ac:dyDescent="0.35">
      <c r="R381" s="3"/>
      <c r="S381" s="3"/>
      <c r="T381" s="3"/>
      <c r="U381" s="3"/>
    </row>
    <row r="382" spans="18:21" x14ac:dyDescent="0.35">
      <c r="R382" s="3"/>
      <c r="S382" s="3"/>
      <c r="T382" s="3"/>
      <c r="U382" s="3"/>
    </row>
    <row r="383" spans="18:21" x14ac:dyDescent="0.35">
      <c r="R383" s="3"/>
      <c r="S383" s="3"/>
      <c r="T383" s="3"/>
      <c r="U383" s="3"/>
    </row>
    <row r="384" spans="18:21" x14ac:dyDescent="0.35">
      <c r="R384" s="3"/>
      <c r="S384" s="3"/>
      <c r="T384" s="3"/>
      <c r="U384" s="3"/>
    </row>
    <row r="385" spans="18:21" x14ac:dyDescent="0.35">
      <c r="R385" s="3"/>
      <c r="S385" s="3"/>
      <c r="T385" s="3"/>
      <c r="U385" s="3"/>
    </row>
    <row r="386" spans="18:21" x14ac:dyDescent="0.35">
      <c r="R386" s="3"/>
      <c r="S386" s="3"/>
      <c r="T386" s="3"/>
      <c r="U386" s="3"/>
    </row>
    <row r="387" spans="18:21" x14ac:dyDescent="0.35">
      <c r="R387" s="3"/>
      <c r="S387" s="3"/>
      <c r="T387" s="3"/>
      <c r="U387" s="3"/>
    </row>
    <row r="388" spans="18:21" x14ac:dyDescent="0.35">
      <c r="R388" s="3"/>
      <c r="S388" s="3"/>
      <c r="T388" s="3"/>
      <c r="U388" s="3"/>
    </row>
    <row r="389" spans="18:21" x14ac:dyDescent="0.35">
      <c r="R389" s="3"/>
      <c r="S389" s="3"/>
      <c r="T389" s="3"/>
      <c r="U389" s="3"/>
    </row>
    <row r="390" spans="18:21" x14ac:dyDescent="0.35">
      <c r="R390" s="3"/>
      <c r="S390" s="3"/>
      <c r="T390" s="3"/>
      <c r="U390" s="3"/>
    </row>
    <row r="391" spans="18:21" x14ac:dyDescent="0.35">
      <c r="R391" s="3"/>
      <c r="S391" s="3"/>
      <c r="T391" s="3"/>
      <c r="U391" s="3"/>
    </row>
    <row r="392" spans="18:21" x14ac:dyDescent="0.35">
      <c r="R392" s="3"/>
      <c r="S392" s="3"/>
      <c r="T392" s="3"/>
      <c r="U392" s="3"/>
    </row>
    <row r="393" spans="18:21" x14ac:dyDescent="0.35">
      <c r="R393" s="3"/>
      <c r="S393" s="3"/>
      <c r="T393" s="3"/>
      <c r="U393" s="3"/>
    </row>
    <row r="394" spans="18:21" x14ac:dyDescent="0.35">
      <c r="R394" s="3"/>
      <c r="S394" s="3"/>
      <c r="T394" s="3"/>
      <c r="U394" s="3"/>
    </row>
    <row r="395" spans="18:21" x14ac:dyDescent="0.35">
      <c r="R395" s="3"/>
      <c r="S395" s="3"/>
      <c r="T395" s="3"/>
      <c r="U395" s="3"/>
    </row>
    <row r="396" spans="18:21" x14ac:dyDescent="0.35">
      <c r="R396" s="3"/>
      <c r="S396" s="3"/>
      <c r="T396" s="3"/>
      <c r="U396" s="3"/>
    </row>
    <row r="397" spans="18:21" x14ac:dyDescent="0.35">
      <c r="R397" s="3"/>
      <c r="S397" s="3"/>
      <c r="T397" s="3"/>
      <c r="U397" s="3"/>
    </row>
    <row r="398" spans="18:21" x14ac:dyDescent="0.35">
      <c r="R398" s="3"/>
      <c r="S398" s="3"/>
      <c r="T398" s="3"/>
      <c r="U398" s="3"/>
    </row>
    <row r="399" spans="18:21" x14ac:dyDescent="0.35">
      <c r="R399" s="3"/>
      <c r="S399" s="3"/>
      <c r="T399" s="3"/>
      <c r="U399" s="3"/>
    </row>
    <row r="400" spans="18:21" x14ac:dyDescent="0.35">
      <c r="R400" s="3"/>
      <c r="S400" s="3"/>
      <c r="T400" s="3"/>
      <c r="U400" s="3"/>
    </row>
    <row r="401" spans="18:21" x14ac:dyDescent="0.35">
      <c r="R401" s="3"/>
      <c r="S401" s="3"/>
      <c r="T401" s="3"/>
      <c r="U401" s="3"/>
    </row>
    <row r="402" spans="18:21" x14ac:dyDescent="0.35">
      <c r="R402" s="3"/>
      <c r="S402" s="3"/>
      <c r="T402" s="3"/>
      <c r="U402" s="3"/>
    </row>
    <row r="403" spans="18:21" x14ac:dyDescent="0.35">
      <c r="R403" s="3"/>
      <c r="S403" s="3"/>
      <c r="T403" s="3"/>
      <c r="U403" s="3"/>
    </row>
    <row r="404" spans="18:21" x14ac:dyDescent="0.35">
      <c r="R404" s="3"/>
      <c r="S404" s="3"/>
      <c r="T404" s="3"/>
      <c r="U404" s="3"/>
    </row>
    <row r="405" spans="18:21" x14ac:dyDescent="0.35">
      <c r="R405" s="3"/>
      <c r="S405" s="3"/>
      <c r="T405" s="3"/>
      <c r="U405" s="3"/>
    </row>
    <row r="406" spans="18:21" x14ac:dyDescent="0.35">
      <c r="R406" s="3"/>
      <c r="S406" s="3"/>
      <c r="T406" s="3"/>
      <c r="U406" s="3"/>
    </row>
    <row r="407" spans="18:21" x14ac:dyDescent="0.35">
      <c r="R407" s="3"/>
      <c r="S407" s="3"/>
      <c r="T407" s="3"/>
      <c r="U407" s="3"/>
    </row>
    <row r="408" spans="18:21" x14ac:dyDescent="0.35">
      <c r="R408" s="3"/>
      <c r="S408" s="3"/>
      <c r="T408" s="3"/>
      <c r="U408" s="3"/>
    </row>
    <row r="409" spans="18:21" x14ac:dyDescent="0.35">
      <c r="R409" s="3"/>
      <c r="S409" s="3"/>
      <c r="T409" s="3"/>
      <c r="U409" s="3"/>
    </row>
    <row r="410" spans="18:21" x14ac:dyDescent="0.35">
      <c r="R410" s="3"/>
      <c r="S410" s="3"/>
      <c r="T410" s="3"/>
      <c r="U410" s="3"/>
    </row>
    <row r="411" spans="18:21" x14ac:dyDescent="0.35">
      <c r="R411" s="3"/>
      <c r="S411" s="3"/>
      <c r="T411" s="3"/>
      <c r="U411" s="3"/>
    </row>
    <row r="412" spans="18:21" x14ac:dyDescent="0.35">
      <c r="R412" s="3"/>
      <c r="S412" s="3"/>
      <c r="T412" s="3"/>
      <c r="U412" s="3"/>
    </row>
    <row r="413" spans="18:21" x14ac:dyDescent="0.35">
      <c r="R413" s="3"/>
      <c r="S413" s="3"/>
      <c r="T413" s="3"/>
      <c r="U413" s="3"/>
    </row>
    <row r="414" spans="18:21" x14ac:dyDescent="0.35">
      <c r="R414" s="3"/>
      <c r="S414" s="3"/>
      <c r="T414" s="3"/>
      <c r="U414" s="3"/>
    </row>
    <row r="415" spans="18:21" x14ac:dyDescent="0.35">
      <c r="R415" s="3"/>
      <c r="S415" s="3"/>
      <c r="T415" s="3"/>
      <c r="U415" s="3"/>
    </row>
    <row r="416" spans="18:21" x14ac:dyDescent="0.35">
      <c r="R416" s="3"/>
      <c r="S416" s="3"/>
      <c r="T416" s="3"/>
      <c r="U416" s="3"/>
    </row>
    <row r="417" spans="18:21" x14ac:dyDescent="0.35">
      <c r="R417" s="3"/>
      <c r="S417" s="3"/>
      <c r="T417" s="3"/>
      <c r="U417" s="3"/>
    </row>
    <row r="418" spans="18:21" x14ac:dyDescent="0.35">
      <c r="R418" s="3"/>
      <c r="S418" s="3"/>
      <c r="T418" s="3"/>
      <c r="U418" s="3"/>
    </row>
    <row r="419" spans="18:21" x14ac:dyDescent="0.35">
      <c r="R419" s="3"/>
      <c r="S419" s="3"/>
      <c r="T419" s="3"/>
      <c r="U419" s="3"/>
    </row>
    <row r="420" spans="18:21" x14ac:dyDescent="0.35">
      <c r="R420" s="3"/>
      <c r="S420" s="3"/>
      <c r="T420" s="3"/>
      <c r="U420" s="3"/>
    </row>
    <row r="421" spans="18:21" x14ac:dyDescent="0.35">
      <c r="R421" s="3"/>
      <c r="S421" s="3"/>
      <c r="T421" s="3"/>
      <c r="U421" s="3"/>
    </row>
    <row r="422" spans="18:21" x14ac:dyDescent="0.35">
      <c r="R422" s="3"/>
      <c r="S422" s="3"/>
      <c r="T422" s="3"/>
      <c r="U422" s="3"/>
    </row>
    <row r="423" spans="18:21" x14ac:dyDescent="0.35">
      <c r="R423" s="3"/>
      <c r="S423" s="3"/>
      <c r="T423" s="3"/>
      <c r="U423" s="3"/>
    </row>
    <row r="424" spans="18:21" x14ac:dyDescent="0.35">
      <c r="R424" s="3"/>
      <c r="S424" s="3"/>
      <c r="T424" s="3"/>
      <c r="U424" s="3"/>
    </row>
    <row r="425" spans="18:21" x14ac:dyDescent="0.35">
      <c r="R425" s="3"/>
      <c r="S425" s="3"/>
      <c r="T425" s="3"/>
      <c r="U425" s="3"/>
    </row>
    <row r="426" spans="18:21" x14ac:dyDescent="0.35">
      <c r="R426" s="3"/>
      <c r="S426" s="3"/>
      <c r="T426" s="3"/>
      <c r="U426" s="3"/>
    </row>
    <row r="427" spans="18:21" x14ac:dyDescent="0.35">
      <c r="R427" s="3"/>
      <c r="S427" s="3"/>
      <c r="T427" s="3"/>
      <c r="U427" s="3"/>
    </row>
    <row r="428" spans="18:21" x14ac:dyDescent="0.35">
      <c r="R428" s="3"/>
      <c r="S428" s="3"/>
      <c r="T428" s="3"/>
      <c r="U428" s="3"/>
    </row>
    <row r="429" spans="18:21" x14ac:dyDescent="0.35">
      <c r="R429" s="3"/>
      <c r="S429" s="3"/>
      <c r="T429" s="3"/>
      <c r="U429" s="3"/>
    </row>
    <row r="430" spans="18:21" x14ac:dyDescent="0.35">
      <c r="R430" s="3"/>
      <c r="S430" s="3"/>
      <c r="T430" s="3"/>
      <c r="U430" s="3"/>
    </row>
    <row r="431" spans="18:21" x14ac:dyDescent="0.35">
      <c r="R431" s="3"/>
      <c r="S431" s="3"/>
      <c r="T431" s="3"/>
      <c r="U431" s="3"/>
    </row>
    <row r="432" spans="18:21" x14ac:dyDescent="0.35">
      <c r="R432" s="3"/>
      <c r="S432" s="3"/>
      <c r="T432" s="3"/>
      <c r="U432" s="3"/>
    </row>
    <row r="433" spans="18:21" x14ac:dyDescent="0.35">
      <c r="R433" s="3"/>
      <c r="S433" s="3"/>
      <c r="T433" s="3"/>
      <c r="U433" s="3"/>
    </row>
    <row r="434" spans="18:21" x14ac:dyDescent="0.35">
      <c r="R434" s="3"/>
      <c r="S434" s="3"/>
      <c r="T434" s="3"/>
      <c r="U434" s="3"/>
    </row>
    <row r="435" spans="18:21" x14ac:dyDescent="0.35">
      <c r="R435" s="3"/>
      <c r="S435" s="3"/>
      <c r="T435" s="3"/>
      <c r="U435" s="3"/>
    </row>
    <row r="436" spans="18:21" x14ac:dyDescent="0.35">
      <c r="R436" s="3"/>
      <c r="S436" s="3"/>
      <c r="T436" s="3"/>
      <c r="U436" s="3"/>
    </row>
    <row r="437" spans="18:21" x14ac:dyDescent="0.35">
      <c r="R437" s="3"/>
      <c r="S437" s="3"/>
      <c r="T437" s="3"/>
      <c r="U437" s="3"/>
    </row>
    <row r="438" spans="18:21" x14ac:dyDescent="0.35">
      <c r="R438" s="3"/>
      <c r="S438" s="3"/>
      <c r="T438" s="3"/>
      <c r="U438" s="3"/>
    </row>
    <row r="439" spans="18:21" x14ac:dyDescent="0.35">
      <c r="R439" s="3"/>
      <c r="S439" s="3"/>
      <c r="T439" s="3"/>
      <c r="U439" s="3"/>
    </row>
    <row r="440" spans="18:21" x14ac:dyDescent="0.35">
      <c r="R440" s="3"/>
      <c r="S440" s="3"/>
      <c r="T440" s="3"/>
      <c r="U440" s="3"/>
    </row>
    <row r="441" spans="18:21" x14ac:dyDescent="0.35">
      <c r="R441" s="3"/>
      <c r="S441" s="3"/>
      <c r="T441" s="3"/>
      <c r="U441" s="3"/>
    </row>
    <row r="442" spans="18:21" x14ac:dyDescent="0.35">
      <c r="R442" s="3"/>
      <c r="S442" s="3"/>
      <c r="T442" s="3"/>
      <c r="U442" s="3"/>
    </row>
    <row r="443" spans="18:21" x14ac:dyDescent="0.35">
      <c r="R443" s="3"/>
      <c r="S443" s="3"/>
      <c r="T443" s="3"/>
      <c r="U443" s="3"/>
    </row>
    <row r="444" spans="18:21" x14ac:dyDescent="0.35">
      <c r="R444" s="3"/>
      <c r="S444" s="3"/>
      <c r="T444" s="3"/>
      <c r="U444" s="3"/>
    </row>
    <row r="445" spans="18:21" x14ac:dyDescent="0.35">
      <c r="R445" s="3"/>
      <c r="S445" s="3"/>
      <c r="T445" s="3"/>
      <c r="U445" s="3"/>
    </row>
    <row r="446" spans="18:21" x14ac:dyDescent="0.35">
      <c r="R446" s="3"/>
      <c r="S446" s="3"/>
      <c r="T446" s="3"/>
      <c r="U446" s="3"/>
    </row>
    <row r="447" spans="18:21" x14ac:dyDescent="0.35">
      <c r="R447" s="3"/>
      <c r="S447" s="3"/>
      <c r="T447" s="3"/>
      <c r="U447" s="3"/>
    </row>
    <row r="448" spans="18:21" x14ac:dyDescent="0.35">
      <c r="R448" s="3"/>
      <c r="S448" s="3"/>
      <c r="T448" s="3"/>
      <c r="U448" s="3"/>
    </row>
    <row r="449" spans="18:21" x14ac:dyDescent="0.35">
      <c r="R449" s="3"/>
      <c r="S449" s="3"/>
      <c r="T449" s="3"/>
      <c r="U449" s="3"/>
    </row>
    <row r="450" spans="18:21" x14ac:dyDescent="0.35">
      <c r="R450" s="3"/>
      <c r="S450" s="3"/>
      <c r="T450" s="3"/>
      <c r="U450" s="3"/>
    </row>
    <row r="451" spans="18:21" x14ac:dyDescent="0.35">
      <c r="R451" s="3"/>
      <c r="S451" s="3"/>
      <c r="T451" s="3"/>
      <c r="U451" s="3"/>
    </row>
    <row r="452" spans="18:21" x14ac:dyDescent="0.35">
      <c r="R452" s="3"/>
      <c r="S452" s="3"/>
      <c r="T452" s="3"/>
      <c r="U452" s="3"/>
    </row>
    <row r="453" spans="18:21" x14ac:dyDescent="0.35">
      <c r="R453" s="3"/>
      <c r="S453" s="3"/>
      <c r="T453" s="3"/>
      <c r="U453" s="3"/>
    </row>
    <row r="454" spans="18:21" x14ac:dyDescent="0.35">
      <c r="R454" s="3"/>
      <c r="S454" s="3"/>
      <c r="T454" s="3"/>
      <c r="U454" s="3"/>
    </row>
    <row r="455" spans="18:21" x14ac:dyDescent="0.35">
      <c r="R455" s="3"/>
      <c r="S455" s="3"/>
      <c r="T455" s="3"/>
      <c r="U455" s="3"/>
    </row>
    <row r="456" spans="18:21" x14ac:dyDescent="0.35">
      <c r="R456" s="3"/>
      <c r="S456" s="3"/>
      <c r="T456" s="3"/>
      <c r="U456" s="3"/>
    </row>
    <row r="457" spans="18:21" x14ac:dyDescent="0.35">
      <c r="R457" s="3"/>
      <c r="S457" s="3"/>
      <c r="T457" s="3"/>
      <c r="U457" s="3"/>
    </row>
    <row r="458" spans="18:21" x14ac:dyDescent="0.35">
      <c r="R458" s="3"/>
      <c r="S458" s="3"/>
      <c r="T458" s="3"/>
      <c r="U458" s="3"/>
    </row>
    <row r="459" spans="18:21" x14ac:dyDescent="0.35">
      <c r="R459" s="3"/>
      <c r="S459" s="3"/>
      <c r="T459" s="3"/>
      <c r="U459" s="3"/>
    </row>
    <row r="460" spans="18:21" x14ac:dyDescent="0.35">
      <c r="R460" s="3"/>
      <c r="S460" s="3"/>
      <c r="T460" s="3"/>
      <c r="U460" s="3"/>
    </row>
    <row r="461" spans="18:21" x14ac:dyDescent="0.35">
      <c r="R461" s="3"/>
      <c r="S461" s="3"/>
      <c r="T461" s="3"/>
      <c r="U461" s="3"/>
    </row>
    <row r="462" spans="18:21" x14ac:dyDescent="0.35">
      <c r="R462" s="3"/>
      <c r="S462" s="3"/>
      <c r="T462" s="3"/>
      <c r="U462" s="3"/>
    </row>
    <row r="463" spans="18:21" x14ac:dyDescent="0.35">
      <c r="R463" s="3"/>
      <c r="S463" s="3"/>
      <c r="T463" s="3"/>
      <c r="U463" s="3"/>
    </row>
    <row r="464" spans="18:21" x14ac:dyDescent="0.35">
      <c r="R464" s="3"/>
      <c r="S464" s="3"/>
      <c r="T464" s="3"/>
      <c r="U464" s="3"/>
    </row>
    <row r="465" spans="18:21" x14ac:dyDescent="0.35">
      <c r="R465" s="3"/>
      <c r="S465" s="3"/>
      <c r="T465" s="3"/>
      <c r="U465" s="3"/>
    </row>
    <row r="466" spans="18:21" x14ac:dyDescent="0.35">
      <c r="R466" s="3"/>
      <c r="S466" s="3"/>
      <c r="T466" s="3"/>
      <c r="U466" s="3"/>
    </row>
    <row r="467" spans="18:21" x14ac:dyDescent="0.35">
      <c r="R467" s="3"/>
      <c r="S467" s="3"/>
      <c r="T467" s="3"/>
      <c r="U467" s="3"/>
    </row>
    <row r="468" spans="18:21" x14ac:dyDescent="0.35">
      <c r="R468" s="3"/>
      <c r="S468" s="3"/>
      <c r="T468" s="3"/>
      <c r="U468" s="3"/>
    </row>
    <row r="469" spans="18:21" x14ac:dyDescent="0.35">
      <c r="R469" s="3"/>
      <c r="S469" s="3"/>
      <c r="T469" s="3"/>
      <c r="U469" s="3"/>
    </row>
    <row r="470" spans="18:21" x14ac:dyDescent="0.35">
      <c r="R470" s="3"/>
      <c r="S470" s="3"/>
      <c r="T470" s="3"/>
      <c r="U470" s="3"/>
    </row>
    <row r="471" spans="18:21" x14ac:dyDescent="0.35">
      <c r="R471" s="3"/>
      <c r="S471" s="3"/>
      <c r="T471" s="3"/>
      <c r="U471" s="3"/>
    </row>
    <row r="472" spans="18:21" x14ac:dyDescent="0.35">
      <c r="R472" s="3"/>
      <c r="S472" s="3"/>
      <c r="T472" s="3"/>
      <c r="U472" s="3"/>
    </row>
    <row r="473" spans="18:21" x14ac:dyDescent="0.35">
      <c r="R473" s="3"/>
      <c r="S473" s="3"/>
      <c r="T473" s="3"/>
      <c r="U473" s="3"/>
    </row>
    <row r="474" spans="18:21" x14ac:dyDescent="0.35">
      <c r="R474" s="3"/>
      <c r="S474" s="3"/>
      <c r="T474" s="3"/>
      <c r="U474" s="3"/>
    </row>
    <row r="475" spans="18:21" x14ac:dyDescent="0.35">
      <c r="R475" s="3"/>
      <c r="S475" s="3"/>
      <c r="T475" s="3"/>
      <c r="U475" s="3"/>
    </row>
    <row r="476" spans="18:21" x14ac:dyDescent="0.35">
      <c r="R476" s="3"/>
      <c r="S476" s="3"/>
      <c r="T476" s="3"/>
      <c r="U476" s="3"/>
    </row>
    <row r="477" spans="18:21" x14ac:dyDescent="0.35">
      <c r="R477" s="3"/>
      <c r="S477" s="3"/>
      <c r="T477" s="3"/>
      <c r="U477" s="3"/>
    </row>
    <row r="478" spans="18:21" x14ac:dyDescent="0.35">
      <c r="R478" s="3"/>
      <c r="S478" s="3"/>
      <c r="T478" s="3"/>
      <c r="U478" s="3"/>
    </row>
    <row r="479" spans="18:21" x14ac:dyDescent="0.35">
      <c r="R479" s="3"/>
      <c r="S479" s="3"/>
      <c r="T479" s="3"/>
      <c r="U479" s="3"/>
    </row>
    <row r="480" spans="18:21" x14ac:dyDescent="0.35">
      <c r="R480" s="3"/>
      <c r="S480" s="3"/>
      <c r="T480" s="3"/>
      <c r="U480" s="3"/>
    </row>
    <row r="481" spans="18:21" x14ac:dyDescent="0.35">
      <c r="R481" s="3"/>
      <c r="S481" s="3"/>
      <c r="T481" s="3"/>
      <c r="U481" s="3"/>
    </row>
    <row r="482" spans="18:21" x14ac:dyDescent="0.35">
      <c r="R482" s="3"/>
      <c r="S482" s="3"/>
      <c r="T482" s="3"/>
      <c r="U482" s="3"/>
    </row>
    <row r="483" spans="18:21" x14ac:dyDescent="0.35">
      <c r="R483" s="3"/>
      <c r="S483" s="3"/>
      <c r="T483" s="3"/>
      <c r="U483" s="3"/>
    </row>
    <row r="484" spans="18:21" x14ac:dyDescent="0.35">
      <c r="R484" s="3"/>
      <c r="S484" s="3"/>
      <c r="T484" s="3"/>
      <c r="U484" s="3"/>
    </row>
    <row r="485" spans="18:21" x14ac:dyDescent="0.35">
      <c r="R485" s="3"/>
      <c r="S485" s="3"/>
      <c r="T485" s="3"/>
      <c r="U485" s="3"/>
    </row>
    <row r="486" spans="18:21" x14ac:dyDescent="0.35">
      <c r="R486" s="3"/>
      <c r="S486" s="3"/>
      <c r="T486" s="3"/>
      <c r="U486" s="3"/>
    </row>
    <row r="487" spans="18:21" x14ac:dyDescent="0.35">
      <c r="R487" s="3"/>
      <c r="S487" s="3"/>
      <c r="T487" s="3"/>
      <c r="U487" s="3"/>
    </row>
    <row r="488" spans="18:21" x14ac:dyDescent="0.35">
      <c r="R488" s="3"/>
      <c r="S488" s="3"/>
      <c r="T488" s="3"/>
      <c r="U488" s="3"/>
    </row>
    <row r="489" spans="18:21" x14ac:dyDescent="0.35">
      <c r="R489" s="3"/>
      <c r="S489" s="3"/>
      <c r="T489" s="3"/>
      <c r="U489" s="3"/>
    </row>
    <row r="490" spans="18:21" x14ac:dyDescent="0.35">
      <c r="R490" s="3"/>
      <c r="S490" s="3"/>
      <c r="T490" s="3"/>
      <c r="U490" s="3"/>
    </row>
    <row r="491" spans="18:21" x14ac:dyDescent="0.35">
      <c r="R491" s="3"/>
      <c r="S491" s="3"/>
      <c r="T491" s="3"/>
      <c r="U491" s="3"/>
    </row>
    <row r="492" spans="18:21" x14ac:dyDescent="0.35">
      <c r="R492" s="3"/>
      <c r="S492" s="3"/>
      <c r="T492" s="3"/>
      <c r="U492" s="3"/>
    </row>
    <row r="493" spans="18:21" x14ac:dyDescent="0.35">
      <c r="R493" s="3"/>
      <c r="S493" s="3"/>
      <c r="T493" s="3"/>
      <c r="U493" s="3"/>
    </row>
    <row r="494" spans="18:21" x14ac:dyDescent="0.35">
      <c r="R494" s="3"/>
      <c r="S494" s="3"/>
      <c r="T494" s="3"/>
      <c r="U494" s="3"/>
    </row>
    <row r="495" spans="18:21" x14ac:dyDescent="0.35">
      <c r="R495" s="3"/>
      <c r="S495" s="3"/>
      <c r="T495" s="3"/>
      <c r="U495" s="3"/>
    </row>
    <row r="496" spans="18:21" x14ac:dyDescent="0.35">
      <c r="R496" s="3"/>
      <c r="S496" s="3"/>
      <c r="T496" s="3"/>
      <c r="U496" s="3"/>
    </row>
    <row r="497" spans="18:21" x14ac:dyDescent="0.35">
      <c r="R497" s="3"/>
      <c r="S497" s="3"/>
      <c r="T497" s="3"/>
      <c r="U497" s="3"/>
    </row>
    <row r="498" spans="18:21" x14ac:dyDescent="0.35">
      <c r="R498" s="3"/>
      <c r="S498" s="3"/>
      <c r="T498" s="3"/>
      <c r="U498" s="3"/>
    </row>
    <row r="499" spans="18:21" x14ac:dyDescent="0.35">
      <c r="R499" s="3"/>
      <c r="S499" s="3"/>
      <c r="T499" s="3"/>
      <c r="U499" s="3"/>
    </row>
    <row r="500" spans="18:21" x14ac:dyDescent="0.35">
      <c r="R500" s="3"/>
      <c r="S500" s="3"/>
      <c r="T500" s="3"/>
      <c r="U500" s="3"/>
    </row>
    <row r="501" spans="18:21" x14ac:dyDescent="0.35">
      <c r="R501" s="3"/>
      <c r="S501" s="3"/>
      <c r="T501" s="3"/>
      <c r="U501" s="3"/>
    </row>
    <row r="502" spans="18:21" x14ac:dyDescent="0.35">
      <c r="R502" s="3"/>
      <c r="S502" s="3"/>
      <c r="T502" s="3"/>
      <c r="U502" s="3"/>
    </row>
    <row r="503" spans="18:21" x14ac:dyDescent="0.35">
      <c r="R503" s="3"/>
      <c r="S503" s="3"/>
      <c r="T503" s="3"/>
      <c r="U503" s="3"/>
    </row>
    <row r="504" spans="18:21" x14ac:dyDescent="0.35">
      <c r="R504" s="3"/>
      <c r="S504" s="3"/>
      <c r="T504" s="3"/>
      <c r="U504" s="3"/>
    </row>
    <row r="505" spans="18:21" x14ac:dyDescent="0.35">
      <c r="R505" s="3"/>
      <c r="S505" s="3"/>
      <c r="T505" s="3"/>
      <c r="U505" s="3"/>
    </row>
    <row r="506" spans="18:21" x14ac:dyDescent="0.35">
      <c r="R506" s="3"/>
      <c r="S506" s="3"/>
      <c r="T506" s="3"/>
      <c r="U506" s="3"/>
    </row>
    <row r="507" spans="18:21" x14ac:dyDescent="0.35">
      <c r="R507" s="3"/>
      <c r="S507" s="3"/>
      <c r="T507" s="3"/>
      <c r="U507" s="3"/>
    </row>
    <row r="508" spans="18:21" x14ac:dyDescent="0.35">
      <c r="R508" s="3"/>
      <c r="S508" s="3"/>
      <c r="T508" s="3"/>
      <c r="U508" s="3"/>
    </row>
    <row r="509" spans="18:21" x14ac:dyDescent="0.35">
      <c r="R509" s="3"/>
      <c r="S509" s="3"/>
      <c r="T509" s="3"/>
      <c r="U509" s="3"/>
    </row>
    <row r="510" spans="18:21" x14ac:dyDescent="0.35">
      <c r="R510" s="3"/>
      <c r="S510" s="3"/>
      <c r="T510" s="3"/>
      <c r="U510" s="3"/>
    </row>
    <row r="511" spans="18:21" x14ac:dyDescent="0.35">
      <c r="R511" s="3"/>
      <c r="S511" s="3"/>
      <c r="T511" s="3"/>
      <c r="U511" s="3"/>
    </row>
    <row r="512" spans="18:21" x14ac:dyDescent="0.35">
      <c r="R512" s="3"/>
      <c r="S512" s="3"/>
      <c r="T512" s="3"/>
      <c r="U512" s="3"/>
    </row>
    <row r="513" spans="18:21" x14ac:dyDescent="0.35">
      <c r="R513" s="3"/>
      <c r="S513" s="3"/>
      <c r="T513" s="3"/>
      <c r="U513" s="3"/>
    </row>
    <row r="514" spans="18:21" x14ac:dyDescent="0.35">
      <c r="R514" s="3"/>
      <c r="S514" s="3"/>
      <c r="T514" s="3"/>
      <c r="U514" s="3"/>
    </row>
    <row r="515" spans="18:21" x14ac:dyDescent="0.35">
      <c r="R515" s="3"/>
      <c r="S515" s="3"/>
      <c r="T515" s="3"/>
      <c r="U515" s="3"/>
    </row>
    <row r="516" spans="18:21" x14ac:dyDescent="0.35">
      <c r="R516" s="3"/>
      <c r="S516" s="3"/>
      <c r="T516" s="3"/>
      <c r="U516" s="3"/>
    </row>
    <row r="517" spans="18:21" x14ac:dyDescent="0.35">
      <c r="R517" s="3"/>
      <c r="S517" s="3"/>
      <c r="T517" s="3"/>
      <c r="U517" s="3"/>
    </row>
    <row r="518" spans="18:21" x14ac:dyDescent="0.35">
      <c r="R518" s="3"/>
      <c r="S518" s="3"/>
      <c r="T518" s="3"/>
      <c r="U518" s="3"/>
    </row>
    <row r="519" spans="18:21" x14ac:dyDescent="0.35">
      <c r="R519" s="3"/>
      <c r="S519" s="3"/>
      <c r="T519" s="3"/>
      <c r="U519" s="3"/>
    </row>
    <row r="520" spans="18:21" x14ac:dyDescent="0.35">
      <c r="R520" s="3"/>
      <c r="S520" s="3"/>
      <c r="T520" s="3"/>
      <c r="U520" s="3"/>
    </row>
    <row r="521" spans="18:21" x14ac:dyDescent="0.35">
      <c r="R521" s="3"/>
      <c r="S521" s="3"/>
      <c r="T521" s="3"/>
      <c r="U521" s="3"/>
    </row>
    <row r="522" spans="18:21" x14ac:dyDescent="0.35">
      <c r="R522" s="3"/>
      <c r="S522" s="3"/>
      <c r="T522" s="3"/>
      <c r="U522" s="3"/>
    </row>
    <row r="523" spans="18:21" x14ac:dyDescent="0.35">
      <c r="R523" s="3"/>
      <c r="S523" s="3"/>
      <c r="T523" s="3"/>
      <c r="U523" s="3"/>
    </row>
    <row r="524" spans="18:21" x14ac:dyDescent="0.35">
      <c r="R524" s="3"/>
      <c r="S524" s="3"/>
      <c r="T524" s="3"/>
      <c r="U524" s="3"/>
    </row>
    <row r="525" spans="18:21" x14ac:dyDescent="0.35">
      <c r="R525" s="3"/>
      <c r="S525" s="3"/>
      <c r="T525" s="3"/>
      <c r="U525" s="3"/>
    </row>
    <row r="526" spans="18:21" x14ac:dyDescent="0.35">
      <c r="R526" s="3"/>
      <c r="S526" s="3"/>
      <c r="T526" s="3"/>
      <c r="U526" s="3"/>
    </row>
    <row r="527" spans="18:21" x14ac:dyDescent="0.35">
      <c r="R527" s="3"/>
      <c r="S527" s="3"/>
      <c r="T527" s="3"/>
      <c r="U527" s="3"/>
    </row>
    <row r="528" spans="18:21" x14ac:dyDescent="0.35">
      <c r="R528" s="3"/>
      <c r="S528" s="3"/>
      <c r="T528" s="3"/>
      <c r="U528" s="3"/>
    </row>
    <row r="529" spans="18:21" x14ac:dyDescent="0.35">
      <c r="R529" s="3"/>
      <c r="S529" s="3"/>
      <c r="T529" s="3"/>
      <c r="U529" s="3"/>
    </row>
    <row r="530" spans="18:21" x14ac:dyDescent="0.35">
      <c r="R530" s="3"/>
      <c r="S530" s="3"/>
      <c r="T530" s="3"/>
      <c r="U530" s="3"/>
    </row>
    <row r="531" spans="18:21" x14ac:dyDescent="0.35">
      <c r="R531" s="3"/>
      <c r="S531" s="3"/>
      <c r="T531" s="3"/>
      <c r="U531" s="3"/>
    </row>
    <row r="532" spans="18:21" x14ac:dyDescent="0.35">
      <c r="R532" s="3"/>
      <c r="S532" s="3"/>
      <c r="T532" s="3"/>
      <c r="U532" s="3"/>
    </row>
    <row r="533" spans="18:21" x14ac:dyDescent="0.35">
      <c r="R533" s="3"/>
      <c r="S533" s="3"/>
      <c r="T533" s="3"/>
      <c r="U533" s="3"/>
    </row>
    <row r="534" spans="18:21" x14ac:dyDescent="0.35">
      <c r="R534" s="3"/>
      <c r="S534" s="3"/>
      <c r="T534" s="3"/>
      <c r="U534" s="3"/>
    </row>
    <row r="535" spans="18:21" x14ac:dyDescent="0.35">
      <c r="R535" s="3"/>
      <c r="S535" s="3"/>
      <c r="T535" s="3"/>
      <c r="U535" s="3"/>
    </row>
    <row r="536" spans="18:21" x14ac:dyDescent="0.35">
      <c r="R536" s="3"/>
      <c r="S536" s="3"/>
      <c r="T536" s="3"/>
      <c r="U536" s="3"/>
    </row>
    <row r="537" spans="18:21" x14ac:dyDescent="0.35">
      <c r="R537" s="3"/>
      <c r="S537" s="3"/>
      <c r="T537" s="3"/>
      <c r="U537" s="3"/>
    </row>
    <row r="538" spans="18:21" x14ac:dyDescent="0.35">
      <c r="R538" s="3"/>
      <c r="S538" s="3"/>
      <c r="T538" s="3"/>
      <c r="U538" s="3"/>
    </row>
    <row r="539" spans="18:21" x14ac:dyDescent="0.35">
      <c r="R539" s="3"/>
      <c r="S539" s="3"/>
      <c r="T539" s="3"/>
      <c r="U539" s="3"/>
    </row>
    <row r="540" spans="18:21" x14ac:dyDescent="0.35">
      <c r="R540" s="3"/>
      <c r="S540" s="3"/>
      <c r="T540" s="3"/>
      <c r="U540" s="3"/>
    </row>
    <row r="541" spans="18:21" x14ac:dyDescent="0.35">
      <c r="R541" s="3"/>
      <c r="S541" s="3"/>
      <c r="T541" s="3"/>
      <c r="U541" s="3"/>
    </row>
    <row r="542" spans="18:21" x14ac:dyDescent="0.35">
      <c r="R542" s="3"/>
      <c r="S542" s="3"/>
      <c r="T542" s="3"/>
      <c r="U542" s="3"/>
    </row>
    <row r="543" spans="18:21" x14ac:dyDescent="0.35">
      <c r="R543" s="3"/>
      <c r="S543" s="3"/>
      <c r="T543" s="3"/>
      <c r="U543" s="3"/>
    </row>
    <row r="544" spans="18:21" x14ac:dyDescent="0.35">
      <c r="R544" s="3"/>
      <c r="S544" s="3"/>
      <c r="T544" s="3"/>
      <c r="U544" s="3"/>
    </row>
    <row r="545" spans="18:21" x14ac:dyDescent="0.35">
      <c r="R545" s="3"/>
      <c r="S545" s="3"/>
      <c r="T545" s="3"/>
      <c r="U545" s="3"/>
    </row>
    <row r="546" spans="18:21" x14ac:dyDescent="0.35">
      <c r="R546" s="3"/>
      <c r="S546" s="3"/>
      <c r="T546" s="3"/>
      <c r="U546" s="3"/>
    </row>
    <row r="547" spans="18:21" x14ac:dyDescent="0.35">
      <c r="R547" s="3"/>
      <c r="S547" s="3"/>
      <c r="T547" s="3"/>
      <c r="U547" s="3"/>
    </row>
    <row r="548" spans="18:21" x14ac:dyDescent="0.35">
      <c r="R548" s="3"/>
      <c r="S548" s="3"/>
      <c r="T548" s="3"/>
      <c r="U548" s="3"/>
    </row>
    <row r="549" spans="18:21" x14ac:dyDescent="0.35">
      <c r="R549" s="3"/>
      <c r="S549" s="3"/>
      <c r="T549" s="3"/>
      <c r="U549" s="3"/>
    </row>
    <row r="550" spans="18:21" x14ac:dyDescent="0.35">
      <c r="R550" s="3"/>
      <c r="S550" s="3"/>
      <c r="T550" s="3"/>
      <c r="U550" s="3"/>
    </row>
    <row r="551" spans="18:21" x14ac:dyDescent="0.35">
      <c r="R551" s="3"/>
      <c r="S551" s="3"/>
      <c r="T551" s="3"/>
      <c r="U551" s="3"/>
    </row>
    <row r="552" spans="18:21" x14ac:dyDescent="0.35">
      <c r="R552" s="3"/>
      <c r="S552" s="3"/>
      <c r="T552" s="3"/>
      <c r="U552" s="3"/>
    </row>
    <row r="553" spans="18:21" x14ac:dyDescent="0.35">
      <c r="R553" s="3"/>
      <c r="S553" s="3"/>
      <c r="T553" s="3"/>
      <c r="U553" s="3"/>
    </row>
    <row r="554" spans="18:21" x14ac:dyDescent="0.35">
      <c r="R554" s="3"/>
      <c r="S554" s="3"/>
      <c r="T554" s="3"/>
      <c r="U554" s="3"/>
    </row>
    <row r="555" spans="18:21" x14ac:dyDescent="0.35">
      <c r="R555" s="3"/>
      <c r="S555" s="3"/>
      <c r="T555" s="3"/>
      <c r="U555" s="3"/>
    </row>
    <row r="556" spans="18:21" x14ac:dyDescent="0.35">
      <c r="R556" s="3"/>
      <c r="S556" s="3"/>
      <c r="T556" s="3"/>
      <c r="U556" s="3"/>
    </row>
    <row r="557" spans="18:21" x14ac:dyDescent="0.35">
      <c r="R557" s="3"/>
      <c r="S557" s="3"/>
      <c r="T557" s="3"/>
      <c r="U557" s="3"/>
    </row>
    <row r="558" spans="18:21" x14ac:dyDescent="0.35">
      <c r="R558" s="3"/>
      <c r="S558" s="3"/>
      <c r="T558" s="3"/>
      <c r="U558" s="3"/>
    </row>
    <row r="559" spans="18:21" x14ac:dyDescent="0.35">
      <c r="R559" s="3"/>
      <c r="S559" s="3"/>
      <c r="T559" s="3"/>
      <c r="U559" s="3"/>
    </row>
    <row r="560" spans="18:21" x14ac:dyDescent="0.35">
      <c r="R560" s="3"/>
      <c r="S560" s="3"/>
      <c r="T560" s="3"/>
      <c r="U560" s="3"/>
    </row>
    <row r="561" spans="18:21" x14ac:dyDescent="0.35">
      <c r="R561" s="3"/>
      <c r="S561" s="3"/>
      <c r="T561" s="3"/>
      <c r="U561" s="3"/>
    </row>
    <row r="562" spans="18:21" x14ac:dyDescent="0.35">
      <c r="R562" s="3"/>
      <c r="S562" s="3"/>
      <c r="T562" s="3"/>
      <c r="U562" s="3"/>
    </row>
    <row r="563" spans="18:21" x14ac:dyDescent="0.35">
      <c r="R563" s="3"/>
      <c r="S563" s="3"/>
      <c r="T563" s="3"/>
      <c r="U563" s="3"/>
    </row>
    <row r="564" spans="18:21" x14ac:dyDescent="0.35">
      <c r="R564" s="3"/>
      <c r="S564" s="3"/>
      <c r="T564" s="3"/>
      <c r="U564" s="3"/>
    </row>
    <row r="565" spans="18:21" x14ac:dyDescent="0.35">
      <c r="R565" s="3"/>
      <c r="S565" s="3"/>
      <c r="T565" s="3"/>
      <c r="U565" s="3"/>
    </row>
    <row r="566" spans="18:21" x14ac:dyDescent="0.35">
      <c r="R566" s="3"/>
      <c r="S566" s="3"/>
      <c r="T566" s="3"/>
      <c r="U566" s="3"/>
    </row>
    <row r="567" spans="18:21" x14ac:dyDescent="0.35">
      <c r="R567" s="3"/>
      <c r="S567" s="3"/>
      <c r="T567" s="3"/>
      <c r="U567" s="3"/>
    </row>
    <row r="568" spans="18:21" x14ac:dyDescent="0.35">
      <c r="R568" s="3"/>
      <c r="S568" s="3"/>
      <c r="T568" s="3"/>
      <c r="U568" s="3"/>
    </row>
    <row r="569" spans="18:21" x14ac:dyDescent="0.35">
      <c r="R569" s="3"/>
      <c r="S569" s="3"/>
      <c r="T569" s="3"/>
      <c r="U569" s="3"/>
    </row>
    <row r="570" spans="18:21" x14ac:dyDescent="0.35">
      <c r="R570" s="3"/>
      <c r="S570" s="3"/>
      <c r="T570" s="3"/>
      <c r="U570" s="3"/>
    </row>
    <row r="571" spans="18:21" x14ac:dyDescent="0.35">
      <c r="R571" s="3"/>
      <c r="S571" s="3"/>
      <c r="T571" s="3"/>
      <c r="U571" s="3"/>
    </row>
    <row r="572" spans="18:21" x14ac:dyDescent="0.35">
      <c r="R572" s="3"/>
      <c r="S572" s="3"/>
      <c r="T572" s="3"/>
      <c r="U572" s="3"/>
    </row>
    <row r="573" spans="18:21" x14ac:dyDescent="0.35">
      <c r="R573" s="3"/>
      <c r="S573" s="3"/>
      <c r="T573" s="3"/>
      <c r="U573" s="3"/>
    </row>
    <row r="574" spans="18:21" x14ac:dyDescent="0.35">
      <c r="R574" s="3"/>
      <c r="S574" s="3"/>
      <c r="T574" s="3"/>
      <c r="U574" s="3"/>
    </row>
    <row r="575" spans="18:21" x14ac:dyDescent="0.35">
      <c r="R575" s="3"/>
      <c r="S575" s="3"/>
      <c r="T575" s="3"/>
      <c r="U575" s="3"/>
    </row>
    <row r="576" spans="18:21" x14ac:dyDescent="0.35">
      <c r="R576" s="3"/>
      <c r="S576" s="3"/>
      <c r="T576" s="3"/>
      <c r="U576" s="3"/>
    </row>
    <row r="577" spans="18:21" x14ac:dyDescent="0.35">
      <c r="R577" s="3"/>
      <c r="S577" s="3"/>
      <c r="T577" s="3"/>
      <c r="U577" s="3"/>
    </row>
    <row r="578" spans="18:21" x14ac:dyDescent="0.35">
      <c r="R578" s="3"/>
      <c r="S578" s="3"/>
      <c r="T578" s="3"/>
      <c r="U578" s="3"/>
    </row>
    <row r="579" spans="18:21" x14ac:dyDescent="0.35">
      <c r="R579" s="3"/>
      <c r="S579" s="3"/>
      <c r="T579" s="3"/>
      <c r="U579" s="3"/>
    </row>
    <row r="580" spans="18:21" x14ac:dyDescent="0.35">
      <c r="R580" s="3"/>
      <c r="S580" s="3"/>
      <c r="T580" s="3"/>
      <c r="U580" s="3"/>
    </row>
    <row r="581" spans="18:21" x14ac:dyDescent="0.35">
      <c r="R581" s="3"/>
      <c r="S581" s="3"/>
      <c r="T581" s="3"/>
      <c r="U581" s="3"/>
    </row>
    <row r="582" spans="18:21" x14ac:dyDescent="0.35">
      <c r="R582" s="3"/>
      <c r="S582" s="3"/>
      <c r="T582" s="3"/>
      <c r="U582" s="3"/>
    </row>
    <row r="583" spans="18:21" x14ac:dyDescent="0.35">
      <c r="R583" s="3"/>
      <c r="S583" s="3"/>
      <c r="T583" s="3"/>
      <c r="U583" s="3"/>
    </row>
    <row r="584" spans="18:21" x14ac:dyDescent="0.35">
      <c r="R584" s="3"/>
      <c r="S584" s="3"/>
      <c r="T584" s="3"/>
      <c r="U584" s="3"/>
    </row>
    <row r="585" spans="18:21" x14ac:dyDescent="0.35">
      <c r="R585" s="3"/>
      <c r="S585" s="3"/>
      <c r="T585" s="3"/>
      <c r="U585" s="3"/>
    </row>
    <row r="586" spans="18:21" x14ac:dyDescent="0.35">
      <c r="R586" s="3"/>
      <c r="S586" s="3"/>
      <c r="T586" s="3"/>
      <c r="U586" s="3"/>
    </row>
    <row r="587" spans="18:21" x14ac:dyDescent="0.35">
      <c r="R587" s="3"/>
      <c r="S587" s="3"/>
      <c r="T587" s="3"/>
      <c r="U587" s="3"/>
    </row>
    <row r="588" spans="18:21" x14ac:dyDescent="0.35">
      <c r="R588" s="3"/>
      <c r="S588" s="3"/>
      <c r="T588" s="3"/>
      <c r="U588" s="3"/>
    </row>
    <row r="589" spans="18:21" x14ac:dyDescent="0.35">
      <c r="R589" s="3"/>
      <c r="S589" s="3"/>
      <c r="T589" s="3"/>
      <c r="U589" s="3"/>
    </row>
    <row r="590" spans="18:21" x14ac:dyDescent="0.35">
      <c r="R590" s="3"/>
      <c r="S590" s="3"/>
      <c r="T590" s="3"/>
      <c r="U590" s="3"/>
    </row>
    <row r="591" spans="18:21" x14ac:dyDescent="0.35">
      <c r="R591" s="3"/>
      <c r="S591" s="3"/>
      <c r="T591" s="3"/>
      <c r="U591" s="3"/>
    </row>
    <row r="592" spans="18:21" x14ac:dyDescent="0.35">
      <c r="R592" s="3"/>
      <c r="S592" s="3"/>
      <c r="T592" s="3"/>
      <c r="U592" s="3"/>
    </row>
    <row r="593" spans="18:21" x14ac:dyDescent="0.35">
      <c r="R593" s="3"/>
      <c r="S593" s="3"/>
      <c r="T593" s="3"/>
      <c r="U593" s="3"/>
    </row>
    <row r="594" spans="18:21" x14ac:dyDescent="0.35">
      <c r="R594" s="3"/>
      <c r="S594" s="3"/>
      <c r="T594" s="3"/>
      <c r="U594" s="3"/>
    </row>
    <row r="595" spans="18:21" x14ac:dyDescent="0.35">
      <c r="R595" s="3"/>
      <c r="S595" s="3"/>
      <c r="T595" s="3"/>
      <c r="U595" s="3"/>
    </row>
    <row r="596" spans="18:21" x14ac:dyDescent="0.35">
      <c r="R596" s="3"/>
      <c r="S596" s="3"/>
      <c r="T596" s="3"/>
      <c r="U596" s="3"/>
    </row>
    <row r="597" spans="18:21" x14ac:dyDescent="0.35">
      <c r="R597" s="3"/>
      <c r="S597" s="3"/>
      <c r="T597" s="3"/>
      <c r="U597" s="3"/>
    </row>
    <row r="598" spans="18:21" x14ac:dyDescent="0.35">
      <c r="R598" s="3"/>
      <c r="S598" s="3"/>
      <c r="T598" s="3"/>
      <c r="U598" s="3"/>
    </row>
    <row r="599" spans="18:21" x14ac:dyDescent="0.35">
      <c r="R599" s="3"/>
      <c r="S599" s="3"/>
      <c r="T599" s="3"/>
      <c r="U599" s="3"/>
    </row>
    <row r="600" spans="18:21" x14ac:dyDescent="0.35">
      <c r="R600" s="3"/>
      <c r="S600" s="3"/>
      <c r="T600" s="3"/>
      <c r="U600" s="3"/>
    </row>
    <row r="601" spans="18:21" x14ac:dyDescent="0.35">
      <c r="R601" s="3"/>
      <c r="S601" s="3"/>
      <c r="T601" s="3"/>
      <c r="U601" s="3"/>
    </row>
    <row r="602" spans="18:21" x14ac:dyDescent="0.35">
      <c r="R602" s="3"/>
      <c r="S602" s="3"/>
      <c r="T602" s="3"/>
      <c r="U602" s="3"/>
    </row>
    <row r="603" spans="18:21" x14ac:dyDescent="0.35">
      <c r="R603" s="3"/>
      <c r="S603" s="3"/>
      <c r="T603" s="3"/>
      <c r="U603" s="3"/>
    </row>
    <row r="604" spans="18:21" x14ac:dyDescent="0.35">
      <c r="R604" s="3"/>
      <c r="S604" s="3"/>
      <c r="T604" s="3"/>
      <c r="U604" s="3"/>
    </row>
    <row r="605" spans="18:21" x14ac:dyDescent="0.35">
      <c r="R605" s="3"/>
      <c r="S605" s="3"/>
      <c r="T605" s="3"/>
      <c r="U605" s="3"/>
    </row>
    <row r="606" spans="18:21" x14ac:dyDescent="0.35">
      <c r="R606" s="3"/>
      <c r="S606" s="3"/>
      <c r="T606" s="3"/>
      <c r="U606" s="3"/>
    </row>
    <row r="607" spans="18:21" x14ac:dyDescent="0.35">
      <c r="R607" s="3"/>
      <c r="S607" s="3"/>
      <c r="T607" s="3"/>
      <c r="U607" s="3"/>
    </row>
    <row r="608" spans="18:21" x14ac:dyDescent="0.35">
      <c r="R608" s="3"/>
      <c r="S608" s="3"/>
      <c r="T608" s="3"/>
      <c r="U608" s="3"/>
    </row>
    <row r="609" spans="18:21" x14ac:dyDescent="0.35">
      <c r="R609" s="3"/>
      <c r="S609" s="3"/>
      <c r="T609" s="3"/>
      <c r="U609" s="3"/>
    </row>
    <row r="610" spans="18:21" x14ac:dyDescent="0.35">
      <c r="R610" s="3"/>
      <c r="S610" s="3"/>
      <c r="T610" s="3"/>
      <c r="U610" s="3"/>
    </row>
    <row r="611" spans="18:21" x14ac:dyDescent="0.35">
      <c r="R611" s="3"/>
      <c r="S611" s="3"/>
      <c r="T611" s="3"/>
      <c r="U611" s="3"/>
    </row>
    <row r="612" spans="18:21" x14ac:dyDescent="0.35">
      <c r="R612" s="3"/>
      <c r="S612" s="3"/>
      <c r="T612" s="3"/>
      <c r="U612" s="3"/>
    </row>
    <row r="613" spans="18:21" x14ac:dyDescent="0.35">
      <c r="R613" s="3"/>
      <c r="S613" s="3"/>
      <c r="T613" s="3"/>
      <c r="U613" s="3"/>
    </row>
    <row r="614" spans="18:21" x14ac:dyDescent="0.35">
      <c r="R614" s="3"/>
      <c r="S614" s="3"/>
      <c r="T614" s="3"/>
      <c r="U614" s="3"/>
    </row>
    <row r="615" spans="18:21" x14ac:dyDescent="0.35">
      <c r="R615" s="3"/>
      <c r="S615" s="3"/>
      <c r="T615" s="3"/>
      <c r="U615" s="3"/>
    </row>
    <row r="616" spans="18:21" x14ac:dyDescent="0.35">
      <c r="R616" s="3"/>
      <c r="S616" s="3"/>
      <c r="T616" s="3"/>
      <c r="U616" s="3"/>
    </row>
    <row r="617" spans="18:21" x14ac:dyDescent="0.35">
      <c r="R617" s="3"/>
      <c r="S617" s="3"/>
      <c r="T617" s="3"/>
      <c r="U617" s="3"/>
    </row>
    <row r="618" spans="18:21" x14ac:dyDescent="0.35">
      <c r="R618" s="3"/>
      <c r="S618" s="3"/>
      <c r="T618" s="3"/>
      <c r="U618" s="3"/>
    </row>
    <row r="619" spans="18:21" x14ac:dyDescent="0.35">
      <c r="R619" s="3"/>
      <c r="S619" s="3"/>
      <c r="T619" s="3"/>
      <c r="U619" s="3"/>
    </row>
    <row r="620" spans="18:21" x14ac:dyDescent="0.35">
      <c r="R620" s="3"/>
      <c r="S620" s="3"/>
      <c r="T620" s="3"/>
      <c r="U620" s="3"/>
    </row>
    <row r="621" spans="18:21" x14ac:dyDescent="0.35">
      <c r="R621" s="3"/>
      <c r="S621" s="3"/>
      <c r="T621" s="3"/>
      <c r="U621" s="3"/>
    </row>
    <row r="622" spans="18:21" x14ac:dyDescent="0.35">
      <c r="R622" s="3"/>
      <c r="S622" s="3"/>
      <c r="T622" s="3"/>
      <c r="U622" s="3"/>
    </row>
    <row r="623" spans="18:21" x14ac:dyDescent="0.35">
      <c r="R623" s="3"/>
      <c r="S623" s="3"/>
      <c r="T623" s="3"/>
      <c r="U623" s="3"/>
    </row>
    <row r="624" spans="18:21" x14ac:dyDescent="0.35">
      <c r="R624" s="3"/>
      <c r="S624" s="3"/>
      <c r="T624" s="3"/>
      <c r="U624" s="3"/>
    </row>
    <row r="625" spans="18:21" x14ac:dyDescent="0.35">
      <c r="R625" s="3"/>
      <c r="S625" s="3"/>
      <c r="T625" s="3"/>
      <c r="U625" s="3"/>
    </row>
    <row r="626" spans="18:21" x14ac:dyDescent="0.35">
      <c r="R626" s="3"/>
      <c r="S626" s="3"/>
      <c r="T626" s="3"/>
      <c r="U626" s="3"/>
    </row>
    <row r="627" spans="18:21" x14ac:dyDescent="0.35">
      <c r="R627" s="3"/>
      <c r="S627" s="3"/>
      <c r="T627" s="3"/>
      <c r="U627" s="3"/>
    </row>
    <row r="628" spans="18:21" x14ac:dyDescent="0.35">
      <c r="R628" s="3"/>
      <c r="S628" s="3"/>
      <c r="T628" s="3"/>
      <c r="U628" s="3"/>
    </row>
    <row r="629" spans="18:21" x14ac:dyDescent="0.35">
      <c r="R629" s="3"/>
      <c r="S629" s="3"/>
      <c r="T629" s="3"/>
      <c r="U629" s="3"/>
    </row>
    <row r="630" spans="18:21" x14ac:dyDescent="0.35">
      <c r="R630" s="3"/>
      <c r="S630" s="3"/>
      <c r="T630" s="3"/>
      <c r="U630" s="3"/>
    </row>
    <row r="631" spans="18:21" x14ac:dyDescent="0.35">
      <c r="R631" s="3"/>
      <c r="S631" s="3"/>
      <c r="T631" s="3"/>
      <c r="U631" s="3"/>
    </row>
    <row r="632" spans="18:21" x14ac:dyDescent="0.35">
      <c r="R632" s="3"/>
      <c r="S632" s="3"/>
      <c r="T632" s="3"/>
      <c r="U632" s="3"/>
    </row>
    <row r="633" spans="18:21" x14ac:dyDescent="0.35">
      <c r="R633" s="3"/>
      <c r="S633" s="3"/>
      <c r="T633" s="3"/>
      <c r="U633" s="3"/>
    </row>
    <row r="634" spans="18:21" x14ac:dyDescent="0.35">
      <c r="R634" s="3"/>
      <c r="S634" s="3"/>
      <c r="T634" s="3"/>
      <c r="U634" s="3"/>
    </row>
    <row r="635" spans="18:21" x14ac:dyDescent="0.35">
      <c r="R635" s="3"/>
      <c r="S635" s="3"/>
      <c r="T635" s="3"/>
      <c r="U635" s="3"/>
    </row>
    <row r="636" spans="18:21" x14ac:dyDescent="0.35">
      <c r="R636" s="3"/>
      <c r="S636" s="3"/>
      <c r="T636" s="3"/>
      <c r="U636" s="3"/>
    </row>
    <row r="637" spans="18:21" x14ac:dyDescent="0.35">
      <c r="R637" s="3"/>
      <c r="S637" s="3"/>
      <c r="T637" s="3"/>
      <c r="U637" s="3"/>
    </row>
    <row r="638" spans="18:21" x14ac:dyDescent="0.35">
      <c r="R638" s="3"/>
      <c r="S638" s="3"/>
      <c r="T638" s="3"/>
      <c r="U638" s="3"/>
    </row>
    <row r="639" spans="18:21" x14ac:dyDescent="0.35">
      <c r="R639" s="3"/>
      <c r="S639" s="3"/>
      <c r="T639" s="3"/>
      <c r="U639" s="3"/>
    </row>
    <row r="640" spans="18:21" x14ac:dyDescent="0.35">
      <c r="R640" s="3"/>
      <c r="S640" s="3"/>
      <c r="T640" s="3"/>
      <c r="U640" s="3"/>
    </row>
    <row r="641" spans="18:21" x14ac:dyDescent="0.35">
      <c r="R641" s="3"/>
      <c r="S641" s="3"/>
      <c r="T641" s="3"/>
      <c r="U641" s="3"/>
    </row>
    <row r="642" spans="18:21" x14ac:dyDescent="0.35">
      <c r="R642" s="3"/>
      <c r="S642" s="3"/>
      <c r="T642" s="3"/>
      <c r="U642" s="3"/>
    </row>
    <row r="643" spans="18:21" x14ac:dyDescent="0.35">
      <c r="R643" s="3"/>
      <c r="S643" s="3"/>
      <c r="T643" s="3"/>
      <c r="U643" s="3"/>
    </row>
    <row r="644" spans="18:21" x14ac:dyDescent="0.35">
      <c r="R644" s="3"/>
      <c r="S644" s="3"/>
      <c r="T644" s="3"/>
      <c r="U644" s="3"/>
    </row>
    <row r="645" spans="18:21" x14ac:dyDescent="0.35">
      <c r="R645" s="3"/>
      <c r="S645" s="3"/>
      <c r="T645" s="3"/>
      <c r="U645" s="3"/>
    </row>
    <row r="646" spans="18:21" x14ac:dyDescent="0.35">
      <c r="R646" s="3"/>
      <c r="S646" s="3"/>
      <c r="T646" s="3"/>
      <c r="U646" s="3"/>
    </row>
    <row r="647" spans="18:21" x14ac:dyDescent="0.35">
      <c r="R647" s="3"/>
      <c r="S647" s="3"/>
      <c r="T647" s="3"/>
      <c r="U647" s="3"/>
    </row>
    <row r="648" spans="18:21" x14ac:dyDescent="0.35">
      <c r="R648" s="3"/>
      <c r="S648" s="3"/>
      <c r="T648" s="3"/>
      <c r="U648" s="3"/>
    </row>
    <row r="649" spans="18:21" x14ac:dyDescent="0.35">
      <c r="R649" s="3"/>
      <c r="S649" s="3"/>
      <c r="T649" s="3"/>
      <c r="U649" s="3"/>
    </row>
    <row r="650" spans="18:21" x14ac:dyDescent="0.35">
      <c r="R650" s="3"/>
      <c r="S650" s="3"/>
      <c r="T650" s="3"/>
      <c r="U650" s="3"/>
    </row>
    <row r="651" spans="18:21" x14ac:dyDescent="0.35">
      <c r="R651" s="3"/>
      <c r="S651" s="3"/>
      <c r="T651" s="3"/>
      <c r="U651" s="3"/>
    </row>
    <row r="652" spans="18:21" x14ac:dyDescent="0.35">
      <c r="R652" s="3"/>
      <c r="S652" s="3"/>
      <c r="T652" s="3"/>
      <c r="U652" s="3"/>
    </row>
    <row r="653" spans="18:21" x14ac:dyDescent="0.35">
      <c r="R653" s="3"/>
      <c r="S653" s="3"/>
      <c r="T653" s="3"/>
      <c r="U653" s="3"/>
    </row>
    <row r="654" spans="18:21" x14ac:dyDescent="0.35">
      <c r="R654" s="3"/>
      <c r="S654" s="3"/>
      <c r="T654" s="3"/>
      <c r="U654" s="3"/>
    </row>
    <row r="655" spans="18:21" x14ac:dyDescent="0.35">
      <c r="R655" s="3"/>
      <c r="S655" s="3"/>
      <c r="T655" s="3"/>
      <c r="U655" s="3"/>
    </row>
    <row r="656" spans="18:21" x14ac:dyDescent="0.35">
      <c r="R656" s="3"/>
      <c r="S656" s="3"/>
      <c r="T656" s="3"/>
      <c r="U656" s="3"/>
    </row>
    <row r="657" spans="18:21" x14ac:dyDescent="0.35">
      <c r="R657" s="3"/>
      <c r="S657" s="3"/>
      <c r="T657" s="3"/>
      <c r="U657" s="3"/>
    </row>
    <row r="658" spans="18:21" x14ac:dyDescent="0.35">
      <c r="R658" s="3"/>
      <c r="S658" s="3"/>
      <c r="T658" s="3"/>
      <c r="U658" s="3"/>
    </row>
    <row r="659" spans="18:21" x14ac:dyDescent="0.35">
      <c r="R659" s="3"/>
      <c r="S659" s="3"/>
      <c r="T659" s="3"/>
      <c r="U659" s="3"/>
    </row>
    <row r="660" spans="18:21" x14ac:dyDescent="0.35">
      <c r="R660" s="3"/>
      <c r="S660" s="3"/>
      <c r="T660" s="3"/>
      <c r="U660" s="3"/>
    </row>
  </sheetData>
  <hyperlinks>
    <hyperlink ref="F3" r:id="rId1" xr:uid="{00000000-0004-0000-0700-000000000000}"/>
    <hyperlink ref="F17" r:id="rId2" xr:uid="{00000000-0004-0000-0700-000001000000}"/>
    <hyperlink ref="F27" r:id="rId3" xr:uid="{00000000-0004-0000-0700-000002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533E-C7F8-4AA6-986C-A26610F5ED0F}">
  <dimension ref="A1:H35"/>
  <sheetViews>
    <sheetView workbookViewId="0">
      <selection activeCell="A36" sqref="A36"/>
    </sheetView>
  </sheetViews>
  <sheetFormatPr defaultColWidth="11.25" defaultRowHeight="15" customHeight="1" x14ac:dyDescent="0.35"/>
  <cols>
    <col min="1" max="1" width="20" customWidth="1"/>
    <col min="2" max="2" width="31" customWidth="1"/>
    <col min="3" max="3" width="59.08203125" customWidth="1"/>
    <col min="4" max="4" width="33.4140625" customWidth="1"/>
    <col min="5" max="5" width="28" customWidth="1"/>
    <col min="6" max="6" width="11.08203125" customWidth="1"/>
    <col min="7" max="7" width="48.4140625" customWidth="1"/>
    <col min="8" max="8" width="48" customWidth="1"/>
  </cols>
  <sheetData>
    <row r="1" spans="1:8" x14ac:dyDescent="0.35">
      <c r="A1" s="1" t="s">
        <v>0</v>
      </c>
      <c r="B1" s="1" t="s">
        <v>1</v>
      </c>
      <c r="C1" s="1" t="s">
        <v>2</v>
      </c>
      <c r="D1" s="1" t="s">
        <v>3</v>
      </c>
      <c r="E1" s="1" t="s">
        <v>4</v>
      </c>
      <c r="F1" s="2" t="s">
        <v>5</v>
      </c>
      <c r="G1" s="2" t="s">
        <v>3948</v>
      </c>
      <c r="H1" s="2" t="s">
        <v>3949</v>
      </c>
    </row>
    <row r="2" spans="1:8" x14ac:dyDescent="0.35">
      <c r="A2" s="3" t="s">
        <v>4170</v>
      </c>
      <c r="B2" s="3" t="s">
        <v>105</v>
      </c>
      <c r="C2" s="3" t="s">
        <v>25</v>
      </c>
      <c r="D2" s="3"/>
      <c r="E2" s="3"/>
      <c r="F2" s="3"/>
      <c r="G2" s="3" t="s">
        <v>3574</v>
      </c>
      <c r="H2" s="3" t="s">
        <v>4140</v>
      </c>
    </row>
    <row r="3" spans="1:8" x14ac:dyDescent="0.35">
      <c r="A3" s="3"/>
      <c r="B3" s="3"/>
      <c r="C3" s="3" t="s">
        <v>29</v>
      </c>
      <c r="D3" s="3"/>
      <c r="E3" s="3"/>
      <c r="F3" s="3"/>
      <c r="G3" s="3" t="s">
        <v>234</v>
      </c>
      <c r="H3" s="3" t="s">
        <v>4140</v>
      </c>
    </row>
    <row r="4" spans="1:8" x14ac:dyDescent="0.35">
      <c r="A4" s="3"/>
      <c r="B4" s="3" t="s">
        <v>276</v>
      </c>
      <c r="C4" s="3" t="s">
        <v>163</v>
      </c>
      <c r="D4" s="3"/>
      <c r="E4" s="3"/>
      <c r="F4" s="3"/>
      <c r="G4" s="3" t="s">
        <v>3591</v>
      </c>
      <c r="H4" s="3" t="s">
        <v>4141</v>
      </c>
    </row>
    <row r="5" spans="1:8" x14ac:dyDescent="0.35">
      <c r="A5" s="3" t="s">
        <v>4171</v>
      </c>
      <c r="B5" s="3" t="s">
        <v>74</v>
      </c>
      <c r="C5" s="3" t="s">
        <v>83</v>
      </c>
      <c r="D5" s="3"/>
      <c r="E5" s="3" t="s">
        <v>4164</v>
      </c>
      <c r="F5" s="3"/>
      <c r="G5" s="3" t="s">
        <v>3546</v>
      </c>
      <c r="H5" s="3" t="s">
        <v>4142</v>
      </c>
    </row>
    <row r="6" spans="1:8" x14ac:dyDescent="0.35">
      <c r="A6" s="3"/>
      <c r="B6" s="3"/>
      <c r="C6" s="3" t="s">
        <v>97</v>
      </c>
      <c r="D6" s="3"/>
      <c r="E6" s="3" t="s">
        <v>4164</v>
      </c>
      <c r="F6" s="3"/>
      <c r="G6" s="3" t="s">
        <v>4143</v>
      </c>
      <c r="H6" s="3" t="s">
        <v>4142</v>
      </c>
    </row>
    <row r="7" spans="1:8" x14ac:dyDescent="0.35">
      <c r="A7" s="3"/>
      <c r="B7" s="3" t="s">
        <v>141</v>
      </c>
      <c r="C7" s="3" t="s">
        <v>142</v>
      </c>
      <c r="D7" s="3"/>
      <c r="E7" s="3" t="s">
        <v>4165</v>
      </c>
      <c r="F7" s="3"/>
      <c r="G7" s="3" t="s">
        <v>3554</v>
      </c>
      <c r="H7" s="3" t="s">
        <v>4144</v>
      </c>
    </row>
    <row r="8" spans="1:8" x14ac:dyDescent="0.35">
      <c r="A8" s="3"/>
      <c r="B8" s="3" t="s">
        <v>173</v>
      </c>
      <c r="C8" s="3" t="s">
        <v>182</v>
      </c>
      <c r="D8" s="3"/>
      <c r="E8" s="3" t="s">
        <v>4165</v>
      </c>
      <c r="F8" s="3"/>
      <c r="G8" s="3" t="s">
        <v>3560</v>
      </c>
      <c r="H8" s="3" t="s">
        <v>4145</v>
      </c>
    </row>
    <row r="9" spans="1:8" x14ac:dyDescent="0.35">
      <c r="A9" s="3" t="s">
        <v>4172</v>
      </c>
      <c r="B9" s="3" t="s">
        <v>1239</v>
      </c>
      <c r="C9" s="3" t="s">
        <v>1240</v>
      </c>
      <c r="D9" s="3"/>
      <c r="E9" s="3" t="s">
        <v>1111</v>
      </c>
      <c r="F9" s="3"/>
      <c r="G9" s="3" t="s">
        <v>3851</v>
      </c>
      <c r="H9" s="3" t="s">
        <v>4146</v>
      </c>
    </row>
    <row r="10" spans="1:8" x14ac:dyDescent="0.35">
      <c r="A10" s="3"/>
      <c r="B10" s="3" t="s">
        <v>1245</v>
      </c>
      <c r="C10" s="3" t="s">
        <v>1246</v>
      </c>
      <c r="D10" s="3"/>
      <c r="E10" s="3" t="s">
        <v>1111</v>
      </c>
      <c r="F10" s="3"/>
      <c r="G10" s="3" t="s">
        <v>1247</v>
      </c>
      <c r="H10" s="3" t="s">
        <v>4146</v>
      </c>
    </row>
    <row r="11" spans="1:8" x14ac:dyDescent="0.35">
      <c r="A11" s="3"/>
      <c r="B11" s="3"/>
      <c r="C11" s="3" t="s">
        <v>1116</v>
      </c>
      <c r="D11" s="3"/>
      <c r="E11" s="3" t="s">
        <v>1111</v>
      </c>
      <c r="F11" s="3"/>
      <c r="G11" s="3" t="s">
        <v>3854</v>
      </c>
      <c r="H11" s="3" t="s">
        <v>4146</v>
      </c>
    </row>
    <row r="12" spans="1:8" x14ac:dyDescent="0.35">
      <c r="A12" s="3"/>
      <c r="B12" s="3" t="s">
        <v>1254</v>
      </c>
      <c r="C12" s="3" t="s">
        <v>1131</v>
      </c>
      <c r="D12" s="3"/>
      <c r="E12" s="3" t="s">
        <v>1125</v>
      </c>
      <c r="F12" s="3"/>
      <c r="G12" s="3" t="s">
        <v>3856</v>
      </c>
      <c r="H12" s="3" t="s">
        <v>4147</v>
      </c>
    </row>
    <row r="13" spans="1:8" x14ac:dyDescent="0.35">
      <c r="A13" s="3"/>
      <c r="B13" s="3" t="s">
        <v>1265</v>
      </c>
      <c r="C13" s="3" t="s">
        <v>1131</v>
      </c>
      <c r="D13" s="3"/>
      <c r="E13" s="3" t="s">
        <v>1125</v>
      </c>
      <c r="F13" s="3"/>
      <c r="G13" s="3" t="s">
        <v>3858</v>
      </c>
      <c r="H13" s="3" t="s">
        <v>4147</v>
      </c>
    </row>
    <row r="14" spans="1:8" x14ac:dyDescent="0.35">
      <c r="A14" s="3" t="s">
        <v>4173</v>
      </c>
      <c r="B14" s="3" t="s">
        <v>1611</v>
      </c>
      <c r="C14" s="3" t="s">
        <v>1612</v>
      </c>
      <c r="D14" s="3"/>
      <c r="E14" s="3"/>
      <c r="F14" s="3"/>
      <c r="G14" s="3" t="s">
        <v>1613</v>
      </c>
      <c r="H14" s="3" t="s">
        <v>4148</v>
      </c>
    </row>
    <row r="15" spans="1:8" x14ac:dyDescent="0.35">
      <c r="A15" s="3"/>
      <c r="B15" s="3"/>
      <c r="C15" s="3" t="s">
        <v>1615</v>
      </c>
      <c r="D15" s="3"/>
      <c r="E15" s="3"/>
      <c r="F15" s="3"/>
      <c r="G15" s="3" t="s">
        <v>1616</v>
      </c>
      <c r="H15" s="3" t="s">
        <v>4148</v>
      </c>
    </row>
    <row r="16" spans="1:8" x14ac:dyDescent="0.35">
      <c r="A16" s="3"/>
      <c r="B16" s="3"/>
      <c r="C16" s="3" t="s">
        <v>1618</v>
      </c>
      <c r="D16" s="3"/>
      <c r="E16" s="3"/>
      <c r="F16" s="3"/>
      <c r="G16" s="3" t="s">
        <v>3946</v>
      </c>
      <c r="H16" s="3" t="s">
        <v>4148</v>
      </c>
    </row>
    <row r="17" spans="1:8" x14ac:dyDescent="0.35">
      <c r="A17" s="3"/>
      <c r="B17" s="3" t="s">
        <v>1623</v>
      </c>
      <c r="C17" s="3" t="s">
        <v>1624</v>
      </c>
      <c r="D17" s="3"/>
      <c r="E17" s="3"/>
      <c r="F17" s="3"/>
      <c r="G17" s="3" t="s">
        <v>3947</v>
      </c>
      <c r="H17" s="3" t="s">
        <v>4149</v>
      </c>
    </row>
    <row r="18" spans="1:8" x14ac:dyDescent="0.35">
      <c r="A18" s="3" t="s">
        <v>4174</v>
      </c>
      <c r="B18" s="3" t="s">
        <v>1334</v>
      </c>
      <c r="C18" s="3" t="s">
        <v>1340</v>
      </c>
      <c r="D18" s="3"/>
      <c r="E18" s="3"/>
      <c r="F18" s="3"/>
      <c r="G18" s="3" t="s">
        <v>3872</v>
      </c>
      <c r="H18" s="3" t="s">
        <v>4150</v>
      </c>
    </row>
    <row r="19" spans="1:8" x14ac:dyDescent="0.35">
      <c r="A19" s="3"/>
      <c r="B19" s="3" t="s">
        <v>1355</v>
      </c>
      <c r="C19" s="3" t="s">
        <v>1358</v>
      </c>
      <c r="D19" s="3"/>
      <c r="E19" s="3"/>
      <c r="F19" s="3"/>
      <c r="G19" s="3" t="s">
        <v>3878</v>
      </c>
      <c r="H19" s="3" t="s">
        <v>4151</v>
      </c>
    </row>
    <row r="20" spans="1:8" x14ac:dyDescent="0.35">
      <c r="A20" s="3"/>
      <c r="B20" s="3"/>
      <c r="C20" s="3" t="s">
        <v>1361</v>
      </c>
      <c r="D20" s="3"/>
      <c r="E20" s="3"/>
      <c r="F20" s="3"/>
      <c r="G20" s="3" t="s">
        <v>3879</v>
      </c>
      <c r="H20" s="3" t="s">
        <v>4151</v>
      </c>
    </row>
    <row r="21" spans="1:8" x14ac:dyDescent="0.35">
      <c r="A21" s="3" t="s">
        <v>4175</v>
      </c>
      <c r="B21" s="3" t="s">
        <v>108</v>
      </c>
      <c r="C21" s="3" t="s">
        <v>113</v>
      </c>
      <c r="D21" s="3"/>
      <c r="E21" s="3"/>
      <c r="F21" s="3"/>
      <c r="G21" s="3" t="s">
        <v>3718</v>
      </c>
      <c r="H21" s="3" t="s">
        <v>4152</v>
      </c>
    </row>
    <row r="22" spans="1:8" x14ac:dyDescent="0.35">
      <c r="A22" s="3"/>
      <c r="B22" s="3"/>
      <c r="C22" s="3" t="s">
        <v>682</v>
      </c>
      <c r="D22" s="3"/>
      <c r="E22" s="3"/>
      <c r="F22" s="3"/>
      <c r="G22" s="3" t="s">
        <v>3719</v>
      </c>
      <c r="H22" s="3" t="s">
        <v>4152</v>
      </c>
    </row>
    <row r="23" spans="1:8" x14ac:dyDescent="0.35">
      <c r="A23" s="3"/>
      <c r="B23" s="3" t="s">
        <v>162</v>
      </c>
      <c r="C23" s="3" t="s">
        <v>687</v>
      </c>
      <c r="D23" s="3"/>
      <c r="E23" s="3"/>
      <c r="F23" s="3"/>
      <c r="G23" s="3" t="s">
        <v>3722</v>
      </c>
      <c r="H23" s="3" t="s">
        <v>4153</v>
      </c>
    </row>
    <row r="24" spans="1:8" x14ac:dyDescent="0.35">
      <c r="A24" s="3" t="s">
        <v>4176</v>
      </c>
      <c r="B24" s="3" t="s">
        <v>246</v>
      </c>
      <c r="C24" s="3" t="s">
        <v>999</v>
      </c>
      <c r="D24" s="3"/>
      <c r="E24" s="3" t="s">
        <v>223</v>
      </c>
      <c r="F24" s="3"/>
      <c r="G24" s="3" t="s">
        <v>3796</v>
      </c>
      <c r="H24" s="3" t="s">
        <v>4154</v>
      </c>
    </row>
    <row r="25" spans="1:8" x14ac:dyDescent="0.35">
      <c r="A25" s="3"/>
      <c r="B25" s="3"/>
      <c r="C25" s="3" t="s">
        <v>221</v>
      </c>
      <c r="D25" s="3"/>
      <c r="E25" s="3" t="s">
        <v>223</v>
      </c>
      <c r="F25" s="3"/>
      <c r="G25" s="3" t="s">
        <v>3798</v>
      </c>
      <c r="H25" s="3" t="s">
        <v>4154</v>
      </c>
    </row>
    <row r="26" spans="1:8" x14ac:dyDescent="0.35">
      <c r="A26" s="3"/>
      <c r="B26" s="3" t="s">
        <v>257</v>
      </c>
      <c r="C26" s="3" t="s">
        <v>1032</v>
      </c>
      <c r="D26" s="3"/>
      <c r="E26" s="3" t="s">
        <v>4166</v>
      </c>
      <c r="F26" s="3"/>
      <c r="G26" s="3" t="s">
        <v>3804</v>
      </c>
      <c r="H26" s="3" t="s">
        <v>4155</v>
      </c>
    </row>
    <row r="27" spans="1:8" x14ac:dyDescent="0.35">
      <c r="A27" s="3"/>
      <c r="B27" s="3" t="s">
        <v>195</v>
      </c>
      <c r="C27" s="3" t="s">
        <v>197</v>
      </c>
      <c r="D27" s="3"/>
      <c r="E27" s="3"/>
      <c r="F27" s="3"/>
      <c r="G27" s="3" t="s">
        <v>3812</v>
      </c>
      <c r="H27" s="3" t="s">
        <v>4156</v>
      </c>
    </row>
    <row r="28" spans="1:8" x14ac:dyDescent="0.35">
      <c r="A28" s="3" t="s">
        <v>4177</v>
      </c>
      <c r="B28" s="3" t="s">
        <v>264</v>
      </c>
      <c r="C28" s="3" t="s">
        <v>637</v>
      </c>
      <c r="D28" s="3"/>
      <c r="E28" s="3"/>
      <c r="F28" s="3"/>
      <c r="G28" s="3" t="s">
        <v>3704</v>
      </c>
      <c r="H28" s="3" t="s">
        <v>4157</v>
      </c>
    </row>
    <row r="29" spans="1:8" x14ac:dyDescent="0.35">
      <c r="A29" s="3"/>
      <c r="B29" s="3" t="s">
        <v>644</v>
      </c>
      <c r="C29" s="3" t="s">
        <v>4158</v>
      </c>
      <c r="D29" s="3"/>
      <c r="E29" s="3"/>
      <c r="F29" s="3"/>
      <c r="G29" s="3" t="s">
        <v>3706</v>
      </c>
      <c r="H29" s="3" t="s">
        <v>4159</v>
      </c>
    </row>
    <row r="30" spans="1:8" x14ac:dyDescent="0.35">
      <c r="A30" s="3" t="s">
        <v>4178</v>
      </c>
      <c r="B30" s="3" t="s">
        <v>74</v>
      </c>
      <c r="C30" s="3" t="s">
        <v>318</v>
      </c>
      <c r="D30" s="3"/>
      <c r="E30" s="3" t="s">
        <v>4164</v>
      </c>
      <c r="F30" s="3"/>
      <c r="G30" s="3" t="s">
        <v>3608</v>
      </c>
      <c r="H30" s="3" t="s">
        <v>4160</v>
      </c>
    </row>
    <row r="31" spans="1:8" x14ac:dyDescent="0.35">
      <c r="A31" s="3"/>
      <c r="B31" s="3"/>
      <c r="C31" s="3" t="s">
        <v>97</v>
      </c>
      <c r="D31" s="3"/>
      <c r="E31" s="3" t="s">
        <v>4164</v>
      </c>
      <c r="F31" s="3"/>
      <c r="G31" s="3" t="s">
        <v>3610</v>
      </c>
      <c r="H31" s="3" t="s">
        <v>4160</v>
      </c>
    </row>
    <row r="32" spans="1:8" x14ac:dyDescent="0.35">
      <c r="A32" s="3"/>
      <c r="B32" s="3" t="s">
        <v>358</v>
      </c>
      <c r="C32" s="3" t="s">
        <v>364</v>
      </c>
      <c r="D32" s="3"/>
      <c r="E32" s="3" t="s">
        <v>4164</v>
      </c>
      <c r="F32" s="3"/>
      <c r="G32" s="3" t="s">
        <v>3620</v>
      </c>
      <c r="H32" s="3" t="s">
        <v>4160</v>
      </c>
    </row>
    <row r="33" spans="1:8" x14ac:dyDescent="0.35">
      <c r="A33" s="3"/>
      <c r="B33" s="3"/>
      <c r="C33" s="3" t="s">
        <v>97</v>
      </c>
      <c r="D33" s="3"/>
      <c r="E33" s="3" t="s">
        <v>4164</v>
      </c>
      <c r="F33" s="3"/>
      <c r="G33" s="3" t="s">
        <v>3622</v>
      </c>
      <c r="H33" s="3" t="s">
        <v>4160</v>
      </c>
    </row>
    <row r="34" spans="1:8" x14ac:dyDescent="0.35">
      <c r="A34" s="3"/>
      <c r="B34" s="3" t="s">
        <v>141</v>
      </c>
      <c r="C34" s="3" t="s">
        <v>155</v>
      </c>
      <c r="D34" s="3"/>
      <c r="E34" s="3" t="s">
        <v>4165</v>
      </c>
      <c r="F34" s="3"/>
      <c r="G34" s="3" t="s">
        <v>3625</v>
      </c>
      <c r="H34" s="3" t="s">
        <v>4161</v>
      </c>
    </row>
    <row r="35" spans="1:8" x14ac:dyDescent="0.35">
      <c r="A35" s="3"/>
      <c r="B35" s="3" t="s">
        <v>173</v>
      </c>
      <c r="C35" s="3" t="s">
        <v>182</v>
      </c>
      <c r="D35" s="3"/>
      <c r="E35" s="3" t="s">
        <v>4165</v>
      </c>
      <c r="F35" s="3"/>
      <c r="G35" s="3" t="s">
        <v>3634</v>
      </c>
      <c r="H35" s="3" t="s">
        <v>4162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1F5A-12AF-4398-84F2-52C8CE6C7B7E}">
  <dimension ref="A1:H122"/>
  <sheetViews>
    <sheetView workbookViewId="0">
      <selection activeCell="G2" sqref="G2"/>
    </sheetView>
  </sheetViews>
  <sheetFormatPr defaultColWidth="11.25" defaultRowHeight="15" customHeight="1" x14ac:dyDescent="0.35"/>
  <cols>
    <col min="1" max="1" width="20" customWidth="1"/>
    <col min="2" max="2" width="31" customWidth="1"/>
    <col min="3" max="3" width="59.08203125" customWidth="1"/>
    <col min="4" max="4" width="16.1640625" customWidth="1"/>
    <col min="5" max="5" width="15.08203125" customWidth="1"/>
    <col min="6" max="6" width="11.08203125" customWidth="1"/>
    <col min="7" max="7" width="72.75" customWidth="1"/>
    <col min="8" max="8" width="78.25" customWidth="1"/>
  </cols>
  <sheetData>
    <row r="1" spans="1:8" x14ac:dyDescent="0.35">
      <c r="A1" s="1" t="s">
        <v>0</v>
      </c>
      <c r="B1" s="1" t="s">
        <v>1</v>
      </c>
      <c r="C1" s="1" t="s">
        <v>2</v>
      </c>
      <c r="D1" s="1" t="s">
        <v>3</v>
      </c>
      <c r="E1" s="1" t="s">
        <v>4</v>
      </c>
      <c r="F1" s="2" t="s">
        <v>5</v>
      </c>
      <c r="G1" s="2" t="s">
        <v>3948</v>
      </c>
      <c r="H1" s="2" t="s">
        <v>4179</v>
      </c>
    </row>
    <row r="2" spans="1:8" x14ac:dyDescent="0.35">
      <c r="A2" s="3" t="s">
        <v>3950</v>
      </c>
      <c r="B2" s="3" t="s">
        <v>3951</v>
      </c>
      <c r="C2" s="3" t="s">
        <v>3952</v>
      </c>
      <c r="D2" s="3"/>
      <c r="E2" s="3" t="s">
        <v>35</v>
      </c>
      <c r="F2" s="3"/>
      <c r="G2" s="3" t="s">
        <v>4084</v>
      </c>
      <c r="H2" s="3" t="s">
        <v>3953</v>
      </c>
    </row>
    <row r="3" spans="1:8" x14ac:dyDescent="0.35">
      <c r="A3" s="3"/>
      <c r="B3" s="3" t="s">
        <v>60</v>
      </c>
      <c r="C3" s="3" t="s">
        <v>3954</v>
      </c>
      <c r="D3" s="3"/>
      <c r="E3" s="3" t="s">
        <v>223</v>
      </c>
      <c r="F3" s="3"/>
      <c r="G3" s="3" t="s">
        <v>4085</v>
      </c>
      <c r="H3" s="3" t="s">
        <v>3955</v>
      </c>
    </row>
    <row r="4" spans="1:8" x14ac:dyDescent="0.35">
      <c r="A4" s="3"/>
      <c r="B4" s="3" t="s">
        <v>108</v>
      </c>
      <c r="C4" s="3" t="s">
        <v>3956</v>
      </c>
      <c r="D4" s="3"/>
      <c r="E4" s="3"/>
      <c r="F4" s="3"/>
      <c r="G4" s="3" t="s">
        <v>4086</v>
      </c>
      <c r="H4" s="3" t="s">
        <v>3957</v>
      </c>
    </row>
    <row r="5" spans="1:8" x14ac:dyDescent="0.35">
      <c r="A5" s="3"/>
      <c r="B5" s="3" t="s">
        <v>246</v>
      </c>
      <c r="C5" s="3" t="s">
        <v>3954</v>
      </c>
      <c r="D5" s="3"/>
      <c r="E5" s="3" t="s">
        <v>223</v>
      </c>
      <c r="F5" s="3"/>
      <c r="G5" s="3" t="s">
        <v>4085</v>
      </c>
      <c r="H5" s="3" t="s">
        <v>3955</v>
      </c>
    </row>
    <row r="6" spans="1:8" x14ac:dyDescent="0.35">
      <c r="A6" s="3"/>
      <c r="B6" s="3" t="s">
        <v>162</v>
      </c>
      <c r="C6" s="3" t="s">
        <v>3958</v>
      </c>
      <c r="D6" s="3"/>
      <c r="E6" s="3"/>
      <c r="F6" s="3"/>
      <c r="G6" s="3" t="s">
        <v>4087</v>
      </c>
      <c r="H6" s="3" t="s">
        <v>3959</v>
      </c>
    </row>
    <row r="7" spans="1:8" x14ac:dyDescent="0.35">
      <c r="A7" s="3"/>
      <c r="B7" s="3" t="s">
        <v>271</v>
      </c>
      <c r="C7" s="3" t="s">
        <v>3958</v>
      </c>
      <c r="D7" s="3"/>
      <c r="E7" s="3"/>
      <c r="F7" s="3"/>
      <c r="G7" s="3" t="s">
        <v>4087</v>
      </c>
      <c r="H7" s="3" t="s">
        <v>3959</v>
      </c>
    </row>
    <row r="8" spans="1:8" x14ac:dyDescent="0.35">
      <c r="A8" s="3"/>
      <c r="B8" s="3" t="s">
        <v>276</v>
      </c>
      <c r="C8" s="3" t="s">
        <v>3958</v>
      </c>
      <c r="D8" s="3"/>
      <c r="E8" s="3"/>
      <c r="F8" s="3"/>
      <c r="G8" s="3" t="s">
        <v>4087</v>
      </c>
      <c r="H8" s="3" t="s">
        <v>3959</v>
      </c>
    </row>
    <row r="9" spans="1:8" x14ac:dyDescent="0.35">
      <c r="A9" s="3"/>
      <c r="B9" s="3" t="s">
        <v>195</v>
      </c>
      <c r="C9" s="3" t="s">
        <v>3960</v>
      </c>
      <c r="D9" s="3"/>
      <c r="E9" s="3"/>
      <c r="F9" s="3"/>
      <c r="G9" s="3" t="s">
        <v>4088</v>
      </c>
      <c r="H9" s="3" t="s">
        <v>3961</v>
      </c>
    </row>
    <row r="10" spans="1:8" x14ac:dyDescent="0.35">
      <c r="A10" s="3" t="s">
        <v>3962</v>
      </c>
      <c r="B10" s="3" t="s">
        <v>3963</v>
      </c>
      <c r="C10" s="3" t="s">
        <v>3952</v>
      </c>
      <c r="D10" s="3"/>
      <c r="E10" s="3" t="s">
        <v>35</v>
      </c>
      <c r="F10" s="3"/>
      <c r="G10" s="3" t="s">
        <v>4084</v>
      </c>
      <c r="H10" s="3" t="s">
        <v>3953</v>
      </c>
    </row>
    <row r="11" spans="1:8" x14ac:dyDescent="0.35">
      <c r="A11" s="3"/>
      <c r="B11" s="3"/>
      <c r="C11" s="3" t="s">
        <v>3964</v>
      </c>
      <c r="D11" s="3"/>
      <c r="E11" s="3" t="s">
        <v>35</v>
      </c>
      <c r="F11" s="3"/>
      <c r="G11" s="3" t="s">
        <v>4089</v>
      </c>
      <c r="H11" s="3" t="s">
        <v>3965</v>
      </c>
    </row>
    <row r="12" spans="1:8" x14ac:dyDescent="0.35">
      <c r="A12" s="3"/>
      <c r="B12" s="3" t="s">
        <v>60</v>
      </c>
      <c r="C12" s="3" t="s">
        <v>526</v>
      </c>
      <c r="D12" s="3"/>
      <c r="E12" s="3"/>
      <c r="F12" s="3"/>
      <c r="G12" s="3" t="s">
        <v>4090</v>
      </c>
      <c r="H12" s="3" t="s">
        <v>3966</v>
      </c>
    </row>
    <row r="13" spans="1:8" x14ac:dyDescent="0.35">
      <c r="A13" s="3"/>
      <c r="B13" s="3"/>
      <c r="C13" s="3" t="s">
        <v>526</v>
      </c>
      <c r="D13" s="3"/>
      <c r="E13" s="3"/>
      <c r="F13" s="3"/>
      <c r="G13" s="3" t="s">
        <v>4091</v>
      </c>
      <c r="H13" s="3" t="s">
        <v>3967</v>
      </c>
    </row>
    <row r="14" spans="1:8" x14ac:dyDescent="0.35">
      <c r="A14" s="3"/>
      <c r="B14" s="3" t="s">
        <v>74</v>
      </c>
      <c r="C14" s="3" t="s">
        <v>526</v>
      </c>
      <c r="D14" s="3"/>
      <c r="E14" s="3"/>
      <c r="F14" s="3"/>
      <c r="G14" s="3" t="s">
        <v>4090</v>
      </c>
      <c r="H14" s="3" t="s">
        <v>3966</v>
      </c>
    </row>
    <row r="15" spans="1:8" x14ac:dyDescent="0.35">
      <c r="A15" s="3"/>
      <c r="B15" s="3"/>
      <c r="C15" s="3" t="s">
        <v>3968</v>
      </c>
      <c r="D15" s="3"/>
      <c r="E15" s="3" t="s">
        <v>4164</v>
      </c>
      <c r="F15" s="3"/>
      <c r="G15" s="3" t="s">
        <v>4092</v>
      </c>
      <c r="H15" s="3" t="s">
        <v>3969</v>
      </c>
    </row>
    <row r="16" spans="1:8" x14ac:dyDescent="0.35">
      <c r="A16" s="3"/>
      <c r="B16" s="3"/>
      <c r="C16" s="3" t="s">
        <v>3970</v>
      </c>
      <c r="D16" s="3"/>
      <c r="E16" s="3" t="s">
        <v>4164</v>
      </c>
      <c r="F16" s="3"/>
      <c r="G16" s="3" t="s">
        <v>4093</v>
      </c>
      <c r="H16" s="3" t="s">
        <v>3971</v>
      </c>
    </row>
    <row r="17" spans="1:8" x14ac:dyDescent="0.35">
      <c r="A17" s="3"/>
      <c r="B17" s="3"/>
      <c r="C17" s="3" t="s">
        <v>3972</v>
      </c>
      <c r="D17" s="3"/>
      <c r="E17" s="3" t="s">
        <v>4164</v>
      </c>
      <c r="F17" s="3"/>
      <c r="G17" s="3" t="s">
        <v>4094</v>
      </c>
      <c r="H17" s="3" t="s">
        <v>3973</v>
      </c>
    </row>
    <row r="18" spans="1:8" x14ac:dyDescent="0.35">
      <c r="A18" s="3"/>
      <c r="B18" s="3" t="s">
        <v>108</v>
      </c>
      <c r="C18" s="3" t="s">
        <v>3974</v>
      </c>
      <c r="D18" s="3"/>
      <c r="E18" s="3"/>
      <c r="F18" s="3"/>
      <c r="G18" s="3" t="s">
        <v>4095</v>
      </c>
      <c r="H18" s="3" t="s">
        <v>3975</v>
      </c>
    </row>
    <row r="19" spans="1:8" x14ac:dyDescent="0.35">
      <c r="A19" s="3"/>
      <c r="B19" s="3"/>
      <c r="C19" s="3" t="s">
        <v>3976</v>
      </c>
      <c r="D19" s="3"/>
      <c r="E19" s="3"/>
      <c r="F19" s="3"/>
      <c r="G19" s="3" t="s">
        <v>4086</v>
      </c>
      <c r="H19" s="3" t="s">
        <v>3957</v>
      </c>
    </row>
    <row r="20" spans="1:8" x14ac:dyDescent="0.35">
      <c r="A20" s="3"/>
      <c r="B20" s="3" t="s">
        <v>141</v>
      </c>
      <c r="C20" s="3" t="s">
        <v>3977</v>
      </c>
      <c r="D20" s="3"/>
      <c r="E20" s="3" t="s">
        <v>4165</v>
      </c>
      <c r="F20" s="3"/>
      <c r="G20" s="3" t="s">
        <v>4096</v>
      </c>
      <c r="H20" s="3" t="s">
        <v>3978</v>
      </c>
    </row>
    <row r="21" spans="1:8" x14ac:dyDescent="0.35">
      <c r="A21" s="3"/>
      <c r="B21" s="3"/>
      <c r="C21" s="3" t="s">
        <v>3979</v>
      </c>
      <c r="D21" s="3"/>
      <c r="E21" s="3" t="s">
        <v>4165</v>
      </c>
      <c r="F21" s="3"/>
      <c r="G21" s="3" t="s">
        <v>4093</v>
      </c>
      <c r="H21" s="3" t="s">
        <v>3971</v>
      </c>
    </row>
    <row r="22" spans="1:8" x14ac:dyDescent="0.35">
      <c r="A22" s="3"/>
      <c r="B22" s="3"/>
      <c r="C22" s="3" t="s">
        <v>3980</v>
      </c>
      <c r="D22" s="3"/>
      <c r="E22" s="3" t="s">
        <v>4165</v>
      </c>
      <c r="F22" s="3"/>
      <c r="G22" s="3" t="s">
        <v>4097</v>
      </c>
      <c r="H22" s="3" t="s">
        <v>3981</v>
      </c>
    </row>
    <row r="23" spans="1:8" x14ac:dyDescent="0.35">
      <c r="A23" s="3"/>
      <c r="B23" s="3" t="s">
        <v>162</v>
      </c>
      <c r="C23" s="3" t="s">
        <v>3958</v>
      </c>
      <c r="D23" s="3"/>
      <c r="E23" s="3" t="s">
        <v>4163</v>
      </c>
      <c r="F23" s="3"/>
      <c r="G23" s="3" t="s">
        <v>4087</v>
      </c>
      <c r="H23" s="3" t="s">
        <v>3959</v>
      </c>
    </row>
    <row r="24" spans="1:8" x14ac:dyDescent="0.35">
      <c r="A24" s="3"/>
      <c r="B24" s="3" t="s">
        <v>173</v>
      </c>
      <c r="C24" s="3" t="s">
        <v>3982</v>
      </c>
      <c r="D24" s="3"/>
      <c r="E24" s="3" t="s">
        <v>4165</v>
      </c>
      <c r="F24" s="3"/>
      <c r="G24" s="3" t="s">
        <v>4098</v>
      </c>
      <c r="H24" s="3" t="s">
        <v>3983</v>
      </c>
    </row>
    <row r="25" spans="1:8" x14ac:dyDescent="0.35">
      <c r="A25" s="3"/>
      <c r="B25" s="3"/>
      <c r="C25" s="3" t="s">
        <v>3979</v>
      </c>
      <c r="D25" s="3"/>
      <c r="E25" s="3" t="s">
        <v>4165</v>
      </c>
      <c r="F25" s="3"/>
      <c r="G25" s="3" t="s">
        <v>4093</v>
      </c>
      <c r="H25" s="3" t="s">
        <v>3971</v>
      </c>
    </row>
    <row r="26" spans="1:8" x14ac:dyDescent="0.35">
      <c r="A26" s="3"/>
      <c r="B26" s="3" t="s">
        <v>195</v>
      </c>
      <c r="C26" s="3" t="s">
        <v>3960</v>
      </c>
      <c r="D26" s="3"/>
      <c r="E26" s="3"/>
      <c r="F26" s="3"/>
      <c r="G26" s="3" t="s">
        <v>4088</v>
      </c>
      <c r="H26" s="3" t="s">
        <v>3961</v>
      </c>
    </row>
    <row r="27" spans="1:8" x14ac:dyDescent="0.35">
      <c r="A27" s="3"/>
      <c r="B27" s="3"/>
      <c r="C27" s="3" t="s">
        <v>3984</v>
      </c>
      <c r="D27" s="3"/>
      <c r="E27" s="3"/>
      <c r="F27" s="3"/>
      <c r="G27" s="3" t="s">
        <v>4099</v>
      </c>
      <c r="H27" s="3" t="s">
        <v>3985</v>
      </c>
    </row>
    <row r="28" spans="1:8" x14ac:dyDescent="0.35">
      <c r="A28" s="3" t="s">
        <v>3986</v>
      </c>
      <c r="B28" s="3" t="s">
        <v>1079</v>
      </c>
      <c r="C28" s="3" t="s">
        <v>3987</v>
      </c>
      <c r="D28" s="3"/>
      <c r="E28" s="3" t="s">
        <v>1082</v>
      </c>
      <c r="F28" s="3"/>
      <c r="G28" s="3" t="s">
        <v>4100</v>
      </c>
      <c r="H28" s="3" t="s">
        <v>3988</v>
      </c>
    </row>
    <row r="29" spans="1:8" x14ac:dyDescent="0.35">
      <c r="A29" s="3"/>
      <c r="B29" s="3" t="s">
        <v>1094</v>
      </c>
      <c r="C29" s="3" t="s">
        <v>1209</v>
      </c>
      <c r="D29" s="3"/>
      <c r="E29" s="3"/>
      <c r="F29" s="3"/>
      <c r="G29" s="3" t="s">
        <v>4101</v>
      </c>
      <c r="H29" s="3" t="s">
        <v>3989</v>
      </c>
    </row>
    <row r="30" spans="1:8" x14ac:dyDescent="0.35">
      <c r="A30" s="3"/>
      <c r="B30" s="3" t="s">
        <v>1098</v>
      </c>
      <c r="C30" s="3" t="s">
        <v>3990</v>
      </c>
      <c r="D30" s="3"/>
      <c r="E30" s="3"/>
      <c r="F30" s="3"/>
      <c r="G30" s="3" t="s">
        <v>4102</v>
      </c>
      <c r="H30" s="3" t="s">
        <v>3991</v>
      </c>
    </row>
    <row r="31" spans="1:8" x14ac:dyDescent="0.35">
      <c r="A31" s="3"/>
      <c r="B31" s="3" t="s">
        <v>1108</v>
      </c>
      <c r="C31" s="3" t="s">
        <v>1240</v>
      </c>
      <c r="D31" s="3"/>
      <c r="E31" s="3" t="s">
        <v>1111</v>
      </c>
      <c r="F31" s="3"/>
      <c r="G31" s="3" t="s">
        <v>4103</v>
      </c>
      <c r="H31" s="3" t="s">
        <v>3992</v>
      </c>
    </row>
    <row r="32" spans="1:8" x14ac:dyDescent="0.35">
      <c r="A32" s="3"/>
      <c r="B32" s="3"/>
      <c r="C32" s="3" t="s">
        <v>3993</v>
      </c>
      <c r="D32" s="3"/>
      <c r="E32" s="3" t="s">
        <v>1111</v>
      </c>
      <c r="F32" s="3"/>
      <c r="G32" s="3" t="s">
        <v>4104</v>
      </c>
      <c r="H32" s="3" t="s">
        <v>3994</v>
      </c>
    </row>
    <row r="33" spans="1:8" x14ac:dyDescent="0.35">
      <c r="A33" s="3"/>
      <c r="B33" s="3" t="s">
        <v>1122</v>
      </c>
      <c r="C33" s="3" t="s">
        <v>3995</v>
      </c>
      <c r="D33" s="3"/>
      <c r="E33" s="3" t="s">
        <v>1125</v>
      </c>
      <c r="F33" s="3"/>
      <c r="G33" s="3" t="s">
        <v>4105</v>
      </c>
      <c r="H33" s="3" t="s">
        <v>3996</v>
      </c>
    </row>
    <row r="34" spans="1:8" x14ac:dyDescent="0.35">
      <c r="A34" s="3"/>
      <c r="B34" s="3" t="s">
        <v>108</v>
      </c>
      <c r="C34" s="3" t="s">
        <v>3997</v>
      </c>
      <c r="D34" s="3"/>
      <c r="E34" s="3"/>
      <c r="F34" s="3"/>
      <c r="G34" s="3" t="s">
        <v>4086</v>
      </c>
      <c r="H34" s="3" t="s">
        <v>3957</v>
      </c>
    </row>
    <row r="35" spans="1:8" x14ac:dyDescent="0.35">
      <c r="A35" s="3"/>
      <c r="B35" s="3" t="s">
        <v>1149</v>
      </c>
      <c r="C35" s="3" t="s">
        <v>3998</v>
      </c>
      <c r="D35" s="3"/>
      <c r="E35" s="3" t="s">
        <v>1111</v>
      </c>
      <c r="F35" s="3"/>
      <c r="G35" s="3" t="s">
        <v>4106</v>
      </c>
      <c r="H35" s="3" t="s">
        <v>3999</v>
      </c>
    </row>
    <row r="36" spans="1:8" x14ac:dyDescent="0.35">
      <c r="A36" s="3"/>
      <c r="B36" s="3"/>
      <c r="C36" s="3" t="s">
        <v>3993</v>
      </c>
      <c r="D36" s="3"/>
      <c r="E36" s="3" t="s">
        <v>1111</v>
      </c>
      <c r="F36" s="3"/>
      <c r="G36" s="3" t="s">
        <v>4104</v>
      </c>
      <c r="H36" s="3" t="s">
        <v>3994</v>
      </c>
    </row>
    <row r="37" spans="1:8" x14ac:dyDescent="0.35">
      <c r="A37" s="3"/>
      <c r="B37" s="3" t="s">
        <v>1159</v>
      </c>
      <c r="C37" s="3" t="s">
        <v>4000</v>
      </c>
      <c r="D37" s="3"/>
      <c r="E37" s="3" t="s">
        <v>1125</v>
      </c>
      <c r="F37" s="3"/>
      <c r="G37" s="3" t="s">
        <v>4105</v>
      </c>
      <c r="H37" s="3" t="s">
        <v>3996</v>
      </c>
    </row>
    <row r="38" spans="1:8" x14ac:dyDescent="0.35">
      <c r="A38" s="3"/>
      <c r="B38" s="3" t="s">
        <v>1174</v>
      </c>
      <c r="C38" s="3" t="s">
        <v>4001</v>
      </c>
      <c r="D38" s="3"/>
      <c r="E38" s="3" t="s">
        <v>1177</v>
      </c>
      <c r="F38" s="3"/>
      <c r="G38" s="3" t="s">
        <v>4107</v>
      </c>
      <c r="H38" s="3" t="s">
        <v>4002</v>
      </c>
    </row>
    <row r="39" spans="1:8" x14ac:dyDescent="0.35">
      <c r="A39" s="3"/>
      <c r="B39" s="3"/>
      <c r="C39" s="3" t="s">
        <v>4003</v>
      </c>
      <c r="D39" s="3"/>
      <c r="E39" s="3" t="s">
        <v>1177</v>
      </c>
      <c r="F39" s="3"/>
      <c r="G39" s="3" t="s">
        <v>4108</v>
      </c>
      <c r="H39" s="3" t="s">
        <v>4004</v>
      </c>
    </row>
    <row r="40" spans="1:8" x14ac:dyDescent="0.35">
      <c r="A40" s="3"/>
      <c r="B40" s="3"/>
      <c r="C40" s="3" t="s">
        <v>4005</v>
      </c>
      <c r="D40" s="3"/>
      <c r="E40" s="3" t="s">
        <v>1177</v>
      </c>
      <c r="F40" s="3"/>
      <c r="G40" s="3" t="s">
        <v>4109</v>
      </c>
      <c r="H40" s="3" t="s">
        <v>4006</v>
      </c>
    </row>
    <row r="41" spans="1:8" x14ac:dyDescent="0.35">
      <c r="A41" s="3"/>
      <c r="B41" s="3" t="s">
        <v>1194</v>
      </c>
      <c r="C41" s="3" t="s">
        <v>4007</v>
      </c>
      <c r="D41" s="3"/>
      <c r="E41" s="3" t="s">
        <v>4167</v>
      </c>
      <c r="F41" s="3"/>
      <c r="G41" s="3" t="s">
        <v>4110</v>
      </c>
      <c r="H41" s="3" t="s">
        <v>4008</v>
      </c>
    </row>
    <row r="42" spans="1:8" x14ac:dyDescent="0.35">
      <c r="A42" s="3"/>
      <c r="B42" s="3"/>
      <c r="C42" s="3" t="s">
        <v>4009</v>
      </c>
      <c r="D42" s="3"/>
      <c r="E42" s="3" t="s">
        <v>4167</v>
      </c>
      <c r="F42" s="3"/>
      <c r="G42" s="3" t="s">
        <v>4109</v>
      </c>
      <c r="H42" s="3" t="s">
        <v>4006</v>
      </c>
    </row>
    <row r="43" spans="1:8" x14ac:dyDescent="0.35">
      <c r="A43" s="3"/>
      <c r="B43" s="3" t="s">
        <v>1208</v>
      </c>
      <c r="C43" s="3" t="s">
        <v>1095</v>
      </c>
      <c r="D43" s="3"/>
      <c r="E43" s="3"/>
      <c r="F43" s="3"/>
      <c r="G43" s="3" t="s">
        <v>4111</v>
      </c>
      <c r="H43" s="3" t="s">
        <v>4010</v>
      </c>
    </row>
    <row r="44" spans="1:8" x14ac:dyDescent="0.35">
      <c r="A44" s="3"/>
      <c r="B44" s="3" t="s">
        <v>1212</v>
      </c>
      <c r="C44" s="3" t="s">
        <v>4011</v>
      </c>
      <c r="D44" s="3"/>
      <c r="E44" s="3" t="s">
        <v>1215</v>
      </c>
      <c r="F44" s="3"/>
      <c r="G44" s="3" t="s">
        <v>4112</v>
      </c>
      <c r="H44" s="3" t="s">
        <v>4012</v>
      </c>
    </row>
    <row r="45" spans="1:8" x14ac:dyDescent="0.35">
      <c r="A45" s="3"/>
      <c r="B45" s="3"/>
      <c r="C45" s="3" t="s">
        <v>1230</v>
      </c>
      <c r="D45" s="3"/>
      <c r="E45" s="3" t="s">
        <v>4168</v>
      </c>
      <c r="F45" s="3"/>
      <c r="G45" s="3" t="s">
        <v>4108</v>
      </c>
      <c r="H45" s="3" t="s">
        <v>4004</v>
      </c>
    </row>
    <row r="46" spans="1:8" x14ac:dyDescent="0.35">
      <c r="A46" s="3"/>
      <c r="B46" s="3"/>
      <c r="C46" s="3" t="s">
        <v>4013</v>
      </c>
      <c r="D46" s="3"/>
      <c r="E46" s="3" t="s">
        <v>1215</v>
      </c>
      <c r="F46" s="3"/>
      <c r="G46" s="3" t="s">
        <v>4113</v>
      </c>
      <c r="H46" s="3" t="s">
        <v>4014</v>
      </c>
    </row>
    <row r="47" spans="1:8" x14ac:dyDescent="0.35">
      <c r="A47" s="3"/>
      <c r="B47" s="3" t="s">
        <v>1229</v>
      </c>
      <c r="C47" s="3" t="s">
        <v>4011</v>
      </c>
      <c r="D47" s="3"/>
      <c r="E47" s="3" t="s">
        <v>1215</v>
      </c>
      <c r="F47" s="3"/>
      <c r="G47" s="3" t="s">
        <v>4112</v>
      </c>
      <c r="H47" s="3" t="s">
        <v>4012</v>
      </c>
    </row>
    <row r="48" spans="1:8" x14ac:dyDescent="0.35">
      <c r="A48" s="3"/>
      <c r="B48" s="3"/>
      <c r="C48" s="3" t="s">
        <v>1219</v>
      </c>
      <c r="D48" s="3"/>
      <c r="E48" s="3" t="s">
        <v>4168</v>
      </c>
      <c r="F48" s="3"/>
      <c r="G48" s="3" t="s">
        <v>4110</v>
      </c>
      <c r="H48" s="3" t="s">
        <v>4008</v>
      </c>
    </row>
    <row r="49" spans="1:8" x14ac:dyDescent="0.35">
      <c r="A49" s="3"/>
      <c r="B49" s="3"/>
      <c r="C49" s="3" t="s">
        <v>4015</v>
      </c>
      <c r="D49" s="3"/>
      <c r="E49" s="3" t="s">
        <v>1215</v>
      </c>
      <c r="F49" s="3"/>
      <c r="G49" s="3" t="s">
        <v>4113</v>
      </c>
      <c r="H49" s="3" t="s">
        <v>4014</v>
      </c>
    </row>
    <row r="50" spans="1:8" x14ac:dyDescent="0.35">
      <c r="A50" s="3"/>
      <c r="B50" s="3" t="s">
        <v>1239</v>
      </c>
      <c r="C50" s="3" t="s">
        <v>1109</v>
      </c>
      <c r="D50" s="3"/>
      <c r="E50" s="3" t="s">
        <v>1111</v>
      </c>
      <c r="F50" s="3"/>
      <c r="G50" s="3" t="s">
        <v>4114</v>
      </c>
      <c r="H50" s="3" t="s">
        <v>4016</v>
      </c>
    </row>
    <row r="51" spans="1:8" x14ac:dyDescent="0.35">
      <c r="A51" s="3"/>
      <c r="B51" s="3"/>
      <c r="C51" s="3" t="s">
        <v>3993</v>
      </c>
      <c r="D51" s="3"/>
      <c r="E51" s="3" t="s">
        <v>1111</v>
      </c>
      <c r="F51" s="3"/>
      <c r="G51" s="3" t="s">
        <v>4104</v>
      </c>
      <c r="H51" s="3" t="s">
        <v>3994</v>
      </c>
    </row>
    <row r="52" spans="1:8" x14ac:dyDescent="0.35">
      <c r="A52" s="3"/>
      <c r="B52" s="3" t="s">
        <v>1245</v>
      </c>
      <c r="C52" s="3" t="s">
        <v>4017</v>
      </c>
      <c r="D52" s="3"/>
      <c r="E52" s="3" t="s">
        <v>1111</v>
      </c>
      <c r="F52" s="3"/>
      <c r="G52" s="3" t="s">
        <v>4115</v>
      </c>
      <c r="H52" s="3" t="s">
        <v>4018</v>
      </c>
    </row>
    <row r="53" spans="1:8" x14ac:dyDescent="0.35">
      <c r="A53" s="3"/>
      <c r="B53" s="3"/>
      <c r="C53" s="3" t="s">
        <v>3993</v>
      </c>
      <c r="D53" s="3"/>
      <c r="E53" s="3" t="s">
        <v>1111</v>
      </c>
      <c r="F53" s="3"/>
      <c r="G53" s="3" t="s">
        <v>4104</v>
      </c>
      <c r="H53" s="3" t="s">
        <v>3994</v>
      </c>
    </row>
    <row r="54" spans="1:8" x14ac:dyDescent="0.35">
      <c r="A54" s="3"/>
      <c r="B54" s="3" t="s">
        <v>1254</v>
      </c>
      <c r="C54" s="3" t="s">
        <v>4019</v>
      </c>
      <c r="D54" s="3"/>
      <c r="E54" s="3" t="s">
        <v>1125</v>
      </c>
      <c r="F54" s="3"/>
      <c r="G54" s="3" t="s">
        <v>4105</v>
      </c>
      <c r="H54" s="3" t="s">
        <v>3996</v>
      </c>
    </row>
    <row r="55" spans="1:8" x14ac:dyDescent="0.35">
      <c r="A55" s="3"/>
      <c r="B55" s="3" t="s">
        <v>1265</v>
      </c>
      <c r="C55" s="3" t="s">
        <v>4020</v>
      </c>
      <c r="D55" s="3"/>
      <c r="E55" s="3" t="s">
        <v>1125</v>
      </c>
      <c r="F55" s="3"/>
      <c r="G55" s="3" t="s">
        <v>4105</v>
      </c>
      <c r="H55" s="3" t="s">
        <v>3996</v>
      </c>
    </row>
    <row r="56" spans="1:8" x14ac:dyDescent="0.35">
      <c r="A56" s="3"/>
      <c r="B56" s="3" t="s">
        <v>1275</v>
      </c>
      <c r="C56" s="3" t="s">
        <v>4021</v>
      </c>
      <c r="D56" s="3"/>
      <c r="E56" s="3"/>
      <c r="F56" s="3"/>
      <c r="G56" s="3" t="s">
        <v>4116</v>
      </c>
      <c r="H56" s="3" t="s">
        <v>4022</v>
      </c>
    </row>
    <row r="57" spans="1:8" x14ac:dyDescent="0.35">
      <c r="A57" s="3"/>
      <c r="B57" s="3" t="s">
        <v>1280</v>
      </c>
      <c r="C57" s="3" t="s">
        <v>4023</v>
      </c>
      <c r="D57" s="3"/>
      <c r="E57" s="3"/>
      <c r="F57" s="3"/>
      <c r="G57" s="3" t="s">
        <v>4117</v>
      </c>
      <c r="H57" s="3" t="s">
        <v>4024</v>
      </c>
    </row>
    <row r="58" spans="1:8" x14ac:dyDescent="0.35">
      <c r="A58" s="3"/>
      <c r="B58" s="3" t="s">
        <v>1287</v>
      </c>
      <c r="C58" s="3" t="s">
        <v>4025</v>
      </c>
      <c r="D58" s="3"/>
      <c r="E58" s="3"/>
      <c r="F58" s="3"/>
      <c r="G58" s="3" t="s">
        <v>4118</v>
      </c>
      <c r="H58" s="3" t="s">
        <v>4026</v>
      </c>
    </row>
    <row r="59" spans="1:8" x14ac:dyDescent="0.35">
      <c r="A59" s="3"/>
      <c r="B59" s="3" t="s">
        <v>1292</v>
      </c>
      <c r="C59" s="3" t="s">
        <v>4027</v>
      </c>
      <c r="D59" s="3"/>
      <c r="E59" s="3"/>
      <c r="F59" s="3"/>
      <c r="G59" s="3" t="s">
        <v>4119</v>
      </c>
      <c r="H59" s="3" t="s">
        <v>4028</v>
      </c>
    </row>
    <row r="60" spans="1:8" x14ac:dyDescent="0.35">
      <c r="A60" s="3"/>
      <c r="B60" s="3" t="s">
        <v>1299</v>
      </c>
      <c r="C60" s="3" t="s">
        <v>4029</v>
      </c>
      <c r="D60" s="3"/>
      <c r="E60" s="3"/>
      <c r="F60" s="3"/>
      <c r="G60" s="3" t="s">
        <v>4120</v>
      </c>
      <c r="H60" s="3" t="s">
        <v>4030</v>
      </c>
    </row>
    <row r="61" spans="1:8" x14ac:dyDescent="0.35">
      <c r="A61" s="3" t="s">
        <v>4031</v>
      </c>
      <c r="B61" s="3" t="s">
        <v>1316</v>
      </c>
      <c r="C61" s="3" t="s">
        <v>4032</v>
      </c>
      <c r="D61" s="3"/>
      <c r="E61" s="3" t="s">
        <v>1319</v>
      </c>
      <c r="F61" s="3"/>
      <c r="G61" s="3" t="s">
        <v>4084</v>
      </c>
      <c r="H61" s="3" t="s">
        <v>3953</v>
      </c>
    </row>
    <row r="62" spans="1:8" x14ac:dyDescent="0.35">
      <c r="A62" s="3"/>
      <c r="B62" s="3" t="s">
        <v>1323</v>
      </c>
      <c r="C62" s="3" t="s">
        <v>4033</v>
      </c>
      <c r="D62" s="3"/>
      <c r="E62" s="3"/>
      <c r="F62" s="3"/>
      <c r="G62" s="3" t="s">
        <v>4121</v>
      </c>
      <c r="H62" s="3" t="s">
        <v>4034</v>
      </c>
    </row>
    <row r="63" spans="1:8" x14ac:dyDescent="0.35">
      <c r="A63" s="3"/>
      <c r="B63" s="3"/>
      <c r="C63" s="3" t="s">
        <v>4035</v>
      </c>
      <c r="D63" s="3"/>
      <c r="E63" s="3"/>
      <c r="F63" s="3"/>
      <c r="G63" s="3" t="s">
        <v>4122</v>
      </c>
      <c r="H63" s="3" t="s">
        <v>4036</v>
      </c>
    </row>
    <row r="64" spans="1:8" x14ac:dyDescent="0.35">
      <c r="A64" s="3"/>
      <c r="B64" s="3" t="s">
        <v>1334</v>
      </c>
      <c r="C64" s="3" t="s">
        <v>4037</v>
      </c>
      <c r="D64" s="3"/>
      <c r="E64" s="3"/>
      <c r="F64" s="3"/>
      <c r="G64" s="3" t="s">
        <v>4123</v>
      </c>
      <c r="H64" s="3" t="s">
        <v>4038</v>
      </c>
    </row>
    <row r="65" spans="1:8" x14ac:dyDescent="0.35">
      <c r="A65" s="3"/>
      <c r="B65" s="3"/>
      <c r="C65" s="3" t="s">
        <v>4039</v>
      </c>
      <c r="D65" s="3"/>
      <c r="E65" s="3"/>
      <c r="F65" s="3"/>
      <c r="G65" s="3" t="s">
        <v>4124</v>
      </c>
      <c r="H65" s="3" t="s">
        <v>4040</v>
      </c>
    </row>
    <row r="66" spans="1:8" x14ac:dyDescent="0.35">
      <c r="A66" s="3"/>
      <c r="B66" s="3"/>
      <c r="C66" s="3" t="s">
        <v>4041</v>
      </c>
      <c r="D66" s="3"/>
      <c r="E66" s="3"/>
      <c r="F66" s="3"/>
      <c r="G66" s="3" t="s">
        <v>4125</v>
      </c>
      <c r="H66" s="3" t="s">
        <v>4042</v>
      </c>
    </row>
    <row r="67" spans="1:8" x14ac:dyDescent="0.35">
      <c r="A67" s="3"/>
      <c r="B67" s="3"/>
      <c r="C67" s="3" t="s">
        <v>4043</v>
      </c>
      <c r="D67" s="3"/>
      <c r="E67" s="3"/>
      <c r="F67" s="3"/>
      <c r="G67" s="3" t="s">
        <v>4126</v>
      </c>
      <c r="H67" s="3" t="s">
        <v>4044</v>
      </c>
    </row>
    <row r="68" spans="1:8" x14ac:dyDescent="0.35">
      <c r="A68" s="3"/>
      <c r="B68" s="3" t="s">
        <v>1352</v>
      </c>
      <c r="C68" s="3" t="s">
        <v>4032</v>
      </c>
      <c r="D68" s="3"/>
      <c r="E68" s="3" t="s">
        <v>1319</v>
      </c>
      <c r="F68" s="3"/>
      <c r="G68" s="3" t="s">
        <v>4084</v>
      </c>
      <c r="H68" s="3" t="s">
        <v>3953</v>
      </c>
    </row>
    <row r="69" spans="1:8" x14ac:dyDescent="0.35">
      <c r="A69" s="3"/>
      <c r="B69" s="3" t="s">
        <v>1355</v>
      </c>
      <c r="C69" s="3" t="s">
        <v>4037</v>
      </c>
      <c r="D69" s="3"/>
      <c r="E69" s="3"/>
      <c r="F69" s="3"/>
      <c r="G69" s="3" t="s">
        <v>4123</v>
      </c>
      <c r="H69" s="3" t="s">
        <v>4038</v>
      </c>
    </row>
    <row r="70" spans="1:8" x14ac:dyDescent="0.35">
      <c r="A70" s="3"/>
      <c r="B70" s="3"/>
      <c r="C70" s="3" t="s">
        <v>4041</v>
      </c>
      <c r="D70" s="3"/>
      <c r="E70" s="3"/>
      <c r="F70" s="3"/>
      <c r="G70" s="3" t="s">
        <v>4125</v>
      </c>
      <c r="H70" s="3" t="s">
        <v>4042</v>
      </c>
    </row>
    <row r="71" spans="1:8" x14ac:dyDescent="0.35">
      <c r="A71" s="3"/>
      <c r="B71" s="3"/>
      <c r="C71" s="3" t="s">
        <v>4045</v>
      </c>
      <c r="D71" s="3"/>
      <c r="E71" s="3"/>
      <c r="F71" s="3"/>
      <c r="G71" s="3" t="s">
        <v>4121</v>
      </c>
      <c r="H71" s="3" t="s">
        <v>4034</v>
      </c>
    </row>
    <row r="72" spans="1:8" x14ac:dyDescent="0.35">
      <c r="A72" s="3"/>
      <c r="B72" s="3"/>
      <c r="C72" s="3" t="s">
        <v>4046</v>
      </c>
      <c r="D72" s="3"/>
      <c r="E72" s="3"/>
      <c r="F72" s="3"/>
      <c r="G72" s="3" t="s">
        <v>4127</v>
      </c>
      <c r="H72" s="3" t="s">
        <v>4047</v>
      </c>
    </row>
    <row r="73" spans="1:8" x14ac:dyDescent="0.35">
      <c r="A73" s="3"/>
      <c r="B73" s="3" t="s">
        <v>108</v>
      </c>
      <c r="C73" s="3" t="s">
        <v>4048</v>
      </c>
      <c r="D73" s="3"/>
      <c r="E73" s="3"/>
      <c r="F73" s="3"/>
      <c r="G73" s="3" t="s">
        <v>4086</v>
      </c>
      <c r="H73" s="3" t="s">
        <v>3957</v>
      </c>
    </row>
    <row r="74" spans="1:8" x14ac:dyDescent="0.35">
      <c r="A74" s="3" t="s">
        <v>4049</v>
      </c>
      <c r="B74" s="3" t="s">
        <v>4050</v>
      </c>
      <c r="C74" s="3" t="s">
        <v>3952</v>
      </c>
      <c r="D74" s="3"/>
      <c r="E74" s="3" t="s">
        <v>35</v>
      </c>
      <c r="F74" s="3"/>
      <c r="G74" s="3" t="s">
        <v>4084</v>
      </c>
      <c r="H74" s="3" t="s">
        <v>3953</v>
      </c>
    </row>
    <row r="75" spans="1:8" x14ac:dyDescent="0.35">
      <c r="A75" s="3"/>
      <c r="B75" s="3" t="s">
        <v>60</v>
      </c>
      <c r="C75" s="3" t="s">
        <v>3467</v>
      </c>
      <c r="D75" s="3"/>
      <c r="E75" s="3"/>
      <c r="F75" s="3"/>
      <c r="G75" s="3" t="s">
        <v>4128</v>
      </c>
      <c r="H75" s="3" t="s">
        <v>4051</v>
      </c>
    </row>
    <row r="76" spans="1:8" x14ac:dyDescent="0.35">
      <c r="A76" s="3"/>
      <c r="B76" s="3" t="s">
        <v>108</v>
      </c>
      <c r="C76" s="3" t="s">
        <v>3974</v>
      </c>
      <c r="D76" s="3"/>
      <c r="E76" s="3"/>
      <c r="F76" s="3"/>
      <c r="G76" s="3" t="s">
        <v>4095</v>
      </c>
      <c r="H76" s="3" t="s">
        <v>3975</v>
      </c>
    </row>
    <row r="77" spans="1:8" x14ac:dyDescent="0.35">
      <c r="A77" s="3"/>
      <c r="B77" s="3"/>
      <c r="C77" s="3" t="s">
        <v>4052</v>
      </c>
      <c r="D77" s="3"/>
      <c r="E77" s="3"/>
      <c r="F77" s="3"/>
      <c r="G77" s="3" t="s">
        <v>4086</v>
      </c>
      <c r="H77" s="3" t="s">
        <v>3957</v>
      </c>
    </row>
    <row r="78" spans="1:8" x14ac:dyDescent="0.35">
      <c r="A78" s="3"/>
      <c r="B78" s="3" t="s">
        <v>162</v>
      </c>
      <c r="C78" s="3" t="s">
        <v>3958</v>
      </c>
      <c r="D78" s="3"/>
      <c r="E78" s="3"/>
      <c r="F78" s="3"/>
      <c r="G78" s="3" t="s">
        <v>4087</v>
      </c>
      <c r="H78" s="3" t="s">
        <v>3959</v>
      </c>
    </row>
    <row r="79" spans="1:8" x14ac:dyDescent="0.35">
      <c r="A79" s="3"/>
      <c r="B79" s="3"/>
      <c r="C79" s="3" t="s">
        <v>838</v>
      </c>
      <c r="D79" s="3"/>
      <c r="E79" s="3"/>
      <c r="F79" s="3"/>
      <c r="G79" s="3" t="s">
        <v>4129</v>
      </c>
      <c r="H79" s="3" t="s">
        <v>4053</v>
      </c>
    </row>
    <row r="80" spans="1:8" x14ac:dyDescent="0.35">
      <c r="A80" s="3" t="s">
        <v>4054</v>
      </c>
      <c r="B80" s="3" t="s">
        <v>988</v>
      </c>
      <c r="C80" s="3" t="s">
        <v>3952</v>
      </c>
      <c r="D80" s="3"/>
      <c r="E80" s="3" t="s">
        <v>35</v>
      </c>
      <c r="F80" s="3"/>
      <c r="G80" s="3" t="s">
        <v>4084</v>
      </c>
      <c r="H80" s="3" t="s">
        <v>3953</v>
      </c>
    </row>
    <row r="81" spans="1:8" x14ac:dyDescent="0.35">
      <c r="A81" s="3"/>
      <c r="B81" s="3" t="s">
        <v>246</v>
      </c>
      <c r="C81" s="3" t="s">
        <v>4055</v>
      </c>
      <c r="D81" s="3"/>
      <c r="E81" s="3" t="s">
        <v>223</v>
      </c>
      <c r="F81" s="3"/>
      <c r="G81" s="3" t="s">
        <v>4130</v>
      </c>
      <c r="H81" s="3" t="s">
        <v>4056</v>
      </c>
    </row>
    <row r="82" spans="1:8" x14ac:dyDescent="0.35">
      <c r="A82" s="3"/>
      <c r="B82" s="3"/>
      <c r="C82" s="3" t="s">
        <v>4057</v>
      </c>
      <c r="D82" s="3"/>
      <c r="E82" s="3" t="s">
        <v>4169</v>
      </c>
      <c r="F82" s="3"/>
      <c r="G82" s="3" t="s">
        <v>4131</v>
      </c>
      <c r="H82" s="3" t="s">
        <v>4058</v>
      </c>
    </row>
    <row r="83" spans="1:8" x14ac:dyDescent="0.35">
      <c r="A83" s="3"/>
      <c r="B83" s="3" t="s">
        <v>257</v>
      </c>
      <c r="C83" s="3" t="s">
        <v>4059</v>
      </c>
      <c r="D83" s="3"/>
      <c r="E83" s="3"/>
      <c r="F83" s="3"/>
      <c r="G83" s="3" t="s">
        <v>4132</v>
      </c>
      <c r="H83" s="3" t="s">
        <v>4060</v>
      </c>
    </row>
    <row r="84" spans="1:8" x14ac:dyDescent="0.35">
      <c r="A84" s="3"/>
      <c r="B84" s="3"/>
      <c r="C84" s="3" t="s">
        <v>4061</v>
      </c>
      <c r="D84" s="3"/>
      <c r="E84" s="3"/>
      <c r="F84" s="3"/>
      <c r="G84" s="3" t="s">
        <v>4133</v>
      </c>
      <c r="H84" s="3" t="s">
        <v>4062</v>
      </c>
    </row>
    <row r="85" spans="1:8" x14ac:dyDescent="0.35">
      <c r="A85" s="3"/>
      <c r="B85" s="3"/>
      <c r="C85" s="3" t="s">
        <v>4063</v>
      </c>
      <c r="D85" s="3"/>
      <c r="E85" s="3"/>
      <c r="F85" s="3"/>
      <c r="G85" s="3" t="s">
        <v>4134</v>
      </c>
      <c r="H85" s="3" t="s">
        <v>4064</v>
      </c>
    </row>
    <row r="86" spans="1:8" x14ac:dyDescent="0.35">
      <c r="A86" s="3"/>
      <c r="B86" s="3"/>
      <c r="C86" s="3" t="s">
        <v>4065</v>
      </c>
      <c r="D86" s="3"/>
      <c r="E86" s="3" t="s">
        <v>4166</v>
      </c>
      <c r="F86" s="3"/>
      <c r="G86" s="3" t="s">
        <v>4135</v>
      </c>
      <c r="H86" s="3" t="s">
        <v>4066</v>
      </c>
    </row>
    <row r="87" spans="1:8" x14ac:dyDescent="0.35">
      <c r="A87" s="3"/>
      <c r="B87" s="3" t="s">
        <v>162</v>
      </c>
      <c r="C87" s="3" t="s">
        <v>4067</v>
      </c>
      <c r="D87" s="3"/>
      <c r="E87" s="3"/>
      <c r="F87" s="3"/>
      <c r="G87" s="3" t="s">
        <v>4136</v>
      </c>
      <c r="H87" s="3" t="s">
        <v>4068</v>
      </c>
    </row>
    <row r="88" spans="1:8" x14ac:dyDescent="0.35">
      <c r="A88" s="3"/>
      <c r="B88" s="3"/>
      <c r="C88" s="3" t="s">
        <v>3958</v>
      </c>
      <c r="D88" s="3"/>
      <c r="E88" s="3"/>
      <c r="F88" s="3"/>
      <c r="G88" s="3" t="s">
        <v>4087</v>
      </c>
      <c r="H88" s="3" t="s">
        <v>3959</v>
      </c>
    </row>
    <row r="89" spans="1:8" x14ac:dyDescent="0.35">
      <c r="A89" s="3"/>
      <c r="B89" s="3"/>
      <c r="C89" s="3" t="s">
        <v>4069</v>
      </c>
      <c r="D89" s="3"/>
      <c r="E89" s="3"/>
      <c r="F89" s="3"/>
      <c r="G89" s="3" t="s">
        <v>4137</v>
      </c>
      <c r="H89" s="3" t="s">
        <v>4070</v>
      </c>
    </row>
    <row r="90" spans="1:8" x14ac:dyDescent="0.35">
      <c r="A90" s="3"/>
      <c r="B90" s="3"/>
      <c r="C90" s="3" t="s">
        <v>4065</v>
      </c>
      <c r="D90" s="3"/>
      <c r="E90" s="3"/>
      <c r="F90" s="3"/>
      <c r="G90" s="3" t="s">
        <v>4135</v>
      </c>
      <c r="H90" s="3" t="s">
        <v>4066</v>
      </c>
    </row>
    <row r="91" spans="1:8" x14ac:dyDescent="0.35">
      <c r="A91" s="3"/>
      <c r="B91" s="3" t="s">
        <v>195</v>
      </c>
      <c r="C91" s="3" t="s">
        <v>3960</v>
      </c>
      <c r="D91" s="3"/>
      <c r="E91" s="3"/>
      <c r="F91" s="3"/>
      <c r="G91" s="3" t="s">
        <v>4088</v>
      </c>
      <c r="H91" s="3" t="s">
        <v>3961</v>
      </c>
    </row>
    <row r="92" spans="1:8" x14ac:dyDescent="0.35">
      <c r="A92" s="3"/>
      <c r="B92" s="3"/>
      <c r="C92" s="3" t="s">
        <v>3984</v>
      </c>
      <c r="D92" s="3"/>
      <c r="E92" s="3"/>
      <c r="F92" s="3"/>
      <c r="G92" s="3" t="s">
        <v>4099</v>
      </c>
      <c r="H92" s="3" t="s">
        <v>3985</v>
      </c>
    </row>
    <row r="93" spans="1:8" x14ac:dyDescent="0.35">
      <c r="A93" s="3" t="s">
        <v>4071</v>
      </c>
      <c r="B93" s="3" t="s">
        <v>264</v>
      </c>
      <c r="C93" s="3" t="s">
        <v>4072</v>
      </c>
      <c r="D93" s="3"/>
      <c r="E93" s="3"/>
      <c r="F93" s="3"/>
      <c r="G93" s="3" t="s">
        <v>4138</v>
      </c>
      <c r="H93" s="3" t="s">
        <v>4073</v>
      </c>
    </row>
    <row r="94" spans="1:8" x14ac:dyDescent="0.35">
      <c r="A94" s="3"/>
      <c r="B94" s="3" t="s">
        <v>644</v>
      </c>
      <c r="C94" s="3" t="s">
        <v>4074</v>
      </c>
      <c r="D94" s="3"/>
      <c r="E94" s="3"/>
      <c r="F94" s="3"/>
      <c r="G94" s="3" t="s">
        <v>4090</v>
      </c>
      <c r="H94" s="3" t="s">
        <v>3966</v>
      </c>
    </row>
    <row r="95" spans="1:8" x14ac:dyDescent="0.35">
      <c r="A95" s="3"/>
      <c r="B95" s="3"/>
      <c r="C95" s="3" t="s">
        <v>4074</v>
      </c>
      <c r="D95" s="3"/>
      <c r="E95" s="3"/>
      <c r="F95" s="3"/>
      <c r="G95" s="3" t="s">
        <v>4091</v>
      </c>
      <c r="H95" s="3" t="s">
        <v>3967</v>
      </c>
    </row>
    <row r="96" spans="1:8" x14ac:dyDescent="0.35">
      <c r="A96" s="3" t="s">
        <v>4075</v>
      </c>
      <c r="B96" s="3" t="s">
        <v>4076</v>
      </c>
      <c r="C96" s="3" t="s">
        <v>3952</v>
      </c>
      <c r="D96" s="3"/>
      <c r="E96" s="3" t="s">
        <v>35</v>
      </c>
      <c r="F96" s="3"/>
      <c r="G96" s="3" t="s">
        <v>4084</v>
      </c>
      <c r="H96" s="3" t="s">
        <v>3953</v>
      </c>
    </row>
    <row r="97" spans="1:8" x14ac:dyDescent="0.35">
      <c r="A97" s="3"/>
      <c r="B97" s="3"/>
      <c r="C97" s="3" t="s">
        <v>3964</v>
      </c>
      <c r="D97" s="3"/>
      <c r="E97" s="3" t="s">
        <v>35</v>
      </c>
      <c r="F97" s="3"/>
      <c r="G97" s="3" t="s">
        <v>4089</v>
      </c>
      <c r="H97" s="3" t="s">
        <v>3965</v>
      </c>
    </row>
    <row r="98" spans="1:8" x14ac:dyDescent="0.35">
      <c r="A98" s="3"/>
      <c r="B98" s="3" t="s">
        <v>60</v>
      </c>
      <c r="C98" s="3" t="s">
        <v>526</v>
      </c>
      <c r="D98" s="3"/>
      <c r="E98" s="3"/>
      <c r="F98" s="3"/>
      <c r="G98" s="3" t="s">
        <v>4090</v>
      </c>
      <c r="H98" s="3" t="s">
        <v>3966</v>
      </c>
    </row>
    <row r="99" spans="1:8" x14ac:dyDescent="0.35">
      <c r="A99" s="3"/>
      <c r="B99" s="3"/>
      <c r="C99" s="3" t="s">
        <v>526</v>
      </c>
      <c r="D99" s="3"/>
      <c r="E99" s="3"/>
      <c r="F99" s="3"/>
      <c r="G99" s="3" t="s">
        <v>4091</v>
      </c>
      <c r="H99" s="3" t="s">
        <v>3967</v>
      </c>
    </row>
    <row r="100" spans="1:8" x14ac:dyDescent="0.35">
      <c r="A100" s="3"/>
      <c r="B100" s="3" t="s">
        <v>74</v>
      </c>
      <c r="C100" s="3" t="s">
        <v>526</v>
      </c>
      <c r="D100" s="3"/>
      <c r="E100" s="3"/>
      <c r="F100" s="3"/>
      <c r="G100" s="3" t="s">
        <v>4090</v>
      </c>
      <c r="H100" s="3" t="s">
        <v>3966</v>
      </c>
    </row>
    <row r="101" spans="1:8" x14ac:dyDescent="0.35">
      <c r="A101" s="3"/>
      <c r="B101" s="3"/>
      <c r="C101" s="3" t="s">
        <v>4077</v>
      </c>
      <c r="D101" s="3"/>
      <c r="E101" s="3" t="s">
        <v>4164</v>
      </c>
      <c r="F101" s="3"/>
      <c r="G101" s="3" t="s">
        <v>4092</v>
      </c>
      <c r="H101" s="3" t="s">
        <v>3969</v>
      </c>
    </row>
    <row r="102" spans="1:8" x14ac:dyDescent="0.35">
      <c r="A102" s="3"/>
      <c r="B102" s="3"/>
      <c r="C102" s="3" t="s">
        <v>3970</v>
      </c>
      <c r="D102" s="3"/>
      <c r="E102" s="3" t="s">
        <v>4164</v>
      </c>
      <c r="F102" s="3"/>
      <c r="G102" s="3" t="s">
        <v>4093</v>
      </c>
      <c r="H102" s="3" t="s">
        <v>3971</v>
      </c>
    </row>
    <row r="103" spans="1:8" x14ac:dyDescent="0.35">
      <c r="A103" s="3"/>
      <c r="B103" s="3"/>
      <c r="C103" s="3" t="s">
        <v>3972</v>
      </c>
      <c r="D103" s="3"/>
      <c r="E103" s="3" t="s">
        <v>4164</v>
      </c>
      <c r="F103" s="3"/>
      <c r="G103" s="3" t="s">
        <v>4094</v>
      </c>
      <c r="H103" s="3" t="s">
        <v>3973</v>
      </c>
    </row>
    <row r="104" spans="1:8" x14ac:dyDescent="0.35">
      <c r="A104" s="3"/>
      <c r="B104" s="3" t="s">
        <v>333</v>
      </c>
      <c r="C104" s="3" t="s">
        <v>4078</v>
      </c>
      <c r="D104" s="3"/>
      <c r="E104" s="3"/>
      <c r="F104" s="3"/>
      <c r="G104" s="3" t="s">
        <v>4090</v>
      </c>
      <c r="H104" s="3" t="s">
        <v>3966</v>
      </c>
    </row>
    <row r="105" spans="1:8" x14ac:dyDescent="0.35">
      <c r="A105" s="3"/>
      <c r="B105" s="3" t="s">
        <v>108</v>
      </c>
      <c r="C105" s="3" t="s">
        <v>3974</v>
      </c>
      <c r="D105" s="3"/>
      <c r="E105" s="3"/>
      <c r="F105" s="3"/>
      <c r="G105" s="3" t="s">
        <v>4095</v>
      </c>
      <c r="H105" s="3" t="s">
        <v>3975</v>
      </c>
    </row>
    <row r="106" spans="1:8" x14ac:dyDescent="0.35">
      <c r="A106" s="3"/>
      <c r="B106" s="3"/>
      <c r="C106" s="3" t="s">
        <v>4079</v>
      </c>
      <c r="D106" s="3"/>
      <c r="E106" s="3"/>
      <c r="F106" s="3"/>
      <c r="G106" s="3" t="s">
        <v>4086</v>
      </c>
      <c r="H106" s="3" t="s">
        <v>3957</v>
      </c>
    </row>
    <row r="107" spans="1:8" x14ac:dyDescent="0.35">
      <c r="A107" s="3"/>
      <c r="B107" s="3" t="s">
        <v>358</v>
      </c>
      <c r="C107" s="3" t="s">
        <v>4080</v>
      </c>
      <c r="D107" s="3"/>
      <c r="E107" s="3" t="s">
        <v>4164</v>
      </c>
      <c r="F107" s="3"/>
      <c r="G107" s="3" t="s">
        <v>4139</v>
      </c>
      <c r="H107" s="3" t="s">
        <v>4081</v>
      </c>
    </row>
    <row r="108" spans="1:8" x14ac:dyDescent="0.35">
      <c r="A108" s="3"/>
      <c r="B108" s="3"/>
      <c r="C108" s="3" t="s">
        <v>4082</v>
      </c>
      <c r="D108" s="3"/>
      <c r="E108" s="3" t="s">
        <v>4164</v>
      </c>
      <c r="F108" s="3"/>
      <c r="G108" s="3" t="s">
        <v>4092</v>
      </c>
      <c r="H108" s="3" t="s">
        <v>3969</v>
      </c>
    </row>
    <row r="109" spans="1:8" x14ac:dyDescent="0.35">
      <c r="A109" s="3"/>
      <c r="B109" s="3"/>
      <c r="C109" s="3" t="s">
        <v>3970</v>
      </c>
      <c r="D109" s="3"/>
      <c r="E109" s="3" t="s">
        <v>4164</v>
      </c>
      <c r="F109" s="3"/>
      <c r="G109" s="3" t="s">
        <v>4093</v>
      </c>
      <c r="H109" s="3" t="s">
        <v>3971</v>
      </c>
    </row>
    <row r="110" spans="1:8" x14ac:dyDescent="0.35">
      <c r="A110" s="3"/>
      <c r="B110" s="3"/>
      <c r="C110" s="3" t="s">
        <v>3972</v>
      </c>
      <c r="D110" s="3"/>
      <c r="E110" s="3" t="s">
        <v>4164</v>
      </c>
      <c r="F110" s="3"/>
      <c r="G110" s="3" t="s">
        <v>4094</v>
      </c>
      <c r="H110" s="3" t="s">
        <v>3973</v>
      </c>
    </row>
    <row r="111" spans="1:8" x14ac:dyDescent="0.35">
      <c r="A111" s="3"/>
      <c r="B111" s="3" t="s">
        <v>141</v>
      </c>
      <c r="C111" s="3" t="s">
        <v>3977</v>
      </c>
      <c r="D111" s="3"/>
      <c r="E111" s="3" t="s">
        <v>4165</v>
      </c>
      <c r="F111" s="3"/>
      <c r="G111" s="3" t="s">
        <v>4096</v>
      </c>
      <c r="H111" s="3" t="s">
        <v>3978</v>
      </c>
    </row>
    <row r="112" spans="1:8" x14ac:dyDescent="0.35">
      <c r="A112" s="3"/>
      <c r="B112" s="3"/>
      <c r="C112" s="3" t="s">
        <v>3979</v>
      </c>
      <c r="D112" s="3"/>
      <c r="E112" s="3" t="s">
        <v>4165</v>
      </c>
      <c r="F112" s="3"/>
      <c r="G112" s="3" t="s">
        <v>4093</v>
      </c>
      <c r="H112" s="3" t="s">
        <v>3971</v>
      </c>
    </row>
    <row r="113" spans="1:8" x14ac:dyDescent="0.35">
      <c r="A113" s="3"/>
      <c r="B113" s="3"/>
      <c r="C113" s="3" t="s">
        <v>3980</v>
      </c>
      <c r="D113" s="3"/>
      <c r="E113" s="3" t="s">
        <v>4165</v>
      </c>
      <c r="F113" s="3"/>
      <c r="G113" s="3" t="s">
        <v>4097</v>
      </c>
      <c r="H113" s="3" t="s">
        <v>3981</v>
      </c>
    </row>
    <row r="114" spans="1:8" x14ac:dyDescent="0.35">
      <c r="A114" s="3"/>
      <c r="B114" s="3" t="s">
        <v>162</v>
      </c>
      <c r="C114" s="3" t="s">
        <v>3958</v>
      </c>
      <c r="D114" s="3"/>
      <c r="E114" s="3"/>
      <c r="F114" s="3"/>
      <c r="G114" s="3" t="s">
        <v>4087</v>
      </c>
      <c r="H114" s="3" t="s">
        <v>3959</v>
      </c>
    </row>
    <row r="115" spans="1:8" x14ac:dyDescent="0.35">
      <c r="A115" s="3"/>
      <c r="B115" s="3" t="s">
        <v>403</v>
      </c>
      <c r="C115" s="3" t="s">
        <v>4083</v>
      </c>
      <c r="D115" s="3"/>
      <c r="E115" s="3"/>
      <c r="F115" s="3"/>
      <c r="G115" s="3" t="s">
        <v>4087</v>
      </c>
      <c r="H115" s="3" t="s">
        <v>3959</v>
      </c>
    </row>
    <row r="116" spans="1:8" x14ac:dyDescent="0.35">
      <c r="A116" s="3"/>
      <c r="B116" s="3" t="s">
        <v>409</v>
      </c>
      <c r="C116" s="3" t="s">
        <v>3979</v>
      </c>
      <c r="D116" s="3"/>
      <c r="E116" s="3" t="s">
        <v>4165</v>
      </c>
      <c r="F116" s="3"/>
      <c r="G116" s="3" t="s">
        <v>4093</v>
      </c>
      <c r="H116" s="3" t="s">
        <v>3971</v>
      </c>
    </row>
    <row r="117" spans="1:8" x14ac:dyDescent="0.35">
      <c r="A117" s="3"/>
      <c r="B117" s="3"/>
      <c r="C117" s="3" t="s">
        <v>3980</v>
      </c>
      <c r="D117" s="3"/>
      <c r="E117" s="3" t="s">
        <v>4165</v>
      </c>
      <c r="F117" s="3"/>
      <c r="G117" s="3" t="s">
        <v>4097</v>
      </c>
      <c r="H117" s="3" t="s">
        <v>3981</v>
      </c>
    </row>
    <row r="118" spans="1:8" x14ac:dyDescent="0.35">
      <c r="A118" s="3"/>
      <c r="B118" s="3" t="s">
        <v>173</v>
      </c>
      <c r="C118" s="3" t="s">
        <v>3982</v>
      </c>
      <c r="D118" s="3"/>
      <c r="E118" s="3" t="s">
        <v>4165</v>
      </c>
      <c r="F118" s="3"/>
      <c r="G118" s="3" t="s">
        <v>4098</v>
      </c>
      <c r="H118" s="3" t="s">
        <v>3983</v>
      </c>
    </row>
    <row r="119" spans="1:8" x14ac:dyDescent="0.35">
      <c r="A119" s="3"/>
      <c r="B119" s="3"/>
      <c r="C119" s="3" t="s">
        <v>3979</v>
      </c>
      <c r="D119" s="3"/>
      <c r="E119" s="3" t="s">
        <v>4165</v>
      </c>
      <c r="F119" s="3"/>
      <c r="G119" s="3" t="s">
        <v>4093</v>
      </c>
      <c r="H119" s="3" t="s">
        <v>3971</v>
      </c>
    </row>
    <row r="120" spans="1:8" x14ac:dyDescent="0.35">
      <c r="A120" s="3"/>
      <c r="B120" s="3" t="s">
        <v>436</v>
      </c>
      <c r="C120" s="3" t="s">
        <v>3979</v>
      </c>
      <c r="D120" s="3"/>
      <c r="E120" s="3" t="s">
        <v>4165</v>
      </c>
      <c r="F120" s="3"/>
      <c r="G120" s="3" t="s">
        <v>4093</v>
      </c>
      <c r="H120" s="3" t="s">
        <v>3971</v>
      </c>
    </row>
    <row r="121" spans="1:8" x14ac:dyDescent="0.35">
      <c r="A121" s="3"/>
      <c r="B121" s="3" t="s">
        <v>195</v>
      </c>
      <c r="C121" s="3" t="s">
        <v>3960</v>
      </c>
      <c r="D121" s="3"/>
      <c r="E121" s="3"/>
      <c r="F121" s="3"/>
      <c r="G121" s="3" t="s">
        <v>4088</v>
      </c>
      <c r="H121" s="3" t="s">
        <v>3961</v>
      </c>
    </row>
    <row r="122" spans="1:8" x14ac:dyDescent="0.35">
      <c r="A122" s="3"/>
      <c r="B122" s="3"/>
      <c r="C122" s="3" t="s">
        <v>3984</v>
      </c>
      <c r="D122" s="3"/>
      <c r="E122" s="3"/>
      <c r="F122" s="3"/>
      <c r="G122" s="3" t="s">
        <v>4099</v>
      </c>
      <c r="H122" s="3" t="s">
        <v>3985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All</vt:lpstr>
      <vt:lpstr>All w Obs</vt:lpstr>
      <vt:lpstr>JDK</vt:lpstr>
      <vt:lpstr>Apache-Collections</vt:lpstr>
      <vt:lpstr>Guava</vt:lpstr>
      <vt:lpstr>GraphStream</vt:lpstr>
      <vt:lpstr>JGraphT</vt:lpstr>
      <vt:lpstr>Naturalness</vt:lpstr>
      <vt:lpstr>Buggycodes</vt:lpstr>
      <vt:lpstr>Buggyasrts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Hongyi Liu</cp:lastModifiedBy>
  <dcterms:modified xsi:type="dcterms:W3CDTF">2026-06-23T19:14:29Z</dcterms:modified>
</cp:coreProperties>
</file>